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defaultThemeVersion="202300"/>
  <mc:AlternateContent xmlns:mc="http://schemas.openxmlformats.org/markup-compatibility/2006">
    <mc:Choice Requires="x15">
      <x15ac:absPath xmlns:x15ac="http://schemas.microsoft.com/office/spreadsheetml/2010/11/ac" url="/Users/kewenxin/Downloads/"/>
    </mc:Choice>
  </mc:AlternateContent>
  <xr:revisionPtr revIDLastSave="0" documentId="13_ncr:1_{3C6F7424-2C94-5544-9801-3B43333F1519}" xr6:coauthVersionLast="47" xr6:coauthVersionMax="47" xr10:uidLastSave="{00000000-0000-0000-0000-000000000000}"/>
  <workbookProtection workbookAlgorithmName="SHA-512" workbookHashValue="AAch7q7DLLe7XnT3kcg4IvGrmKvjO2Qw+ClElaKpsxQT0rGKW4lDgvRVcbZeqVcrIJrtIMJgKiTud9XySby/5g==" workbookSaltValue="uF76eGO6k2hUUqG2YAINtw==" workbookSpinCount="100000" lockStructure="1"/>
  <bookViews>
    <workbookView xWindow="0" yWindow="760" windowWidth="30240" windowHeight="17100" activeTab="1" xr2:uid="{C5FAC0FA-F6E7-40BC-9161-451F907FAD77}"/>
  </bookViews>
  <sheets>
    <sheet name="Stock Portfolio Optimization " sheetId="7" r:id="rId1"/>
    <sheet name="model" sheetId="1" r:id="rId2"/>
    <sheet name="Sparkline Data" sheetId="8" r:id="rId3"/>
    <sheet name="DATA" sheetId="2" r:id="rId4"/>
    <sheet name="RETURN" sheetId="3" r:id="rId5"/>
    <sheet name="metric" sheetId="6" r:id="rId6"/>
    <sheet name="Expected Return" sheetId="4" r:id="rId7"/>
  </sheets>
  <definedNames>
    <definedName name="_xleta.T" hidden="1" xlm="1">#NAME?</definedName>
    <definedName name="_xleta.TRANSPOSE" hidden="1" xlm="1">#NAME?</definedName>
    <definedName name="solver_adj" localSheetId="1" hidden="1">model!$C$21:$F$21</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model!$B$45</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model!$B$48</definedName>
    <definedName name="solver_pre" localSheetId="1" hidden="1">0.000001</definedName>
    <definedName name="solver_rbv" localSheetId="1" hidden="1">1</definedName>
    <definedName name="solver_rel1" localSheetId="1" hidden="1">2</definedName>
    <definedName name="solver_rhs1"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2</definedName>
  </definedNames>
  <calcPr calcId="191029"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1" l="1"/>
  <c r="A49" i="8" a="1"/>
  <c r="A27" i="8" a="1"/>
  <c r="A12" i="8" a="1"/>
  <c r="A18" i="8" a="1"/>
  <c r="A13" i="8" a="1"/>
  <c r="A39" i="8" a="1"/>
  <c r="A8" i="8" a="1"/>
  <c r="A41" i="8" a="1"/>
  <c r="A11" i="8" a="1"/>
  <c r="A33" i="8" a="1"/>
  <c r="A20" i="8" a="1"/>
  <c r="A43" i="8" a="1"/>
  <c r="A16" i="8" a="1"/>
  <c r="A24" i="8" a="1"/>
  <c r="A7" i="8" a="1"/>
  <c r="A29" i="8" a="1"/>
  <c r="A3" i="8" a="1"/>
  <c r="A25" i="8" a="1"/>
  <c r="A46" i="8" a="1"/>
  <c r="A42" i="8" a="1"/>
  <c r="A51" i="8" a="1"/>
  <c r="A22" i="8" a="1"/>
  <c r="A45" i="8" a="1"/>
  <c r="A6" i="8" a="1"/>
  <c r="A15" i="8" a="1"/>
  <c r="A26" i="8" a="1"/>
  <c r="A40" i="8" a="1"/>
  <c r="A9" i="8" a="1"/>
  <c r="A5" i="8" a="1"/>
  <c r="A38" i="8" a="1"/>
  <c r="A14" i="8" a="1"/>
  <c r="A21" i="8" a="1"/>
  <c r="A35" i="8" a="1"/>
  <c r="A50" i="8" a="1"/>
  <c r="A19" i="8" a="1"/>
  <c r="A17" i="8" a="1"/>
  <c r="A47" i="8" a="1"/>
  <c r="A30" i="8" a="1"/>
  <c r="A37" i="8" a="1"/>
  <c r="A23" i="8" a="1"/>
  <c r="A32" i="8" a="1"/>
  <c r="A36" i="8" a="1"/>
  <c r="A44" i="8" a="1"/>
  <c r="A34" i="8" a="1"/>
  <c r="A28" i="8" a="1"/>
  <c r="A10" i="8" a="1"/>
  <c r="A31" i="8" a="1"/>
  <c r="A48" i="8" a="1"/>
  <c r="A40" i="8" l="1"/>
  <c r="A32" i="8"/>
  <c r="A42" i="8"/>
  <c r="A38" i="8"/>
  <c r="A30" i="8"/>
  <c r="A22" i="8"/>
  <c r="A18" i="8"/>
  <c r="A14" i="8"/>
  <c r="A37" i="8"/>
  <c r="A29" i="8"/>
  <c r="A17" i="8"/>
  <c r="A9" i="8"/>
  <c r="A33" i="8"/>
  <c r="A25" i="8"/>
  <c r="A21" i="8"/>
  <c r="A13" i="8"/>
  <c r="A48" i="8"/>
  <c r="A24" i="8"/>
  <c r="A20" i="8"/>
  <c r="A8" i="8"/>
  <c r="A45" i="8"/>
  <c r="A44" i="8"/>
  <c r="A36" i="8"/>
  <c r="A16" i="8"/>
  <c r="A12" i="8"/>
  <c r="A35" i="8"/>
  <c r="A15" i="8"/>
  <c r="A11" i="8"/>
  <c r="A51" i="8"/>
  <c r="A47" i="8"/>
  <c r="A39" i="8"/>
  <c r="A31" i="8"/>
  <c r="A27" i="8"/>
  <c r="A23" i="8"/>
  <c r="A19" i="8"/>
  <c r="A7" i="8"/>
  <c r="A49" i="8"/>
  <c r="A41" i="8"/>
  <c r="A28" i="8"/>
  <c r="A43" i="8"/>
  <c r="A50" i="8"/>
  <c r="A46" i="8"/>
  <c r="A34" i="8"/>
  <c r="A26" i="8"/>
  <c r="A10" i="8"/>
  <c r="A6" i="8"/>
  <c r="A5" i="8"/>
  <c r="A3" i="8"/>
  <c r="B4" i="7" a="1"/>
  <c r="B4" i="7" s="1"/>
  <c r="C4" i="7" a="1"/>
  <c r="C4" i="7" s="1"/>
  <c r="D4" i="7" a="1"/>
  <c r="D4" i="7" s="1"/>
  <c r="E4" i="7" a="1"/>
  <c r="E4" i="7" s="1"/>
  <c r="B5" i="7" a="1"/>
  <c r="B5" i="7" s="1"/>
  <c r="C5" i="7" a="1"/>
  <c r="C5" i="7" s="1"/>
  <c r="D5" i="7" a="1"/>
  <c r="D5" i="7" s="1"/>
  <c r="E5" i="7" a="1"/>
  <c r="E5" i="7" s="1"/>
  <c r="B6" i="7" a="1"/>
  <c r="B6" i="7" s="1"/>
  <c r="C6" i="7" a="1"/>
  <c r="C6" i="7" s="1"/>
  <c r="D6" i="7" a="1"/>
  <c r="D6" i="7" s="1"/>
  <c r="E6" i="7" a="1"/>
  <c r="E6" i="7" s="1"/>
  <c r="B7" i="7" a="1"/>
  <c r="B7" i="7" s="1"/>
  <c r="C7" i="7" a="1"/>
  <c r="C7" i="7" s="1"/>
  <c r="D7" i="7" a="1"/>
  <c r="D7" i="7" s="1"/>
  <c r="E7" i="7" a="1"/>
  <c r="E7" i="7" s="1"/>
  <c r="B8" i="7" a="1"/>
  <c r="B8" i="7" s="1"/>
  <c r="C8" i="7" a="1"/>
  <c r="C8" i="7" s="1"/>
  <c r="D8" i="7" a="1"/>
  <c r="D8" i="7" s="1"/>
  <c r="E8" i="7" a="1"/>
  <c r="E8" i="7" s="1"/>
  <c r="B9" i="7" a="1"/>
  <c r="B9" i="7" s="1"/>
  <c r="C9" i="7" a="1"/>
  <c r="C9" i="7" s="1"/>
  <c r="D9" i="7" a="1"/>
  <c r="D9" i="7" s="1"/>
  <c r="E9" i="7" a="1"/>
  <c r="E9" i="7" s="1"/>
  <c r="B10" i="7" a="1"/>
  <c r="B10" i="7" s="1"/>
  <c r="C10" i="7" a="1"/>
  <c r="C10" i="7" s="1"/>
  <c r="D10" i="7" a="1"/>
  <c r="D10" i="7" s="1"/>
  <c r="E10" i="7" a="1"/>
  <c r="E10" i="7" s="1"/>
  <c r="B11" i="7" a="1"/>
  <c r="B11" i="7" s="1"/>
  <c r="C11" i="7" a="1"/>
  <c r="C11" i="7" s="1"/>
  <c r="D11" i="7" a="1"/>
  <c r="D11" i="7" s="1"/>
  <c r="E11" i="7" a="1"/>
  <c r="E11" i="7" s="1"/>
  <c r="B12" i="7" a="1"/>
  <c r="B12" i="7" s="1"/>
  <c r="C12" i="7" a="1"/>
  <c r="C12" i="7" s="1"/>
  <c r="D12" i="7" a="1"/>
  <c r="D12" i="7" s="1"/>
  <c r="E12" i="7" a="1"/>
  <c r="E12" i="7" s="1"/>
  <c r="B13" i="7" a="1"/>
  <c r="B13" i="7" s="1"/>
  <c r="C13" i="7" a="1"/>
  <c r="C13" i="7" s="1"/>
  <c r="D13" i="7" a="1"/>
  <c r="D13" i="7" s="1"/>
  <c r="E13" i="7" a="1"/>
  <c r="E13" i="7" s="1"/>
  <c r="B14" i="7" a="1"/>
  <c r="B14" i="7" s="1"/>
  <c r="C14" i="7" a="1"/>
  <c r="C14" i="7" s="1"/>
  <c r="D14" i="7" a="1"/>
  <c r="D14" i="7" s="1"/>
  <c r="E14" i="7" a="1"/>
  <c r="E14" i="7" s="1"/>
  <c r="B15" i="7" a="1"/>
  <c r="B15" i="7" s="1"/>
  <c r="C15" i="7" a="1"/>
  <c r="C15" i="7" s="1"/>
  <c r="D15" i="7" a="1"/>
  <c r="D15" i="7" s="1"/>
  <c r="E15" i="7" a="1"/>
  <c r="E15" i="7" s="1"/>
  <c r="B16" i="7" a="1"/>
  <c r="B16" i="7" s="1"/>
  <c r="C16" i="7" a="1"/>
  <c r="C16" i="7" s="1"/>
  <c r="D16" i="7" a="1"/>
  <c r="D16" i="7" s="1"/>
  <c r="E16" i="7" a="1"/>
  <c r="E16" i="7" s="1"/>
  <c r="B17" i="7" a="1"/>
  <c r="B17" i="7" s="1"/>
  <c r="C17" i="7" a="1"/>
  <c r="C17" i="7" s="1"/>
  <c r="D17" i="7" a="1"/>
  <c r="D17" i="7" s="1"/>
  <c r="E17" i="7" a="1"/>
  <c r="E17" i="7" s="1"/>
  <c r="B18" i="7" a="1"/>
  <c r="B18" i="7" s="1"/>
  <c r="C18" i="7" a="1"/>
  <c r="C18" i="7" s="1"/>
  <c r="D18" i="7" a="1"/>
  <c r="D18" i="7" s="1"/>
  <c r="E18" i="7" a="1"/>
  <c r="E18" i="7" s="1"/>
  <c r="B19" i="7" a="1"/>
  <c r="B19" i="7" s="1"/>
  <c r="C19" i="7" a="1"/>
  <c r="C19" i="7" s="1"/>
  <c r="D19" i="7" a="1"/>
  <c r="D19" i="7" s="1"/>
  <c r="E19" i="7" a="1"/>
  <c r="E19" i="7" s="1"/>
  <c r="B20" i="7" a="1"/>
  <c r="B20" i="7" s="1"/>
  <c r="C20" i="7" a="1"/>
  <c r="C20" i="7" s="1"/>
  <c r="D20" i="7" a="1"/>
  <c r="D20" i="7" s="1"/>
  <c r="E20" i="7" a="1"/>
  <c r="E20" i="7" s="1"/>
  <c r="B21" i="7" a="1"/>
  <c r="B21" i="7" s="1"/>
  <c r="C21" i="7" a="1"/>
  <c r="C21" i="7" s="1"/>
  <c r="D21" i="7" a="1"/>
  <c r="D21" i="7" s="1"/>
  <c r="E21" i="7" a="1"/>
  <c r="E21" i="7" s="1"/>
  <c r="B22" i="7" a="1"/>
  <c r="B22" i="7" s="1"/>
  <c r="C22" i="7" a="1"/>
  <c r="C22" i="7" s="1"/>
  <c r="D22" i="7" a="1"/>
  <c r="D22" i="7" s="1"/>
  <c r="E22" i="7" a="1"/>
  <c r="E22" i="7" s="1"/>
  <c r="B23" i="7" a="1"/>
  <c r="B23" i="7" s="1"/>
  <c r="C23" i="7" a="1"/>
  <c r="C23" i="7" s="1"/>
  <c r="D23" i="7" a="1"/>
  <c r="D23" i="7" s="1"/>
  <c r="E23" i="7" a="1"/>
  <c r="E23" i="7" s="1"/>
  <c r="B24" i="7" a="1"/>
  <c r="B24" i="7" s="1"/>
  <c r="C24" i="7" a="1"/>
  <c r="C24" i="7" s="1"/>
  <c r="D24" i="7" a="1"/>
  <c r="D24" i="7" s="1"/>
  <c r="E24" i="7" a="1"/>
  <c r="E24" i="7" s="1"/>
  <c r="B25" i="7" a="1"/>
  <c r="B25" i="7" s="1"/>
  <c r="C25" i="7" a="1"/>
  <c r="C25" i="7" s="1"/>
  <c r="D25" i="7" a="1"/>
  <c r="D25" i="7" s="1"/>
  <c r="E25" i="7" a="1"/>
  <c r="E25" i="7" s="1"/>
  <c r="B26" i="7" a="1"/>
  <c r="B26" i="7" s="1"/>
  <c r="C26" i="7" a="1"/>
  <c r="C26" i="7" s="1"/>
  <c r="D26" i="7" a="1"/>
  <c r="D26" i="7" s="1"/>
  <c r="E26" i="7" a="1"/>
  <c r="E26" i="7" s="1"/>
  <c r="B27" i="7" a="1"/>
  <c r="B27" i="7" s="1"/>
  <c r="C27" i="7" a="1"/>
  <c r="C27" i="7" s="1"/>
  <c r="D27" i="7" a="1"/>
  <c r="D27" i="7" s="1"/>
  <c r="E27" i="7" a="1"/>
  <c r="E27" i="7" s="1"/>
  <c r="B28" i="7" a="1"/>
  <c r="B28" i="7" s="1"/>
  <c r="C28" i="7" a="1"/>
  <c r="C28" i="7" s="1"/>
  <c r="D28" i="7" a="1"/>
  <c r="D28" i="7" s="1"/>
  <c r="E28" i="7" a="1"/>
  <c r="E28" i="7" s="1"/>
  <c r="B29" i="7" a="1"/>
  <c r="B29" i="7" s="1"/>
  <c r="C29" i="7" a="1"/>
  <c r="C29" i="7" s="1"/>
  <c r="D29" i="7" a="1"/>
  <c r="D29" i="7" s="1"/>
  <c r="E29" i="7" a="1"/>
  <c r="E29" i="7" s="1"/>
  <c r="B30" i="7" a="1"/>
  <c r="B30" i="7" s="1"/>
  <c r="C30" i="7" a="1"/>
  <c r="C30" i="7" s="1"/>
  <c r="D30" i="7" a="1"/>
  <c r="D30" i="7" s="1"/>
  <c r="E30" i="7" a="1"/>
  <c r="E30" i="7" s="1"/>
  <c r="B31" i="7" a="1"/>
  <c r="B31" i="7" s="1"/>
  <c r="C31" i="7" a="1"/>
  <c r="C31" i="7" s="1"/>
  <c r="D31" i="7" a="1"/>
  <c r="D31" i="7" s="1"/>
  <c r="E31" i="7" a="1"/>
  <c r="E31" i="7" s="1"/>
  <c r="B32" i="7" a="1"/>
  <c r="B32" i="7" s="1"/>
  <c r="C32" i="7" a="1"/>
  <c r="C32" i="7" s="1"/>
  <c r="D32" i="7" a="1"/>
  <c r="D32" i="7" s="1"/>
  <c r="E32" i="7" a="1"/>
  <c r="E32" i="7" s="1"/>
  <c r="B33" i="7" a="1"/>
  <c r="B33" i="7" s="1"/>
  <c r="C33" i="7" a="1"/>
  <c r="C33" i="7" s="1"/>
  <c r="D33" i="7" a="1"/>
  <c r="D33" i="7" s="1"/>
  <c r="E33" i="7" a="1"/>
  <c r="E33" i="7" s="1"/>
  <c r="B34" i="7" a="1"/>
  <c r="B34" i="7" s="1"/>
  <c r="C34" i="7" a="1"/>
  <c r="C34" i="7" s="1"/>
  <c r="D34" i="7" a="1"/>
  <c r="D34" i="7" s="1"/>
  <c r="E34" i="7" a="1"/>
  <c r="E34" i="7" s="1"/>
  <c r="B35" i="7" a="1"/>
  <c r="B35" i="7" s="1"/>
  <c r="C35" i="7" a="1"/>
  <c r="C35" i="7" s="1"/>
  <c r="D35" i="7" a="1"/>
  <c r="D35" i="7" s="1"/>
  <c r="E35" i="7" a="1"/>
  <c r="E35" i="7" s="1"/>
  <c r="B36" i="7" a="1"/>
  <c r="B36" i="7" s="1"/>
  <c r="C36" i="7" a="1"/>
  <c r="C36" i="7" s="1"/>
  <c r="D36" i="7" a="1"/>
  <c r="D36" i="7" s="1"/>
  <c r="E36" i="7" a="1"/>
  <c r="E36" i="7" s="1"/>
  <c r="B37" i="7" a="1"/>
  <c r="B37" i="7" s="1"/>
  <c r="C37" i="7" a="1"/>
  <c r="C37" i="7" s="1"/>
  <c r="D37" i="7" a="1"/>
  <c r="D37" i="7" s="1"/>
  <c r="E37" i="7" a="1"/>
  <c r="E37" i="7" s="1"/>
  <c r="B38" i="7" a="1"/>
  <c r="B38" i="7" s="1"/>
  <c r="C38" i="7" a="1"/>
  <c r="C38" i="7" s="1"/>
  <c r="D38" i="7" a="1"/>
  <c r="D38" i="7" s="1"/>
  <c r="E38" i="7" a="1"/>
  <c r="E38" i="7" s="1"/>
  <c r="D39" i="7" a="1"/>
  <c r="D39" i="7" s="1"/>
  <c r="B40" i="7" a="1"/>
  <c r="B40" i="7" s="1"/>
  <c r="C40" i="7" a="1"/>
  <c r="C40" i="7" s="1"/>
  <c r="D40" i="7" a="1"/>
  <c r="D40" i="7" s="1"/>
  <c r="E40" i="7" a="1"/>
  <c r="E40" i="7" s="1"/>
  <c r="B41" i="7" a="1"/>
  <c r="B41" i="7" s="1"/>
  <c r="C41" i="7" a="1"/>
  <c r="C41" i="7" s="1"/>
  <c r="D41" i="7" a="1"/>
  <c r="D41" i="7" s="1"/>
  <c r="E41" i="7" a="1"/>
  <c r="E41" i="7" s="1"/>
  <c r="B42" i="7" a="1"/>
  <c r="B42" i="7" s="1"/>
  <c r="C42" i="7" a="1"/>
  <c r="C42" i="7" s="1"/>
  <c r="D42" i="7" a="1"/>
  <c r="D42" i="7" s="1"/>
  <c r="E42" i="7" a="1"/>
  <c r="E42" i="7" s="1"/>
  <c r="B43" i="7" a="1"/>
  <c r="B43" i="7" s="1"/>
  <c r="C43" i="7" a="1"/>
  <c r="C43" i="7" s="1"/>
  <c r="D43" i="7" a="1"/>
  <c r="D43" i="7" s="1"/>
  <c r="E43" i="7" a="1"/>
  <c r="E43" i="7" s="1"/>
  <c r="B44" i="7" a="1"/>
  <c r="B44" i="7" s="1"/>
  <c r="C44" i="7" a="1"/>
  <c r="C44" i="7" s="1"/>
  <c r="D44" i="7" a="1"/>
  <c r="D44" i="7" s="1"/>
  <c r="E44" i="7" a="1"/>
  <c r="E44" i="7" s="1"/>
  <c r="B45" i="7" a="1"/>
  <c r="B45" i="7" s="1"/>
  <c r="C45" i="7" a="1"/>
  <c r="C45" i="7" s="1"/>
  <c r="D45" i="7" a="1"/>
  <c r="D45" i="7" s="1"/>
  <c r="E45" i="7" a="1"/>
  <c r="E45" i="7" s="1"/>
  <c r="B46" i="7" a="1"/>
  <c r="B46" i="7" s="1"/>
  <c r="C46" i="7" a="1"/>
  <c r="C46" i="7" s="1"/>
  <c r="D46" i="7" a="1"/>
  <c r="D46" i="7" s="1"/>
  <c r="E46" i="7" a="1"/>
  <c r="E46" i="7" s="1"/>
  <c r="B47" i="7" a="1"/>
  <c r="B47" i="7" s="1"/>
  <c r="C47" i="7" a="1"/>
  <c r="C47" i="7" s="1"/>
  <c r="D47" i="7" a="1"/>
  <c r="D47" i="7" s="1"/>
  <c r="E47" i="7" a="1"/>
  <c r="E47" i="7" s="1"/>
  <c r="B48" i="7" a="1"/>
  <c r="B48" i="7" s="1"/>
  <c r="C48" i="7" a="1"/>
  <c r="C48" i="7" s="1"/>
  <c r="D48" i="7" a="1"/>
  <c r="D48" i="7" s="1"/>
  <c r="E48" i="7" a="1"/>
  <c r="E48" i="7" s="1"/>
  <c r="B49" i="7" a="1"/>
  <c r="B49" i="7" s="1"/>
  <c r="C49" i="7" a="1"/>
  <c r="C49" i="7" s="1"/>
  <c r="D49" i="7" a="1"/>
  <c r="D49" i="7" s="1"/>
  <c r="E49" i="7" a="1"/>
  <c r="E49" i="7" s="1"/>
  <c r="B50" i="7" a="1"/>
  <c r="B50" i="7" s="1"/>
  <c r="C50" i="7" a="1"/>
  <c r="C50" i="7" s="1"/>
  <c r="D50" i="7" a="1"/>
  <c r="D50" i="7" s="1"/>
  <c r="E50" i="7" a="1"/>
  <c r="E50" i="7" s="1"/>
  <c r="B51" i="7" a="1"/>
  <c r="B51" i="7" s="1"/>
  <c r="C51" i="7" a="1"/>
  <c r="C51" i="7" s="1"/>
  <c r="D51" i="7" a="1"/>
  <c r="D51" i="7" s="1"/>
  <c r="E51" i="7" a="1"/>
  <c r="E51" i="7" s="1"/>
  <c r="B45" i="1"/>
  <c r="B2" i="2"/>
  <c r="B1" i="2"/>
  <c r="B25" i="1"/>
  <c r="B24" i="1"/>
  <c r="B23" i="1"/>
  <c r="B22" i="1"/>
  <c r="F20" i="1"/>
  <c r="A25" i="1" s="1"/>
  <c r="D14" i="1"/>
  <c r="E20" i="1" s="1"/>
  <c r="A24" i="1" s="1"/>
  <c r="C14" i="1"/>
  <c r="D20" i="1" s="1"/>
  <c r="A23" i="1" s="1"/>
  <c r="B14" i="1"/>
  <c r="C20" i="1" s="1"/>
  <c r="A22" i="1" s="1"/>
  <c r="B2" i="1"/>
  <c r="AI4" i="2" a="1"/>
  <c r="E22" i="1" l="1"/>
  <c r="F23" i="1"/>
  <c r="E25" i="1"/>
  <c r="F24" i="1"/>
  <c r="B39" i="7" a="1"/>
  <c r="B39" i="7" s="1"/>
  <c r="A54" i="7" s="1" a="1"/>
  <c r="A54" i="7" s="1"/>
  <c r="B54" i="7" s="1" a="1"/>
  <c r="B54" i="7" s="1"/>
  <c r="B77" i="7" s="1"/>
  <c r="D2" i="7"/>
  <c r="E39" i="7" a="1"/>
  <c r="E39" i="7" s="1"/>
  <c r="C39" i="7" a="1"/>
  <c r="C39" i="7" s="1"/>
  <c r="D25" i="1"/>
  <c r="D24" i="1"/>
  <c r="F25" i="1"/>
  <c r="D23" i="1"/>
  <c r="E23" i="1"/>
  <c r="E24" i="1"/>
  <c r="C24" i="1"/>
  <c r="F22" i="1"/>
  <c r="D22" i="1"/>
  <c r="C25" i="1"/>
  <c r="C22" i="1"/>
  <c r="C23" i="1"/>
  <c r="AI3" i="3"/>
  <c r="AI5" i="3"/>
  <c r="AI7" i="3"/>
  <c r="AI9" i="3"/>
  <c r="AI11" i="3"/>
  <c r="AI2" i="3"/>
  <c r="AI4" i="3"/>
  <c r="AI6" i="3"/>
  <c r="AI8" i="3"/>
  <c r="AI10" i="3"/>
  <c r="AI12" i="3"/>
  <c r="AI14" i="3"/>
  <c r="AI16" i="3"/>
  <c r="AI18" i="3"/>
  <c r="AI20" i="3"/>
  <c r="AI22" i="3"/>
  <c r="AI24" i="3"/>
  <c r="AI26" i="3"/>
  <c r="AI28" i="3"/>
  <c r="AI30" i="3"/>
  <c r="AI32" i="3"/>
  <c r="AI34" i="3"/>
  <c r="AI15" i="3"/>
  <c r="AI19" i="3"/>
  <c r="AI23" i="3"/>
  <c r="AI27" i="3"/>
  <c r="AI31" i="3"/>
  <c r="AI35" i="3"/>
  <c r="AI13" i="3"/>
  <c r="AI17" i="3"/>
  <c r="AI21" i="3"/>
  <c r="AI33" i="3"/>
  <c r="AI25" i="3"/>
  <c r="AI29" i="3"/>
  <c r="AI41" i="3"/>
  <c r="AI52" i="3"/>
  <c r="AI56" i="3"/>
  <c r="AI60" i="3"/>
  <c r="AI36" i="3"/>
  <c r="AI38" i="3"/>
  <c r="AI46" i="3"/>
  <c r="AI53" i="3"/>
  <c r="AI57" i="3"/>
  <c r="AI43" i="3"/>
  <c r="AI37" i="3"/>
  <c r="AI54" i="3"/>
  <c r="AI50" i="3"/>
  <c r="AI47" i="3"/>
  <c r="AI40" i="3"/>
  <c r="AI45" i="3"/>
  <c r="AI42" i="3"/>
  <c r="AI51" i="3"/>
  <c r="AI55" i="3"/>
  <c r="AI49" i="3"/>
  <c r="AI44" i="3"/>
  <c r="AI58" i="3"/>
  <c r="AI59" i="3"/>
  <c r="AI39" i="3"/>
  <c r="AI48" i="3"/>
  <c r="AI4" i="2"/>
  <c r="AO4" i="2" a="1"/>
  <c r="C4" i="2" a="1"/>
  <c r="AV4" i="2" a="1"/>
  <c r="AB4" i="2" a="1"/>
  <c r="AC4" i="2" a="1"/>
  <c r="I4" i="2" a="1"/>
  <c r="G4" i="2" a="1"/>
  <c r="T4" i="2" a="1"/>
  <c r="W4" i="2" a="1"/>
  <c r="AD4" i="2" a="1"/>
  <c r="K4" i="2" a="1"/>
  <c r="AN4" i="2" a="1"/>
  <c r="J4" i="2" a="1"/>
  <c r="F4" i="2" a="1"/>
  <c r="U4" i="2" a="1"/>
  <c r="AK4" i="2" a="1"/>
  <c r="X4" i="2" a="1"/>
  <c r="S4" i="2" a="1"/>
  <c r="N4" i="2" a="1"/>
  <c r="V4" i="2" a="1"/>
  <c r="AF4" i="2" a="1"/>
  <c r="AP4" i="2" a="1"/>
  <c r="AA4" i="2" a="1"/>
  <c r="AS4" i="2" a="1"/>
  <c r="L4" i="2" a="1"/>
  <c r="Q4" i="2" a="1"/>
  <c r="AE4" i="2" a="1"/>
  <c r="M4" i="2" a="1"/>
  <c r="H4" i="2" a="1"/>
  <c r="AG4" i="2" a="1"/>
  <c r="P4" i="2" a="1"/>
  <c r="AM4" i="2" a="1"/>
  <c r="AU4" i="2" a="1"/>
  <c r="AL4" i="2" a="1"/>
  <c r="AH4" i="2" a="1"/>
  <c r="Z4" i="2" a="1"/>
  <c r="O4" i="2" a="1"/>
  <c r="A4" i="2" a="1"/>
  <c r="E4" i="2" a="1"/>
  <c r="D4" i="2" a="1"/>
  <c r="AT4" i="2" a="1"/>
  <c r="R4" i="2" a="1"/>
  <c r="AR4" i="2" a="1"/>
  <c r="AJ4" i="2" a="1"/>
  <c r="AW4" i="2" a="1"/>
  <c r="Y4" i="2" a="1"/>
  <c r="AQ4" i="2" a="1"/>
  <c r="E28" i="1" l="1"/>
  <c r="D28" i="1"/>
  <c r="AC6" i="3"/>
  <c r="AC37" i="3"/>
  <c r="AC53" i="3"/>
  <c r="AC27" i="3"/>
  <c r="AC34" i="3"/>
  <c r="AC50" i="3"/>
  <c r="AC23" i="3"/>
  <c r="AC9" i="3"/>
  <c r="AC39" i="3"/>
  <c r="AC55" i="3"/>
  <c r="AC31" i="3"/>
  <c r="AC36" i="3"/>
  <c r="AC52" i="3"/>
  <c r="AC17" i="3"/>
  <c r="AC12" i="3"/>
  <c r="AC41" i="3"/>
  <c r="AC57" i="3"/>
  <c r="AC35" i="3"/>
  <c r="AC38" i="3"/>
  <c r="AC54" i="3"/>
  <c r="AC11" i="3"/>
  <c r="AC16" i="3"/>
  <c r="AC43" i="3"/>
  <c r="AC59" i="3"/>
  <c r="AC14" i="3"/>
  <c r="AC40" i="3"/>
  <c r="AC56" i="3"/>
  <c r="AC25" i="3"/>
  <c r="AC3" i="3"/>
  <c r="AC24" i="3"/>
  <c r="AC47" i="3"/>
  <c r="AC10" i="3"/>
  <c r="AC22" i="3"/>
  <c r="AC44" i="3"/>
  <c r="AC60" i="3"/>
  <c r="AC13" i="3"/>
  <c r="AC7" i="3"/>
  <c r="AC32" i="3"/>
  <c r="AC51" i="3"/>
  <c r="AC19" i="3"/>
  <c r="AC30" i="3"/>
  <c r="AC48" i="3"/>
  <c r="AC15" i="3"/>
  <c r="AC33" i="3"/>
  <c r="AC4" i="3"/>
  <c r="AC29" i="3"/>
  <c r="AC2" i="3"/>
  <c r="AC21" i="3"/>
  <c r="AC18" i="3"/>
  <c r="AC5" i="3"/>
  <c r="AC26" i="3"/>
  <c r="AC20" i="3"/>
  <c r="AC42" i="3"/>
  <c r="AC28" i="3"/>
  <c r="AC46" i="3"/>
  <c r="AC49" i="3"/>
  <c r="AC8" i="3"/>
  <c r="AC45" i="3"/>
  <c r="AC58" i="3"/>
  <c r="AC4" i="2"/>
  <c r="T3" i="3"/>
  <c r="T52" i="3"/>
  <c r="T2" i="3"/>
  <c r="T8" i="3"/>
  <c r="T24" i="3"/>
  <c r="T26" i="3"/>
  <c r="T53" i="3"/>
  <c r="T9" i="3"/>
  <c r="T6" i="3"/>
  <c r="T43" i="3"/>
  <c r="T11" i="3"/>
  <c r="T10" i="3"/>
  <c r="T55" i="3"/>
  <c r="T31" i="3"/>
  <c r="T40" i="3"/>
  <c r="T12" i="3"/>
  <c r="T4" i="3"/>
  <c r="T45" i="3"/>
  <c r="T13" i="3"/>
  <c r="T30" i="3"/>
  <c r="T21" i="3"/>
  <c r="T54" i="3"/>
  <c r="T60" i="3"/>
  <c r="T25" i="3"/>
  <c r="T17" i="3"/>
  <c r="T46" i="3"/>
  <c r="T14" i="3"/>
  <c r="T37" i="3"/>
  <c r="T35" i="3"/>
  <c r="T58" i="3"/>
  <c r="T29" i="3"/>
  <c r="T28" i="3"/>
  <c r="T20" i="3"/>
  <c r="T47" i="3"/>
  <c r="T15" i="3"/>
  <c r="T32" i="3"/>
  <c r="T39" i="3"/>
  <c r="T23" i="3"/>
  <c r="T57" i="3"/>
  <c r="T49" i="3"/>
  <c r="T59" i="3"/>
  <c r="T7" i="3"/>
  <c r="T56" i="3"/>
  <c r="T51" i="3"/>
  <c r="T34" i="3"/>
  <c r="T41" i="3"/>
  <c r="T22" i="3"/>
  <c r="T44" i="3"/>
  <c r="T27" i="3"/>
  <c r="T16" i="3"/>
  <c r="T33" i="3"/>
  <c r="T5" i="3"/>
  <c r="T36" i="3"/>
  <c r="T19" i="3"/>
  <c r="T4" i="2"/>
  <c r="T48" i="3"/>
  <c r="T38" i="3"/>
  <c r="T50" i="3"/>
  <c r="T42" i="3"/>
  <c r="T18" i="3"/>
  <c r="AR13" i="3"/>
  <c r="AR45" i="3"/>
  <c r="AR14" i="3"/>
  <c r="AR46" i="3"/>
  <c r="AR23" i="3"/>
  <c r="AR55" i="3"/>
  <c r="AR28" i="3"/>
  <c r="AR60" i="3"/>
  <c r="AR17" i="3"/>
  <c r="AR49" i="3"/>
  <c r="AR18" i="3"/>
  <c r="AR50" i="3"/>
  <c r="AR27" i="3"/>
  <c r="AR59" i="3"/>
  <c r="AR32" i="3"/>
  <c r="AR21" i="3"/>
  <c r="AR53" i="3"/>
  <c r="AR22" i="3"/>
  <c r="AR54" i="3"/>
  <c r="AR31" i="3"/>
  <c r="AR4" i="3"/>
  <c r="AR36" i="3"/>
  <c r="AR25" i="3"/>
  <c r="AR57" i="3"/>
  <c r="AR26" i="3"/>
  <c r="AR3" i="3"/>
  <c r="AR35" i="3"/>
  <c r="AR8" i="3"/>
  <c r="AR40" i="3"/>
  <c r="AR33" i="3"/>
  <c r="AR2" i="3"/>
  <c r="AR34" i="3"/>
  <c r="AR11" i="3"/>
  <c r="AR43" i="3"/>
  <c r="AR16" i="3"/>
  <c r="AR48" i="3"/>
  <c r="AR9" i="3"/>
  <c r="AR41" i="3"/>
  <c r="AR10" i="3"/>
  <c r="AR42" i="3"/>
  <c r="AR19" i="3"/>
  <c r="AR51" i="3"/>
  <c r="AR24" i="3"/>
  <c r="AR56" i="3"/>
  <c r="AR7" i="3"/>
  <c r="AR5" i="3"/>
  <c r="AR15" i="3"/>
  <c r="AR29" i="3"/>
  <c r="AR39" i="3"/>
  <c r="AR37" i="3"/>
  <c r="AR47" i="3"/>
  <c r="AR58" i="3"/>
  <c r="AR12" i="3"/>
  <c r="AR6" i="3"/>
  <c r="AR20" i="3"/>
  <c r="AR38" i="3"/>
  <c r="AR52" i="3"/>
  <c r="AR4" i="2"/>
  <c r="AR30" i="3"/>
  <c r="AR44" i="3"/>
  <c r="B12" i="3"/>
  <c r="B13" i="3"/>
  <c r="B23" i="3"/>
  <c r="B17" i="3"/>
  <c r="B26" i="3"/>
  <c r="B27" i="3"/>
  <c r="B30" i="3"/>
  <c r="B56" i="3"/>
  <c r="A36" i="3"/>
  <c r="A53" i="3"/>
  <c r="A23" i="3"/>
  <c r="A35" i="3"/>
  <c r="A56" i="3"/>
  <c r="A18" i="3"/>
  <c r="A3" i="3"/>
  <c r="A4" i="2"/>
  <c r="B59" i="3"/>
  <c r="B60" i="3"/>
  <c r="B8" i="3"/>
  <c r="A57" i="3"/>
  <c r="B5" i="3"/>
  <c r="B40" i="3"/>
  <c r="A27" i="3"/>
  <c r="B20" i="3"/>
  <c r="B21" i="3"/>
  <c r="B39" i="3"/>
  <c r="B25" i="3"/>
  <c r="B34" i="3"/>
  <c r="B35" i="3"/>
  <c r="B38" i="3"/>
  <c r="B2" i="3"/>
  <c r="A44" i="3"/>
  <c r="A14" i="3"/>
  <c r="A31" i="3"/>
  <c r="A43" i="3"/>
  <c r="A17" i="3"/>
  <c r="A26" i="3"/>
  <c r="A6" i="3"/>
  <c r="B31" i="3"/>
  <c r="A41" i="3"/>
  <c r="A2" i="3"/>
  <c r="B10" i="3"/>
  <c r="A54" i="3"/>
  <c r="B18" i="3"/>
  <c r="B22" i="3"/>
  <c r="A15" i="3"/>
  <c r="B28" i="3"/>
  <c r="B29" i="3"/>
  <c r="B47" i="3"/>
  <c r="B33" i="3"/>
  <c r="B42" i="3"/>
  <c r="B43" i="3"/>
  <c r="B46" i="3"/>
  <c r="A58" i="3"/>
  <c r="A52" i="3"/>
  <c r="A22" i="3"/>
  <c r="A39" i="3"/>
  <c r="A51" i="3"/>
  <c r="A25" i="3"/>
  <c r="A34" i="3"/>
  <c r="A7" i="3"/>
  <c r="A60" i="3"/>
  <c r="B14" i="3"/>
  <c r="A40" i="3"/>
  <c r="B15" i="3"/>
  <c r="A5" i="3"/>
  <c r="B36" i="3"/>
  <c r="B37" i="3"/>
  <c r="B16" i="3"/>
  <c r="B41" i="3"/>
  <c r="B50" i="3"/>
  <c r="B51" i="3"/>
  <c r="B54" i="3"/>
  <c r="A59" i="3"/>
  <c r="A13" i="3"/>
  <c r="A30" i="3"/>
  <c r="A47" i="3"/>
  <c r="A16" i="3"/>
  <c r="A33" i="3"/>
  <c r="A42" i="3"/>
  <c r="A9" i="3"/>
  <c r="B58" i="3"/>
  <c r="A24" i="3"/>
  <c r="B24" i="3"/>
  <c r="A37" i="3"/>
  <c r="A8" i="3"/>
  <c r="B19" i="3"/>
  <c r="A48" i="3"/>
  <c r="B44" i="3"/>
  <c r="B45" i="3"/>
  <c r="B32" i="3"/>
  <c r="B49" i="3"/>
  <c r="A21" i="3"/>
  <c r="A38" i="3"/>
  <c r="A55" i="3"/>
  <c r="A50" i="3"/>
  <c r="B7" i="3"/>
  <c r="A20" i="3"/>
  <c r="B4" i="3"/>
  <c r="A45" i="3"/>
  <c r="B52" i="3"/>
  <c r="B53" i="3"/>
  <c r="B48" i="3"/>
  <c r="B57" i="3"/>
  <c r="B3" i="3"/>
  <c r="B6" i="3"/>
  <c r="B55" i="3"/>
  <c r="A12" i="3"/>
  <c r="A29" i="3"/>
  <c r="A46" i="3"/>
  <c r="A11" i="3"/>
  <c r="A32" i="3"/>
  <c r="A49" i="3"/>
  <c r="A4" i="3"/>
  <c r="B11" i="3"/>
  <c r="A19" i="3"/>
  <c r="B9" i="3"/>
  <c r="A28" i="3"/>
  <c r="A10" i="3"/>
  <c r="I15" i="3"/>
  <c r="I46" i="3"/>
  <c r="I29" i="3"/>
  <c r="I50" i="3"/>
  <c r="I25" i="3"/>
  <c r="I17" i="3"/>
  <c r="I59" i="3"/>
  <c r="I30" i="3"/>
  <c r="I12" i="3"/>
  <c r="I21" i="3"/>
  <c r="I23" i="3"/>
  <c r="I54" i="3"/>
  <c r="I45" i="3"/>
  <c r="I58" i="3"/>
  <c r="I56" i="3"/>
  <c r="I44" i="3"/>
  <c r="I3" i="3"/>
  <c r="I4" i="2"/>
  <c r="I13" i="3"/>
  <c r="I42" i="3"/>
  <c r="I31" i="3"/>
  <c r="I5" i="3"/>
  <c r="I2" i="3"/>
  <c r="I9" i="3"/>
  <c r="I47" i="3"/>
  <c r="I36" i="3"/>
  <c r="I39" i="3"/>
  <c r="I33" i="3"/>
  <c r="I48" i="3"/>
  <c r="I8" i="3"/>
  <c r="I6" i="3"/>
  <c r="I37" i="3"/>
  <c r="I10" i="3"/>
  <c r="I11" i="3"/>
  <c r="I49" i="3"/>
  <c r="I55" i="3"/>
  <c r="I41" i="3"/>
  <c r="I34" i="3"/>
  <c r="I16" i="3"/>
  <c r="I14" i="3"/>
  <c r="I53" i="3"/>
  <c r="I18" i="3"/>
  <c r="I28" i="3"/>
  <c r="I60" i="3"/>
  <c r="I57" i="3"/>
  <c r="I52" i="3"/>
  <c r="I40" i="3"/>
  <c r="I24" i="3"/>
  <c r="I22" i="3"/>
  <c r="I4" i="3"/>
  <c r="I26" i="3"/>
  <c r="I43" i="3"/>
  <c r="I20" i="3"/>
  <c r="I27" i="3"/>
  <c r="I51" i="3"/>
  <c r="I32" i="3"/>
  <c r="I35" i="3"/>
  <c r="I19" i="3"/>
  <c r="I7" i="3"/>
  <c r="I38" i="3"/>
  <c r="G30" i="3"/>
  <c r="G12" i="3"/>
  <c r="G35" i="3"/>
  <c r="G10" i="3"/>
  <c r="G7" i="3"/>
  <c r="G26" i="3"/>
  <c r="G33" i="3"/>
  <c r="G4" i="2"/>
  <c r="G14" i="3"/>
  <c r="G58" i="3"/>
  <c r="G38" i="3"/>
  <c r="G20" i="3"/>
  <c r="G51" i="3"/>
  <c r="G8" i="3"/>
  <c r="G15" i="3"/>
  <c r="G42" i="3"/>
  <c r="G39" i="3"/>
  <c r="G48" i="3"/>
  <c r="G5" i="3"/>
  <c r="G28" i="3"/>
  <c r="G2" i="3"/>
  <c r="G16" i="3"/>
  <c r="G25" i="3"/>
  <c r="G17" i="3"/>
  <c r="G50" i="3"/>
  <c r="G55" i="3"/>
  <c r="G13" i="3"/>
  <c r="G36" i="3"/>
  <c r="G11" i="3"/>
  <c r="G24" i="3"/>
  <c r="G31" i="3"/>
  <c r="G23" i="3"/>
  <c r="G41" i="3"/>
  <c r="G60" i="3"/>
  <c r="G9" i="3"/>
  <c r="G21" i="3"/>
  <c r="G44" i="3"/>
  <c r="G19" i="3"/>
  <c r="G32" i="3"/>
  <c r="G45" i="3"/>
  <c r="G46" i="3"/>
  <c r="G34" i="3"/>
  <c r="G37" i="3"/>
  <c r="G6" i="3"/>
  <c r="G29" i="3"/>
  <c r="G52" i="3"/>
  <c r="G27" i="3"/>
  <c r="G40" i="3"/>
  <c r="G47" i="3"/>
  <c r="G57" i="3"/>
  <c r="G54" i="3"/>
  <c r="G43" i="3"/>
  <c r="G22" i="3"/>
  <c r="G4" i="3"/>
  <c r="G3" i="3"/>
  <c r="G59" i="3"/>
  <c r="G56" i="3"/>
  <c r="G49" i="3"/>
  <c r="G18" i="3"/>
  <c r="G53" i="3"/>
  <c r="H30" i="3"/>
  <c r="H53" i="3"/>
  <c r="H52" i="3"/>
  <c r="H57" i="3"/>
  <c r="H58" i="3"/>
  <c r="H27" i="3"/>
  <c r="H39" i="3"/>
  <c r="H14" i="3"/>
  <c r="H16" i="3"/>
  <c r="H24" i="3"/>
  <c r="H7" i="3"/>
  <c r="H38" i="3"/>
  <c r="H4" i="3"/>
  <c r="H3" i="3"/>
  <c r="H8" i="3"/>
  <c r="H35" i="3"/>
  <c r="H46" i="3"/>
  <c r="H50" i="3"/>
  <c r="H41" i="3"/>
  <c r="H45" i="3"/>
  <c r="H49" i="3"/>
  <c r="H15" i="3"/>
  <c r="H5" i="3"/>
  <c r="H12" i="3"/>
  <c r="H9" i="3"/>
  <c r="H19" i="3"/>
  <c r="H40" i="3"/>
  <c r="H48" i="3"/>
  <c r="H11" i="3"/>
  <c r="H18" i="3"/>
  <c r="H23" i="3"/>
  <c r="H13" i="3"/>
  <c r="H20" i="3"/>
  <c r="H17" i="3"/>
  <c r="H34" i="3"/>
  <c r="H51" i="3"/>
  <c r="H59" i="3"/>
  <c r="H43" i="3"/>
  <c r="H42" i="3"/>
  <c r="H31" i="3"/>
  <c r="H21" i="3"/>
  <c r="H28" i="3"/>
  <c r="H25" i="3"/>
  <c r="H54" i="3"/>
  <c r="H26" i="3"/>
  <c r="H2" i="3"/>
  <c r="H37" i="3"/>
  <c r="H47" i="3"/>
  <c r="H6" i="3"/>
  <c r="H29" i="3"/>
  <c r="H44" i="3"/>
  <c r="H33" i="3"/>
  <c r="H56" i="3"/>
  <c r="H32" i="3"/>
  <c r="H10" i="3"/>
  <c r="H4" i="2"/>
  <c r="H60" i="3"/>
  <c r="H22" i="3"/>
  <c r="H36" i="3"/>
  <c r="H55" i="3"/>
  <c r="F5" i="3"/>
  <c r="F28" i="3"/>
  <c r="F51" i="3"/>
  <c r="F34" i="3"/>
  <c r="F55" i="3"/>
  <c r="F17" i="3"/>
  <c r="F33" i="3"/>
  <c r="F45" i="3"/>
  <c r="F12" i="3"/>
  <c r="F40" i="3"/>
  <c r="F13" i="3"/>
  <c r="F36" i="3"/>
  <c r="F59" i="3"/>
  <c r="F50" i="3"/>
  <c r="F6" i="3"/>
  <c r="F32" i="3"/>
  <c r="F48" i="3"/>
  <c r="F56" i="3"/>
  <c r="F35" i="3"/>
  <c r="F21" i="3"/>
  <c r="F3" i="3"/>
  <c r="F10" i="3"/>
  <c r="F7" i="3"/>
  <c r="F14" i="3"/>
  <c r="F38" i="3"/>
  <c r="F24" i="3"/>
  <c r="F57" i="3"/>
  <c r="F4" i="2"/>
  <c r="F54" i="3"/>
  <c r="F29" i="3"/>
  <c r="F11" i="3"/>
  <c r="F18" i="3"/>
  <c r="F15" i="3"/>
  <c r="F16" i="3"/>
  <c r="F53" i="3"/>
  <c r="F30" i="3"/>
  <c r="F39" i="3"/>
  <c r="F37" i="3"/>
  <c r="F19" i="3"/>
  <c r="F26" i="3"/>
  <c r="F23" i="3"/>
  <c r="F22" i="3"/>
  <c r="F8" i="3"/>
  <c r="F41" i="3"/>
  <c r="F46" i="3"/>
  <c r="F4" i="3"/>
  <c r="F27" i="3"/>
  <c r="F42" i="3"/>
  <c r="F31" i="3"/>
  <c r="F49" i="3"/>
  <c r="F44" i="3"/>
  <c r="F52" i="3"/>
  <c r="F58" i="3"/>
  <c r="F20" i="3"/>
  <c r="F43" i="3"/>
  <c r="F2" i="3"/>
  <c r="F47" i="3"/>
  <c r="F60" i="3"/>
  <c r="F9" i="3"/>
  <c r="F25" i="3"/>
  <c r="K13" i="3"/>
  <c r="K29" i="3"/>
  <c r="K45" i="3"/>
  <c r="K12" i="3"/>
  <c r="K30" i="3"/>
  <c r="K58" i="3"/>
  <c r="K10" i="3"/>
  <c r="K15" i="3"/>
  <c r="K31" i="3"/>
  <c r="K47" i="3"/>
  <c r="K28" i="3"/>
  <c r="K32" i="3"/>
  <c r="K42" i="3"/>
  <c r="K14" i="3"/>
  <c r="K17" i="3"/>
  <c r="K33" i="3"/>
  <c r="K49" i="3"/>
  <c r="K44" i="3"/>
  <c r="K34" i="3"/>
  <c r="K18" i="3"/>
  <c r="K48" i="3"/>
  <c r="K3" i="3"/>
  <c r="K19" i="3"/>
  <c r="K35" i="3"/>
  <c r="K51" i="3"/>
  <c r="K6" i="3"/>
  <c r="K22" i="3"/>
  <c r="K46" i="3"/>
  <c r="K60" i="3"/>
  <c r="K5" i="3"/>
  <c r="K21" i="3"/>
  <c r="K37" i="3"/>
  <c r="K53" i="3"/>
  <c r="K4" i="3"/>
  <c r="K24" i="3"/>
  <c r="K50" i="3"/>
  <c r="K40" i="3"/>
  <c r="K11" i="3"/>
  <c r="K27" i="3"/>
  <c r="K43" i="3"/>
  <c r="K2" i="3"/>
  <c r="K52" i="3"/>
  <c r="K54" i="3"/>
  <c r="K16" i="3"/>
  <c r="K55" i="3"/>
  <c r="K59" i="3"/>
  <c r="K38" i="3"/>
  <c r="K4" i="2"/>
  <c r="K57" i="3"/>
  <c r="K7" i="3"/>
  <c r="K20" i="3"/>
  <c r="K9" i="3"/>
  <c r="K36" i="3"/>
  <c r="K39" i="3"/>
  <c r="K23" i="3"/>
  <c r="K26" i="3"/>
  <c r="K25" i="3"/>
  <c r="K8" i="3"/>
  <c r="K41" i="3"/>
  <c r="K56" i="3"/>
  <c r="AU32" i="3"/>
  <c r="AU46" i="3"/>
  <c r="AU29" i="3"/>
  <c r="AU38" i="3"/>
  <c r="AU26" i="3"/>
  <c r="AU23" i="3"/>
  <c r="AU58" i="3"/>
  <c r="AU4" i="3"/>
  <c r="AU36" i="3"/>
  <c r="AU42" i="3"/>
  <c r="AU33" i="3"/>
  <c r="AU50" i="3"/>
  <c r="AU30" i="3"/>
  <c r="AU27" i="3"/>
  <c r="AU31" i="3"/>
  <c r="AU8" i="3"/>
  <c r="AU40" i="3"/>
  <c r="AU5" i="3"/>
  <c r="AU37" i="3"/>
  <c r="AU2" i="3"/>
  <c r="AU34" i="3"/>
  <c r="AU55" i="3"/>
  <c r="AU39" i="3"/>
  <c r="AU12" i="3"/>
  <c r="AU44" i="3"/>
  <c r="AU9" i="3"/>
  <c r="AU41" i="3"/>
  <c r="AU6" i="3"/>
  <c r="AU3" i="3"/>
  <c r="AU59" i="3"/>
  <c r="AU47" i="3"/>
  <c r="AU20" i="3"/>
  <c r="AU52" i="3"/>
  <c r="AU17" i="3"/>
  <c r="AU49" i="3"/>
  <c r="AU14" i="3"/>
  <c r="AU11" i="3"/>
  <c r="AU43" i="3"/>
  <c r="AU28" i="3"/>
  <c r="AU60" i="3"/>
  <c r="AU25" i="3"/>
  <c r="AU57" i="3"/>
  <c r="AU22" i="3"/>
  <c r="AU19" i="3"/>
  <c r="AU54" i="3"/>
  <c r="AU16" i="3"/>
  <c r="AU10" i="3"/>
  <c r="AU24" i="3"/>
  <c r="AU18" i="3"/>
  <c r="AU48" i="3"/>
  <c r="AU7" i="3"/>
  <c r="AU56" i="3"/>
  <c r="AU15" i="3"/>
  <c r="AU13" i="3"/>
  <c r="AU35" i="3"/>
  <c r="AU21" i="3"/>
  <c r="AU51" i="3"/>
  <c r="AU53" i="3"/>
  <c r="AU4" i="2"/>
  <c r="AU45" i="3"/>
  <c r="AJ13" i="3"/>
  <c r="AJ29" i="3"/>
  <c r="AJ10" i="3"/>
  <c r="AJ26" i="3"/>
  <c r="AJ43" i="3"/>
  <c r="AJ48" i="3"/>
  <c r="AJ53" i="3"/>
  <c r="AJ15" i="3"/>
  <c r="AJ31" i="3"/>
  <c r="AJ12" i="3"/>
  <c r="AJ28" i="3"/>
  <c r="AJ45" i="3"/>
  <c r="AJ50" i="3"/>
  <c r="AJ57" i="3"/>
  <c r="AJ17" i="3"/>
  <c r="AJ33" i="3"/>
  <c r="AJ14" i="3"/>
  <c r="AJ30" i="3"/>
  <c r="AJ36" i="3"/>
  <c r="AJ52" i="3"/>
  <c r="AJ59" i="3"/>
  <c r="AJ3" i="3"/>
  <c r="AJ19" i="3"/>
  <c r="AJ35" i="3"/>
  <c r="AJ16" i="3"/>
  <c r="AJ32" i="3"/>
  <c r="AJ38" i="3"/>
  <c r="AJ54" i="3"/>
  <c r="AJ49" i="3"/>
  <c r="AJ7" i="3"/>
  <c r="AJ23" i="3"/>
  <c r="AJ4" i="3"/>
  <c r="AJ20" i="3"/>
  <c r="AJ37" i="3"/>
  <c r="AJ42" i="3"/>
  <c r="AJ58" i="3"/>
  <c r="AJ51" i="3"/>
  <c r="AJ11" i="3"/>
  <c r="AJ27" i="3"/>
  <c r="AJ8" i="3"/>
  <c r="AJ24" i="3"/>
  <c r="AJ41" i="3"/>
  <c r="AJ46" i="3"/>
  <c r="AJ47" i="3"/>
  <c r="AJ5" i="3"/>
  <c r="AJ34" i="3"/>
  <c r="AJ9" i="3"/>
  <c r="AJ39" i="3"/>
  <c r="AJ21" i="3"/>
  <c r="AJ40" i="3"/>
  <c r="AJ25" i="3"/>
  <c r="AJ44" i="3"/>
  <c r="AJ2" i="3"/>
  <c r="AJ56" i="3"/>
  <c r="AJ6" i="3"/>
  <c r="AJ60" i="3"/>
  <c r="AJ22" i="3"/>
  <c r="AJ55" i="3"/>
  <c r="AJ4" i="2"/>
  <c r="AJ18" i="3"/>
  <c r="C10" i="3"/>
  <c r="C8" i="3"/>
  <c r="C23" i="3"/>
  <c r="C12" i="3"/>
  <c r="C11" i="3"/>
  <c r="C13" i="3"/>
  <c r="C41" i="3"/>
  <c r="C18" i="3"/>
  <c r="C16" i="3"/>
  <c r="C31" i="3"/>
  <c r="C20" i="3"/>
  <c r="C5" i="3"/>
  <c r="C57" i="3"/>
  <c r="C43" i="3"/>
  <c r="C51" i="3"/>
  <c r="C26" i="3"/>
  <c r="C24" i="3"/>
  <c r="C47" i="3"/>
  <c r="C28" i="3"/>
  <c r="C38" i="3"/>
  <c r="C59" i="3"/>
  <c r="C54" i="3"/>
  <c r="C34" i="3"/>
  <c r="C32" i="3"/>
  <c r="C6" i="3"/>
  <c r="C36" i="3"/>
  <c r="C42" i="3"/>
  <c r="C14" i="3"/>
  <c r="C45" i="3"/>
  <c r="C9" i="3"/>
  <c r="C40" i="3"/>
  <c r="C15" i="3"/>
  <c r="C44" i="3"/>
  <c r="C53" i="3"/>
  <c r="C30" i="3"/>
  <c r="C2" i="3"/>
  <c r="C33" i="3"/>
  <c r="C60" i="3"/>
  <c r="C22" i="3"/>
  <c r="C48" i="3"/>
  <c r="C3" i="3"/>
  <c r="C37" i="3"/>
  <c r="C21" i="3"/>
  <c r="C56" i="3"/>
  <c r="C29" i="3"/>
  <c r="C58" i="3"/>
  <c r="C17" i="3"/>
  <c r="C7" i="3"/>
  <c r="C35" i="3"/>
  <c r="C19" i="3"/>
  <c r="C4" i="2"/>
  <c r="C39" i="3"/>
  <c r="C46" i="3"/>
  <c r="C49" i="3"/>
  <c r="C55" i="3"/>
  <c r="C50" i="3"/>
  <c r="C4" i="3"/>
  <c r="C25" i="3"/>
  <c r="C52" i="3"/>
  <c r="C27" i="3"/>
  <c r="S11" i="3"/>
  <c r="S27" i="3"/>
  <c r="S43" i="3"/>
  <c r="S6" i="3"/>
  <c r="S40" i="3"/>
  <c r="S36" i="3"/>
  <c r="S16" i="3"/>
  <c r="S13" i="3"/>
  <c r="S29" i="3"/>
  <c r="S45" i="3"/>
  <c r="S22" i="3"/>
  <c r="S42" i="3"/>
  <c r="S48" i="3"/>
  <c r="S18" i="3"/>
  <c r="S15" i="3"/>
  <c r="S31" i="3"/>
  <c r="S47" i="3"/>
  <c r="S38" i="3"/>
  <c r="S44" i="3"/>
  <c r="S52" i="3"/>
  <c r="S50" i="3"/>
  <c r="S17" i="3"/>
  <c r="S33" i="3"/>
  <c r="S49" i="3"/>
  <c r="S54" i="3"/>
  <c r="S60" i="3"/>
  <c r="S59" i="3"/>
  <c r="S28" i="3"/>
  <c r="S3" i="3"/>
  <c r="S19" i="3"/>
  <c r="S35" i="3"/>
  <c r="S51" i="3"/>
  <c r="S14" i="3"/>
  <c r="S8" i="3"/>
  <c r="S26" i="3"/>
  <c r="S20" i="3"/>
  <c r="S9" i="3"/>
  <c r="S25" i="3"/>
  <c r="S41" i="3"/>
  <c r="S57" i="3"/>
  <c r="S4" i="3"/>
  <c r="S56" i="3"/>
  <c r="S2" i="3"/>
  <c r="S21" i="3"/>
  <c r="S10" i="3"/>
  <c r="S5" i="3"/>
  <c r="S23" i="3"/>
  <c r="S12" i="3"/>
  <c r="S37" i="3"/>
  <c r="S58" i="3"/>
  <c r="S39" i="3"/>
  <c r="S34" i="3"/>
  <c r="S30" i="3"/>
  <c r="S53" i="3"/>
  <c r="S24" i="3"/>
  <c r="S55" i="3"/>
  <c r="S32" i="3"/>
  <c r="S4" i="2"/>
  <c r="S7" i="3"/>
  <c r="S46" i="3"/>
  <c r="X4" i="3"/>
  <c r="X20" i="3"/>
  <c r="X3" i="3"/>
  <c r="X19" i="3"/>
  <c r="X35" i="3"/>
  <c r="X39" i="3"/>
  <c r="X55" i="3"/>
  <c r="X54" i="3"/>
  <c r="X6" i="3"/>
  <c r="X22" i="3"/>
  <c r="X5" i="3"/>
  <c r="X21" i="3"/>
  <c r="X36" i="3"/>
  <c r="X41" i="3"/>
  <c r="X57" i="3"/>
  <c r="X58" i="3"/>
  <c r="X8" i="3"/>
  <c r="X24" i="3"/>
  <c r="X7" i="3"/>
  <c r="X23" i="3"/>
  <c r="X38" i="3"/>
  <c r="X43" i="3"/>
  <c r="X59" i="3"/>
  <c r="X10" i="3"/>
  <c r="X26" i="3"/>
  <c r="X9" i="3"/>
  <c r="X25" i="3"/>
  <c r="X40" i="3"/>
  <c r="X45" i="3"/>
  <c r="X50" i="3"/>
  <c r="X14" i="3"/>
  <c r="X30" i="3"/>
  <c r="X13" i="3"/>
  <c r="X29" i="3"/>
  <c r="X44" i="3"/>
  <c r="X49" i="3"/>
  <c r="X56" i="3"/>
  <c r="X2" i="3"/>
  <c r="X18" i="3"/>
  <c r="X34" i="3"/>
  <c r="X17" i="3"/>
  <c r="X33" i="3"/>
  <c r="X37" i="3"/>
  <c r="X53" i="3"/>
  <c r="X48" i="3"/>
  <c r="X28" i="3"/>
  <c r="X47" i="3"/>
  <c r="X32" i="3"/>
  <c r="X51" i="3"/>
  <c r="X11" i="3"/>
  <c r="X52" i="3"/>
  <c r="X15" i="3"/>
  <c r="X60" i="3"/>
  <c r="X27" i="3"/>
  <c r="X31" i="3"/>
  <c r="X16" i="3"/>
  <c r="X46" i="3"/>
  <c r="X42" i="3"/>
  <c r="X4" i="2"/>
  <c r="X12" i="3"/>
  <c r="AQ18" i="3"/>
  <c r="AQ50" i="3"/>
  <c r="AQ23" i="3"/>
  <c r="AQ55" i="3"/>
  <c r="AQ12" i="3"/>
  <c r="AQ13" i="3"/>
  <c r="AQ53" i="3"/>
  <c r="AQ22" i="3"/>
  <c r="AQ54" i="3"/>
  <c r="AQ27" i="3"/>
  <c r="AQ59" i="3"/>
  <c r="AQ16" i="3"/>
  <c r="AQ17" i="3"/>
  <c r="AQ33" i="3"/>
  <c r="AQ26" i="3"/>
  <c r="AQ58" i="3"/>
  <c r="AQ31" i="3"/>
  <c r="AQ36" i="3"/>
  <c r="AQ20" i="3"/>
  <c r="AQ21" i="3"/>
  <c r="AQ41" i="3"/>
  <c r="AQ30" i="3"/>
  <c r="AQ3" i="3"/>
  <c r="AQ35" i="3"/>
  <c r="AQ40" i="3"/>
  <c r="AQ24" i="3"/>
  <c r="AQ25" i="3"/>
  <c r="AQ49" i="3"/>
  <c r="AQ6" i="3"/>
  <c r="AQ38" i="3"/>
  <c r="AQ11" i="3"/>
  <c r="AQ43" i="3"/>
  <c r="AQ44" i="3"/>
  <c r="AQ32" i="3"/>
  <c r="AQ37" i="3"/>
  <c r="AQ60" i="3"/>
  <c r="AQ14" i="3"/>
  <c r="AQ46" i="3"/>
  <c r="AQ19" i="3"/>
  <c r="AQ51" i="3"/>
  <c r="AQ8" i="3"/>
  <c r="AQ9" i="3"/>
  <c r="AQ57" i="3"/>
  <c r="AQ34" i="3"/>
  <c r="AQ28" i="3"/>
  <c r="AQ42" i="3"/>
  <c r="AQ5" i="3"/>
  <c r="AQ7" i="3"/>
  <c r="AQ29" i="3"/>
  <c r="AQ15" i="3"/>
  <c r="AQ45" i="3"/>
  <c r="AQ39" i="3"/>
  <c r="AQ56" i="3"/>
  <c r="AQ47" i="3"/>
  <c r="AQ52" i="3"/>
  <c r="AQ10" i="3"/>
  <c r="AQ4" i="3"/>
  <c r="AQ2" i="3"/>
  <c r="AQ4" i="2"/>
  <c r="AQ48" i="3"/>
  <c r="AM10" i="3"/>
  <c r="AM3" i="3"/>
  <c r="AM5" i="3"/>
  <c r="AM7" i="3"/>
  <c r="AM4" i="3"/>
  <c r="AM11" i="3"/>
  <c r="AM8" i="3"/>
  <c r="AM15" i="3"/>
  <c r="AM17" i="3"/>
  <c r="AM33" i="3"/>
  <c r="AM12" i="3"/>
  <c r="AM48" i="3"/>
  <c r="AM56" i="3"/>
  <c r="AM37" i="3"/>
  <c r="AM19" i="3"/>
  <c r="AM35" i="3"/>
  <c r="AM16" i="3"/>
  <c r="AM49" i="3"/>
  <c r="AM60" i="3"/>
  <c r="AM58" i="3"/>
  <c r="AM21" i="3"/>
  <c r="AM14" i="3"/>
  <c r="AM24" i="3"/>
  <c r="AM51" i="3"/>
  <c r="AM38" i="3"/>
  <c r="AM50" i="3"/>
  <c r="AM23" i="3"/>
  <c r="AM18" i="3"/>
  <c r="AM28" i="3"/>
  <c r="AM55" i="3"/>
  <c r="AM46" i="3"/>
  <c r="AM45" i="3"/>
  <c r="AM2" i="3"/>
  <c r="AM25" i="3"/>
  <c r="AM22" i="3"/>
  <c r="AM20" i="3"/>
  <c r="AM59" i="3"/>
  <c r="AM40" i="3"/>
  <c r="AM54" i="3"/>
  <c r="AM6" i="3"/>
  <c r="AM27" i="3"/>
  <c r="AM26" i="3"/>
  <c r="AM32" i="3"/>
  <c r="AM41" i="3"/>
  <c r="AM53" i="3"/>
  <c r="AM42" i="3"/>
  <c r="AM13" i="3"/>
  <c r="AM31" i="3"/>
  <c r="AM34" i="3"/>
  <c r="AM44" i="3"/>
  <c r="AM52" i="3"/>
  <c r="AM57" i="3"/>
  <c r="AM47" i="3"/>
  <c r="AM43" i="3"/>
  <c r="AM4" i="2"/>
  <c r="AM39" i="3"/>
  <c r="AM30" i="3"/>
  <c r="AM9" i="3"/>
  <c r="AM29" i="3"/>
  <c r="AM36" i="3"/>
  <c r="E20" i="3"/>
  <c r="E2" i="3"/>
  <c r="E9" i="3"/>
  <c r="E6" i="3"/>
  <c r="E13" i="3"/>
  <c r="E29" i="3"/>
  <c r="E52" i="3"/>
  <c r="E47" i="3"/>
  <c r="E41" i="3"/>
  <c r="E28" i="3"/>
  <c r="E10" i="3"/>
  <c r="E33" i="3"/>
  <c r="E14" i="3"/>
  <c r="E40" i="3"/>
  <c r="E44" i="3"/>
  <c r="E15" i="3"/>
  <c r="E4" i="2"/>
  <c r="E27" i="3"/>
  <c r="E7" i="3"/>
  <c r="E12" i="3"/>
  <c r="E57" i="3"/>
  <c r="E23" i="3"/>
  <c r="E36" i="3"/>
  <c r="E18" i="3"/>
  <c r="E49" i="3"/>
  <c r="E22" i="3"/>
  <c r="E60" i="3"/>
  <c r="E55" i="3"/>
  <c r="E43" i="3"/>
  <c r="E59" i="3"/>
  <c r="E3" i="3"/>
  <c r="E26" i="3"/>
  <c r="E8" i="3"/>
  <c r="E30" i="3"/>
  <c r="E32" i="3"/>
  <c r="E48" i="3"/>
  <c r="E45" i="3"/>
  <c r="E50" i="3"/>
  <c r="E31" i="3"/>
  <c r="E21" i="3"/>
  <c r="E11" i="3"/>
  <c r="E34" i="3"/>
  <c r="E17" i="3"/>
  <c r="E38" i="3"/>
  <c r="E51" i="3"/>
  <c r="E24" i="3"/>
  <c r="E56" i="3"/>
  <c r="E4" i="3"/>
  <c r="E37" i="3"/>
  <c r="E19" i="3"/>
  <c r="E42" i="3"/>
  <c r="E25" i="3"/>
  <c r="E46" i="3"/>
  <c r="E53" i="3"/>
  <c r="E39" i="3"/>
  <c r="E16" i="3"/>
  <c r="E54" i="3"/>
  <c r="E35" i="3"/>
  <c r="E58" i="3"/>
  <c r="E5" i="3"/>
  <c r="J2" i="3"/>
  <c r="J57" i="3"/>
  <c r="J56" i="3"/>
  <c r="J31" i="3"/>
  <c r="J35" i="3"/>
  <c r="J12" i="3"/>
  <c r="J43" i="3"/>
  <c r="J55" i="3"/>
  <c r="J6" i="3"/>
  <c r="J3" i="3"/>
  <c r="J58" i="3"/>
  <c r="J16" i="3"/>
  <c r="J39" i="3"/>
  <c r="J45" i="3"/>
  <c r="J7" i="3"/>
  <c r="J47" i="3"/>
  <c r="J9" i="3"/>
  <c r="J14" i="3"/>
  <c r="J59" i="3"/>
  <c r="J18" i="3"/>
  <c r="J50" i="3"/>
  <c r="J37" i="3"/>
  <c r="J40" i="3"/>
  <c r="J53" i="3"/>
  <c r="J22" i="3"/>
  <c r="J17" i="3"/>
  <c r="J24" i="3"/>
  <c r="J19" i="3"/>
  <c r="J34" i="3"/>
  <c r="J48" i="3"/>
  <c r="J44" i="3"/>
  <c r="J25" i="3"/>
  <c r="J30" i="3"/>
  <c r="J26" i="3"/>
  <c r="J20" i="3"/>
  <c r="J10" i="3"/>
  <c r="J52" i="3"/>
  <c r="J11" i="3"/>
  <c r="J54" i="3"/>
  <c r="J49" i="3"/>
  <c r="J29" i="3"/>
  <c r="J13" i="3"/>
  <c r="J5" i="3"/>
  <c r="J8" i="3"/>
  <c r="J51" i="3"/>
  <c r="J27" i="3"/>
  <c r="J32" i="3"/>
  <c r="J60" i="3"/>
  <c r="J28" i="3"/>
  <c r="J36" i="3"/>
  <c r="J4" i="2"/>
  <c r="J21" i="3"/>
  <c r="J23" i="3"/>
  <c r="J38" i="3"/>
  <c r="J42" i="3"/>
  <c r="J41" i="3"/>
  <c r="J15" i="3"/>
  <c r="J33" i="3"/>
  <c r="J46" i="3"/>
  <c r="J4" i="3"/>
  <c r="AF6" i="3"/>
  <c r="AF22" i="3"/>
  <c r="AF5" i="3"/>
  <c r="AF21" i="3"/>
  <c r="AF36" i="3"/>
  <c r="AF41" i="3"/>
  <c r="AF57" i="3"/>
  <c r="AF56" i="3"/>
  <c r="AF8" i="3"/>
  <c r="AF24" i="3"/>
  <c r="AF7" i="3"/>
  <c r="AF23" i="3"/>
  <c r="AF38" i="3"/>
  <c r="AF43" i="3"/>
  <c r="AF59" i="3"/>
  <c r="AF10" i="3"/>
  <c r="AF26" i="3"/>
  <c r="AF9" i="3"/>
  <c r="AF25" i="3"/>
  <c r="AF40" i="3"/>
  <c r="AF45" i="3"/>
  <c r="AF52" i="3"/>
  <c r="AF12" i="3"/>
  <c r="AF28" i="3"/>
  <c r="AF11" i="3"/>
  <c r="AF27" i="3"/>
  <c r="AF42" i="3"/>
  <c r="AF47" i="3"/>
  <c r="AF60" i="3"/>
  <c r="AF16" i="3"/>
  <c r="AF32" i="3"/>
  <c r="AF15" i="3"/>
  <c r="AF31" i="3"/>
  <c r="AF46" i="3"/>
  <c r="AF51" i="3"/>
  <c r="AF58" i="3"/>
  <c r="AF4" i="3"/>
  <c r="AF20" i="3"/>
  <c r="AF3" i="3"/>
  <c r="AF19" i="3"/>
  <c r="AF35" i="3"/>
  <c r="AF39" i="3"/>
  <c r="AF55" i="3"/>
  <c r="AF48" i="3"/>
  <c r="AF14" i="3"/>
  <c r="AF44" i="3"/>
  <c r="AF18" i="3"/>
  <c r="AF37" i="3"/>
  <c r="AF30" i="3"/>
  <c r="AF49" i="3"/>
  <c r="AF34" i="3"/>
  <c r="AF53" i="3"/>
  <c r="AF13" i="3"/>
  <c r="AF54" i="3"/>
  <c r="AF17" i="3"/>
  <c r="AF50" i="3"/>
  <c r="AF2" i="3"/>
  <c r="AF33" i="3"/>
  <c r="AF29" i="3"/>
  <c r="AF4" i="2"/>
  <c r="AV23" i="3"/>
  <c r="AV55" i="3"/>
  <c r="AV24" i="3"/>
  <c r="AV60" i="3"/>
  <c r="AV33" i="3"/>
  <c r="AV6" i="3"/>
  <c r="AV38" i="3"/>
  <c r="AV27" i="3"/>
  <c r="AV59" i="3"/>
  <c r="AV28" i="3"/>
  <c r="AV5" i="3"/>
  <c r="AV37" i="3"/>
  <c r="AV10" i="3"/>
  <c r="AV42" i="3"/>
  <c r="AV31" i="3"/>
  <c r="AV52" i="3"/>
  <c r="AV32" i="3"/>
  <c r="AV9" i="3"/>
  <c r="AV41" i="3"/>
  <c r="AV14" i="3"/>
  <c r="AV46" i="3"/>
  <c r="AV3" i="3"/>
  <c r="AV35" i="3"/>
  <c r="AV4" i="3"/>
  <c r="AV36" i="3"/>
  <c r="AV13" i="3"/>
  <c r="AV45" i="3"/>
  <c r="AV18" i="3"/>
  <c r="AV50" i="3"/>
  <c r="AV7" i="3"/>
  <c r="AV11" i="3"/>
  <c r="AV43" i="3"/>
  <c r="AV12" i="3"/>
  <c r="AV44" i="3"/>
  <c r="AV21" i="3"/>
  <c r="AV53" i="3"/>
  <c r="AV26" i="3"/>
  <c r="AV58" i="3"/>
  <c r="AV19" i="3"/>
  <c r="AV51" i="3"/>
  <c r="AV20" i="3"/>
  <c r="AV56" i="3"/>
  <c r="AV29" i="3"/>
  <c r="AV2" i="3"/>
  <c r="AV34" i="3"/>
  <c r="AV40" i="3"/>
  <c r="AV54" i="3"/>
  <c r="AV48" i="3"/>
  <c r="AV17" i="3"/>
  <c r="AV15" i="3"/>
  <c r="AV25" i="3"/>
  <c r="AV39" i="3"/>
  <c r="AV49" i="3"/>
  <c r="AV47" i="3"/>
  <c r="AV57" i="3"/>
  <c r="AV16" i="3"/>
  <c r="AV30" i="3"/>
  <c r="AV8" i="3"/>
  <c r="AV22" i="3"/>
  <c r="AV4" i="2"/>
  <c r="AB17" i="3"/>
  <c r="AB33" i="3"/>
  <c r="AB14" i="3"/>
  <c r="AB30" i="3"/>
  <c r="AB36" i="3"/>
  <c r="AB52" i="3"/>
  <c r="AB49" i="3"/>
  <c r="AB3" i="3"/>
  <c r="AB19" i="3"/>
  <c r="AB35" i="3"/>
  <c r="AB16" i="3"/>
  <c r="AB32" i="3"/>
  <c r="AB38" i="3"/>
  <c r="AB54" i="3"/>
  <c r="AB51" i="3"/>
  <c r="AB5" i="3"/>
  <c r="AB21" i="3"/>
  <c r="AB2" i="3"/>
  <c r="AB18" i="3"/>
  <c r="AB34" i="3"/>
  <c r="AB40" i="3"/>
  <c r="AB56" i="3"/>
  <c r="AB47" i="3"/>
  <c r="AB7" i="3"/>
  <c r="AB23" i="3"/>
  <c r="AB4" i="3"/>
  <c r="AB20" i="3"/>
  <c r="AB37" i="3"/>
  <c r="AB42" i="3"/>
  <c r="AB58" i="3"/>
  <c r="AB53" i="3"/>
  <c r="AB11" i="3"/>
  <c r="AB27" i="3"/>
  <c r="AB8" i="3"/>
  <c r="AB24" i="3"/>
  <c r="AB41" i="3"/>
  <c r="AB46" i="3"/>
  <c r="AB57" i="3"/>
  <c r="AB15" i="3"/>
  <c r="AB31" i="3"/>
  <c r="AB12" i="3"/>
  <c r="AB28" i="3"/>
  <c r="AB45" i="3"/>
  <c r="AB50" i="3"/>
  <c r="AB59" i="3"/>
  <c r="AB25" i="3"/>
  <c r="AB44" i="3"/>
  <c r="AB29" i="3"/>
  <c r="AB48" i="3"/>
  <c r="AB6" i="3"/>
  <c r="AB60" i="3"/>
  <c r="AB10" i="3"/>
  <c r="AB55" i="3"/>
  <c r="AB22" i="3"/>
  <c r="AB26" i="3"/>
  <c r="AB13" i="3"/>
  <c r="AB43" i="3"/>
  <c r="AB9" i="3"/>
  <c r="AB39" i="3"/>
  <c r="AB4" i="2"/>
  <c r="AN2" i="3"/>
  <c r="AN18" i="3"/>
  <c r="AN34" i="3"/>
  <c r="AN17" i="3"/>
  <c r="AN33" i="3"/>
  <c r="AN37" i="3"/>
  <c r="AN53" i="3"/>
  <c r="AN60" i="3"/>
  <c r="AN4" i="3"/>
  <c r="AN20" i="3"/>
  <c r="AN3" i="3"/>
  <c r="AN19" i="3"/>
  <c r="AN35" i="3"/>
  <c r="AN39" i="3"/>
  <c r="AN55" i="3"/>
  <c r="AN54" i="3"/>
  <c r="AN6" i="3"/>
  <c r="AN22" i="3"/>
  <c r="AN5" i="3"/>
  <c r="AN21" i="3"/>
  <c r="AN36" i="3"/>
  <c r="AN41" i="3"/>
  <c r="AN57" i="3"/>
  <c r="AN58" i="3"/>
  <c r="AN8" i="3"/>
  <c r="AN24" i="3"/>
  <c r="AN7" i="3"/>
  <c r="AN23" i="3"/>
  <c r="AN38" i="3"/>
  <c r="AN43" i="3"/>
  <c r="AN59" i="3"/>
  <c r="AN12" i="3"/>
  <c r="AN28" i="3"/>
  <c r="AN11" i="3"/>
  <c r="AN27" i="3"/>
  <c r="AN42" i="3"/>
  <c r="AN47" i="3"/>
  <c r="AN48" i="3"/>
  <c r="AN16" i="3"/>
  <c r="AN32" i="3"/>
  <c r="AN15" i="3"/>
  <c r="AN31" i="3"/>
  <c r="AN46" i="3"/>
  <c r="AN51" i="3"/>
  <c r="AN56" i="3"/>
  <c r="AN25" i="3"/>
  <c r="AN29" i="3"/>
  <c r="AN10" i="3"/>
  <c r="AN40" i="3"/>
  <c r="AN14" i="3"/>
  <c r="AN44" i="3"/>
  <c r="AN26" i="3"/>
  <c r="AN45" i="3"/>
  <c r="AN30" i="3"/>
  <c r="AN49" i="3"/>
  <c r="AN13" i="3"/>
  <c r="AN52" i="3"/>
  <c r="AN4" i="2"/>
  <c r="AN50" i="3"/>
  <c r="AN9" i="3"/>
  <c r="AA9" i="3"/>
  <c r="AA14" i="3"/>
  <c r="AA30" i="3"/>
  <c r="AA33" i="3"/>
  <c r="AA36" i="3"/>
  <c r="AA45" i="3"/>
  <c r="AA50" i="3"/>
  <c r="AA11" i="3"/>
  <c r="AA16" i="3"/>
  <c r="AA32" i="3"/>
  <c r="AA19" i="3"/>
  <c r="AA43" i="3"/>
  <c r="AA51" i="3"/>
  <c r="AA57" i="3"/>
  <c r="AA2" i="3"/>
  <c r="AA18" i="3"/>
  <c r="AA34" i="3"/>
  <c r="AA23" i="3"/>
  <c r="AA54" i="3"/>
  <c r="AA47" i="3"/>
  <c r="AA41" i="3"/>
  <c r="AA4" i="3"/>
  <c r="AA20" i="3"/>
  <c r="AA13" i="3"/>
  <c r="AA27" i="3"/>
  <c r="AA58" i="3"/>
  <c r="AA52" i="3"/>
  <c r="AA39" i="3"/>
  <c r="AA6" i="3"/>
  <c r="AA22" i="3"/>
  <c r="AA17" i="3"/>
  <c r="AA35" i="3"/>
  <c r="AA46" i="3"/>
  <c r="AA60" i="3"/>
  <c r="AA48" i="3"/>
  <c r="AA7" i="3"/>
  <c r="AA12" i="3"/>
  <c r="AA28" i="3"/>
  <c r="AA29" i="3"/>
  <c r="AA37" i="3"/>
  <c r="AA59" i="3"/>
  <c r="AA49" i="3"/>
  <c r="AA53" i="3"/>
  <c r="AA24" i="3"/>
  <c r="AA38" i="3"/>
  <c r="AA40" i="3"/>
  <c r="AA26" i="3"/>
  <c r="AA42" i="3"/>
  <c r="AA4" i="2"/>
  <c r="AA21" i="3"/>
  <c r="AA56" i="3"/>
  <c r="AA25" i="3"/>
  <c r="AA44" i="3"/>
  <c r="AA8" i="3"/>
  <c r="AA3" i="3"/>
  <c r="AA15" i="3"/>
  <c r="AA5" i="3"/>
  <c r="AA31" i="3"/>
  <c r="AA10" i="3"/>
  <c r="AA55" i="3"/>
  <c r="D35" i="3"/>
  <c r="D25" i="3"/>
  <c r="D40" i="3"/>
  <c r="D29" i="3"/>
  <c r="D23" i="3"/>
  <c r="D14" i="3"/>
  <c r="D31" i="3"/>
  <c r="D13" i="3"/>
  <c r="D4" i="2"/>
  <c r="D2" i="3"/>
  <c r="D33" i="3"/>
  <c r="D56" i="3"/>
  <c r="D37" i="3"/>
  <c r="D38" i="3"/>
  <c r="D30" i="3"/>
  <c r="D47" i="3"/>
  <c r="D19" i="3"/>
  <c r="D46" i="3"/>
  <c r="D27" i="3"/>
  <c r="D21" i="3"/>
  <c r="D54" i="3"/>
  <c r="D10" i="3"/>
  <c r="D41" i="3"/>
  <c r="D32" i="3"/>
  <c r="D45" i="3"/>
  <c r="D42" i="3"/>
  <c r="D36" i="3"/>
  <c r="D22" i="3"/>
  <c r="D60" i="3"/>
  <c r="D18" i="3"/>
  <c r="D49" i="3"/>
  <c r="D48" i="3"/>
  <c r="D53" i="3"/>
  <c r="D44" i="3"/>
  <c r="D50" i="3"/>
  <c r="D28" i="3"/>
  <c r="D51" i="3"/>
  <c r="D6" i="3"/>
  <c r="D3" i="3"/>
  <c r="D26" i="3"/>
  <c r="D57" i="3"/>
  <c r="D7" i="3"/>
  <c r="D4" i="3"/>
  <c r="D55" i="3"/>
  <c r="D52" i="3"/>
  <c r="D58" i="3"/>
  <c r="D16" i="3"/>
  <c r="D24" i="3"/>
  <c r="D11" i="3"/>
  <c r="D34" i="3"/>
  <c r="D8" i="3"/>
  <c r="D5" i="3"/>
  <c r="D12" i="3"/>
  <c r="D20" i="3"/>
  <c r="D15" i="3"/>
  <c r="D59" i="3"/>
  <c r="D9" i="3"/>
  <c r="D43" i="3"/>
  <c r="D17" i="3"/>
  <c r="D39" i="3"/>
  <c r="W3" i="3"/>
  <c r="W19" i="3"/>
  <c r="W35" i="3"/>
  <c r="W32" i="3"/>
  <c r="W45" i="3"/>
  <c r="W48" i="3"/>
  <c r="W46" i="3"/>
  <c r="W5" i="3"/>
  <c r="W21" i="3"/>
  <c r="W14" i="3"/>
  <c r="W20" i="3"/>
  <c r="W50" i="3"/>
  <c r="W49" i="3"/>
  <c r="W53" i="3"/>
  <c r="W2" i="3"/>
  <c r="W7" i="3"/>
  <c r="W23" i="3"/>
  <c r="W18" i="3"/>
  <c r="W24" i="3"/>
  <c r="W51" i="3"/>
  <c r="W44" i="3"/>
  <c r="W41" i="3"/>
  <c r="W4" i="3"/>
  <c r="W9" i="3"/>
  <c r="W25" i="3"/>
  <c r="W22" i="3"/>
  <c r="W28" i="3"/>
  <c r="W52" i="3"/>
  <c r="W57" i="3"/>
  <c r="W58" i="3"/>
  <c r="W8" i="3"/>
  <c r="W13" i="3"/>
  <c r="W29" i="3"/>
  <c r="W30" i="3"/>
  <c r="W40" i="3"/>
  <c r="W60" i="3"/>
  <c r="W47" i="3"/>
  <c r="W12" i="3"/>
  <c r="W17" i="3"/>
  <c r="W33" i="3"/>
  <c r="W16" i="3"/>
  <c r="W59" i="3"/>
  <c r="W42" i="3"/>
  <c r="W38" i="3"/>
  <c r="W27" i="3"/>
  <c r="W39" i="3"/>
  <c r="W31" i="3"/>
  <c r="W54" i="3"/>
  <c r="W26" i="3"/>
  <c r="W43" i="3"/>
  <c r="W34" i="3"/>
  <c r="W6" i="3"/>
  <c r="W36" i="3"/>
  <c r="W10" i="3"/>
  <c r="W55" i="3"/>
  <c r="W15" i="3"/>
  <c r="W37" i="3"/>
  <c r="W11" i="3"/>
  <c r="W56" i="3"/>
  <c r="W4" i="2"/>
  <c r="U18" i="3"/>
  <c r="U23" i="3"/>
  <c r="U49" i="3"/>
  <c r="U20" i="3"/>
  <c r="U14" i="3"/>
  <c r="U30" i="3"/>
  <c r="U43" i="3"/>
  <c r="U4" i="3"/>
  <c r="U31" i="3"/>
  <c r="U26" i="3"/>
  <c r="U51" i="3"/>
  <c r="U21" i="3"/>
  <c r="U16" i="3"/>
  <c r="U33" i="3"/>
  <c r="U46" i="3"/>
  <c r="U34" i="3"/>
  <c r="U39" i="3"/>
  <c r="U52" i="3"/>
  <c r="U22" i="3"/>
  <c r="U25" i="3"/>
  <c r="U37" i="3"/>
  <c r="U57" i="3"/>
  <c r="U47" i="3"/>
  <c r="U42" i="3"/>
  <c r="U53" i="3"/>
  <c r="U24" i="3"/>
  <c r="U41" i="3"/>
  <c r="U44" i="3"/>
  <c r="U27" i="3"/>
  <c r="U50" i="3"/>
  <c r="U55" i="3"/>
  <c r="U54" i="3"/>
  <c r="U9" i="3"/>
  <c r="U45" i="3"/>
  <c r="U36" i="3"/>
  <c r="U35" i="3"/>
  <c r="U15" i="3"/>
  <c r="U10" i="3"/>
  <c r="U5" i="3"/>
  <c r="U19" i="3"/>
  <c r="U13" i="3"/>
  <c r="U40" i="3"/>
  <c r="U32" i="3"/>
  <c r="U38" i="3"/>
  <c r="U11" i="3"/>
  <c r="U2" i="3"/>
  <c r="U12" i="3"/>
  <c r="U59" i="3"/>
  <c r="U6" i="3"/>
  <c r="U4" i="2"/>
  <c r="U7" i="3"/>
  <c r="U48" i="3"/>
  <c r="U56" i="3"/>
  <c r="U58" i="3"/>
  <c r="U8" i="3"/>
  <c r="U60" i="3"/>
  <c r="U29" i="3"/>
  <c r="U3" i="3"/>
  <c r="U17" i="3"/>
  <c r="U28" i="3"/>
  <c r="AE5" i="3"/>
  <c r="AE21" i="3"/>
  <c r="AE12" i="3"/>
  <c r="AE30" i="3"/>
  <c r="AE57" i="3"/>
  <c r="AE59" i="3"/>
  <c r="AE39" i="3"/>
  <c r="AE7" i="3"/>
  <c r="AE23" i="3"/>
  <c r="AE16" i="3"/>
  <c r="AE36" i="3"/>
  <c r="AE43" i="3"/>
  <c r="AE44" i="3"/>
  <c r="AE48" i="3"/>
  <c r="AE2" i="3"/>
  <c r="AE9" i="3"/>
  <c r="AE25" i="3"/>
  <c r="AE20" i="3"/>
  <c r="AE18" i="3"/>
  <c r="AE54" i="3"/>
  <c r="AE41" i="3"/>
  <c r="AE52" i="3"/>
  <c r="AE4" i="3"/>
  <c r="AE11" i="3"/>
  <c r="AE27" i="3"/>
  <c r="AE24" i="3"/>
  <c r="AE22" i="3"/>
  <c r="AE58" i="3"/>
  <c r="AE37" i="3"/>
  <c r="AE56" i="3"/>
  <c r="AE6" i="3"/>
  <c r="AE13" i="3"/>
  <c r="AE29" i="3"/>
  <c r="AE28" i="3"/>
  <c r="AE34" i="3"/>
  <c r="AE40" i="3"/>
  <c r="AE45" i="3"/>
  <c r="AE47" i="3"/>
  <c r="AE3" i="3"/>
  <c r="AE19" i="3"/>
  <c r="AE35" i="3"/>
  <c r="AE26" i="3"/>
  <c r="AE53" i="3"/>
  <c r="AE55" i="3"/>
  <c r="AE42" i="3"/>
  <c r="AE15" i="3"/>
  <c r="AE50" i="3"/>
  <c r="AE4" i="2"/>
  <c r="AE8" i="3"/>
  <c r="AE17" i="3"/>
  <c r="AE51" i="3"/>
  <c r="AE38" i="3"/>
  <c r="AE31" i="3"/>
  <c r="AE49" i="3"/>
  <c r="AE33" i="3"/>
  <c r="AE60" i="3"/>
  <c r="AE32" i="3"/>
  <c r="AE14" i="3"/>
  <c r="AE10" i="3"/>
  <c r="AE46" i="3"/>
  <c r="C28" i="1"/>
  <c r="AI63" i="3"/>
  <c r="AI64" i="3" s="1"/>
  <c r="AP2" i="3"/>
  <c r="AP6" i="3"/>
  <c r="AP10" i="3"/>
  <c r="AP14" i="3"/>
  <c r="AP18" i="3"/>
  <c r="AP22" i="3"/>
  <c r="AP26" i="3"/>
  <c r="AP30" i="3"/>
  <c r="AP34" i="3"/>
  <c r="AP38" i="3"/>
  <c r="AP42" i="3"/>
  <c r="AP46" i="3"/>
  <c r="AP50" i="3"/>
  <c r="AP54" i="3"/>
  <c r="AP58" i="3"/>
  <c r="AP3" i="3"/>
  <c r="AP7" i="3"/>
  <c r="AP11" i="3"/>
  <c r="AP15" i="3"/>
  <c r="AP19" i="3"/>
  <c r="AP23" i="3"/>
  <c r="AP27" i="3"/>
  <c r="AP31" i="3"/>
  <c r="AP35" i="3"/>
  <c r="AP39" i="3"/>
  <c r="AP43" i="3"/>
  <c r="AP47" i="3"/>
  <c r="AP51" i="3"/>
  <c r="AP55" i="3"/>
  <c r="AP59" i="3"/>
  <c r="AP4" i="3"/>
  <c r="AP8" i="3"/>
  <c r="AP12" i="3"/>
  <c r="AP16" i="3"/>
  <c r="AP20" i="3"/>
  <c r="AP24" i="3"/>
  <c r="AP28" i="3"/>
  <c r="AP32" i="3"/>
  <c r="AP36" i="3"/>
  <c r="AP40" i="3"/>
  <c r="AP44" i="3"/>
  <c r="AP48" i="3"/>
  <c r="AP52" i="3"/>
  <c r="AP56" i="3"/>
  <c r="AP60" i="3"/>
  <c r="AP5" i="3"/>
  <c r="AP9" i="3"/>
  <c r="AP13" i="3"/>
  <c r="AP17" i="3"/>
  <c r="AP21" i="3"/>
  <c r="AP25" i="3"/>
  <c r="AP29" i="3"/>
  <c r="AP33" i="3"/>
  <c r="AP37" i="3"/>
  <c r="AP41" i="3"/>
  <c r="AP45" i="3"/>
  <c r="AP49" i="3"/>
  <c r="AP53" i="3"/>
  <c r="AP57" i="3"/>
  <c r="AT4" i="3"/>
  <c r="AT8" i="3"/>
  <c r="AT12" i="3"/>
  <c r="AT16" i="3"/>
  <c r="AT20" i="3"/>
  <c r="AT24" i="3"/>
  <c r="AT28" i="3"/>
  <c r="AT32" i="3"/>
  <c r="AT36" i="3"/>
  <c r="AT40" i="3"/>
  <c r="AT44" i="3"/>
  <c r="AT48" i="3"/>
  <c r="AT52" i="3"/>
  <c r="AT56" i="3"/>
  <c r="AT60" i="3"/>
  <c r="AT5" i="3"/>
  <c r="AT9" i="3"/>
  <c r="AT13" i="3"/>
  <c r="AT17" i="3"/>
  <c r="AT21" i="3"/>
  <c r="AT25" i="3"/>
  <c r="AT29" i="3"/>
  <c r="AT33" i="3"/>
  <c r="AT37" i="3"/>
  <c r="AT41" i="3"/>
  <c r="AT45" i="3"/>
  <c r="AT49" i="3"/>
  <c r="AT53" i="3"/>
  <c r="AT57" i="3"/>
  <c r="AT2" i="3"/>
  <c r="AT6" i="3"/>
  <c r="AT10" i="3"/>
  <c r="AT14" i="3"/>
  <c r="AT18" i="3"/>
  <c r="AT22" i="3"/>
  <c r="AT26" i="3"/>
  <c r="AT30" i="3"/>
  <c r="AT34" i="3"/>
  <c r="AT38" i="3"/>
  <c r="AT42" i="3"/>
  <c r="AT46" i="3"/>
  <c r="AT50" i="3"/>
  <c r="AT54" i="3"/>
  <c r="AT58" i="3"/>
  <c r="AT3" i="3"/>
  <c r="AT7" i="3"/>
  <c r="AT11" i="3"/>
  <c r="AT15" i="3"/>
  <c r="AT19" i="3"/>
  <c r="AT23" i="3"/>
  <c r="AT27" i="3"/>
  <c r="AT31" i="3"/>
  <c r="AT35" i="3"/>
  <c r="AT39" i="3"/>
  <c r="AT43" i="3"/>
  <c r="AT47" i="3"/>
  <c r="AT51" i="3"/>
  <c r="AT55" i="3"/>
  <c r="AT59" i="3"/>
  <c r="AS5" i="3"/>
  <c r="AS9" i="3"/>
  <c r="AS13" i="3"/>
  <c r="AS17" i="3"/>
  <c r="AS21" i="3"/>
  <c r="AS25" i="3"/>
  <c r="AS29" i="3"/>
  <c r="AS33" i="3"/>
  <c r="AS37" i="3"/>
  <c r="AS41" i="3"/>
  <c r="AS45" i="3"/>
  <c r="AS49" i="3"/>
  <c r="AS53" i="3"/>
  <c r="AS57" i="3"/>
  <c r="AS39" i="3"/>
  <c r="AS51" i="3"/>
  <c r="AS2" i="3"/>
  <c r="AS6" i="3"/>
  <c r="AS10" i="3"/>
  <c r="AS14" i="3"/>
  <c r="AS18" i="3"/>
  <c r="AS22" i="3"/>
  <c r="AS26" i="3"/>
  <c r="AS30" i="3"/>
  <c r="AS34" i="3"/>
  <c r="AS38" i="3"/>
  <c r="AS42" i="3"/>
  <c r="AS46" i="3"/>
  <c r="AS50" i="3"/>
  <c r="AS54" i="3"/>
  <c r="AS58" i="3"/>
  <c r="AS43" i="3"/>
  <c r="AS31" i="3"/>
  <c r="AS47" i="3"/>
  <c r="AS3" i="3"/>
  <c r="AS7" i="3"/>
  <c r="AS11" i="3"/>
  <c r="AS15" i="3"/>
  <c r="AS19" i="3"/>
  <c r="AS23" i="3"/>
  <c r="AS27" i="3"/>
  <c r="AS35" i="3"/>
  <c r="AS4" i="3"/>
  <c r="AS8" i="3"/>
  <c r="AS12" i="3"/>
  <c r="AS16" i="3"/>
  <c r="AS20" i="3"/>
  <c r="AS24" i="3"/>
  <c r="AS55" i="3"/>
  <c r="AS59" i="3"/>
  <c r="AS32" i="3"/>
  <c r="AS40" i="3"/>
  <c r="AS48" i="3"/>
  <c r="AS28" i="3"/>
  <c r="AS36" i="3"/>
  <c r="AS44" i="3"/>
  <c r="AS56" i="3"/>
  <c r="AS60" i="3"/>
  <c r="AS52" i="3"/>
  <c r="AW3" i="3"/>
  <c r="AW7" i="3"/>
  <c r="AW11" i="3"/>
  <c r="AW15" i="3"/>
  <c r="AW19" i="3"/>
  <c r="AW23" i="3"/>
  <c r="AW27" i="3"/>
  <c r="AW31" i="3"/>
  <c r="AW35" i="3"/>
  <c r="AW39" i="3"/>
  <c r="AW43" i="3"/>
  <c r="AW47" i="3"/>
  <c r="AW51" i="3"/>
  <c r="AW55" i="3"/>
  <c r="AW59" i="3"/>
  <c r="AW4" i="3"/>
  <c r="AW8" i="3"/>
  <c r="AW12" i="3"/>
  <c r="AW16" i="3"/>
  <c r="AW20" i="3"/>
  <c r="AW24" i="3"/>
  <c r="AW28" i="3"/>
  <c r="AW32" i="3"/>
  <c r="AW36" i="3"/>
  <c r="AW40" i="3"/>
  <c r="AW44" i="3"/>
  <c r="AW48" i="3"/>
  <c r="AW52" i="3"/>
  <c r="AW56" i="3"/>
  <c r="AW60" i="3"/>
  <c r="AW29" i="3"/>
  <c r="AW49" i="3"/>
  <c r="AW53" i="3"/>
  <c r="AW41" i="3"/>
  <c r="AW5" i="3"/>
  <c r="AW9" i="3"/>
  <c r="AW13" i="3"/>
  <c r="AW17" i="3"/>
  <c r="AW21" i="3"/>
  <c r="AW25" i="3"/>
  <c r="AW33" i="3"/>
  <c r="AW37" i="3"/>
  <c r="AW45" i="3"/>
  <c r="AW2" i="3"/>
  <c r="AW6" i="3"/>
  <c r="AW10" i="3"/>
  <c r="AW14" i="3"/>
  <c r="AW18" i="3"/>
  <c r="AW22" i="3"/>
  <c r="AW26" i="3"/>
  <c r="AW34" i="3"/>
  <c r="AW42" i="3"/>
  <c r="AW50" i="3"/>
  <c r="AW57" i="3"/>
  <c r="AW30" i="3"/>
  <c r="AW38" i="3"/>
  <c r="AW46" i="3"/>
  <c r="AW54" i="3"/>
  <c r="AW58" i="3"/>
  <c r="Y2" i="3"/>
  <c r="Y4" i="3"/>
  <c r="Y6" i="3"/>
  <c r="Y8" i="3"/>
  <c r="Y9" i="3"/>
  <c r="Y3" i="3"/>
  <c r="Y13" i="3"/>
  <c r="Y17" i="3"/>
  <c r="Y21" i="3"/>
  <c r="Y25" i="3"/>
  <c r="Y29" i="3"/>
  <c r="Y33" i="3"/>
  <c r="Y36" i="3"/>
  <c r="Y38" i="3"/>
  <c r="Y40" i="3"/>
  <c r="Y42" i="3"/>
  <c r="Y44" i="3"/>
  <c r="Y46" i="3"/>
  <c r="Y48" i="3"/>
  <c r="Y50" i="3"/>
  <c r="Y52" i="3"/>
  <c r="Y54" i="3"/>
  <c r="Y56" i="3"/>
  <c r="Y58" i="3"/>
  <c r="Y60" i="3"/>
  <c r="Y11" i="3"/>
  <c r="Y5" i="3"/>
  <c r="Y16" i="3"/>
  <c r="Y24" i="3"/>
  <c r="Y10" i="3"/>
  <c r="Y15" i="3"/>
  <c r="Y19" i="3"/>
  <c r="Y23" i="3"/>
  <c r="Y27" i="3"/>
  <c r="Y31" i="3"/>
  <c r="Y35" i="3"/>
  <c r="Y37" i="3"/>
  <c r="Y39" i="3"/>
  <c r="Y41" i="3"/>
  <c r="Y43" i="3"/>
  <c r="Y45" i="3"/>
  <c r="Y47" i="3"/>
  <c r="Y49" i="3"/>
  <c r="Y51" i="3"/>
  <c r="Y53" i="3"/>
  <c r="Y55" i="3"/>
  <c r="Y57" i="3"/>
  <c r="Y59" i="3"/>
  <c r="Y12" i="3"/>
  <c r="Y20" i="3"/>
  <c r="Y28" i="3"/>
  <c r="Y32" i="3"/>
  <c r="Y30" i="3"/>
  <c r="Y18" i="3"/>
  <c r="Y22" i="3"/>
  <c r="Y26" i="3"/>
  <c r="Y7" i="3"/>
  <c r="Y14" i="3"/>
  <c r="Y34" i="3"/>
  <c r="V2" i="3"/>
  <c r="V4" i="3"/>
  <c r="V6" i="3"/>
  <c r="V8" i="3"/>
  <c r="V10" i="3"/>
  <c r="V12" i="3"/>
  <c r="V14" i="3"/>
  <c r="V16" i="3"/>
  <c r="V18" i="3"/>
  <c r="V20" i="3"/>
  <c r="V22" i="3"/>
  <c r="V24" i="3"/>
  <c r="V26" i="3"/>
  <c r="V28" i="3"/>
  <c r="V30" i="3"/>
  <c r="V32" i="3"/>
  <c r="V34" i="3"/>
  <c r="V3" i="3"/>
  <c r="V5" i="3"/>
  <c r="V7" i="3"/>
  <c r="V9" i="3"/>
  <c r="V11" i="3"/>
  <c r="V13" i="3"/>
  <c r="V17" i="3"/>
  <c r="V21" i="3"/>
  <c r="V25" i="3"/>
  <c r="V29" i="3"/>
  <c r="V33" i="3"/>
  <c r="V37" i="3"/>
  <c r="V39" i="3"/>
  <c r="V41" i="3"/>
  <c r="V43" i="3"/>
  <c r="V45" i="3"/>
  <c r="V47" i="3"/>
  <c r="V49" i="3"/>
  <c r="V51" i="3"/>
  <c r="V15" i="3"/>
  <c r="V19" i="3"/>
  <c r="V23" i="3"/>
  <c r="V27" i="3"/>
  <c r="V31" i="3"/>
  <c r="V35" i="3"/>
  <c r="V40" i="3"/>
  <c r="V44" i="3"/>
  <c r="V48" i="3"/>
  <c r="V54" i="3"/>
  <c r="V58" i="3"/>
  <c r="V36" i="3"/>
  <c r="V38" i="3"/>
  <c r="V42" i="3"/>
  <c r="V46" i="3"/>
  <c r="V50" i="3"/>
  <c r="V52" i="3"/>
  <c r="V56" i="3"/>
  <c r="V60" i="3"/>
  <c r="V55" i="3"/>
  <c r="V59" i="3"/>
  <c r="V53" i="3"/>
  <c r="V57" i="3"/>
  <c r="AD2" i="3"/>
  <c r="AD4" i="3"/>
  <c r="AD6" i="3"/>
  <c r="AD8" i="3"/>
  <c r="AD10" i="3"/>
  <c r="AD12" i="3"/>
  <c r="AD14" i="3"/>
  <c r="AD16" i="3"/>
  <c r="AD18" i="3"/>
  <c r="AD20" i="3"/>
  <c r="AD22" i="3"/>
  <c r="AD24" i="3"/>
  <c r="AD26" i="3"/>
  <c r="AD28" i="3"/>
  <c r="AD30" i="3"/>
  <c r="AD32" i="3"/>
  <c r="AD34" i="3"/>
  <c r="AD3" i="3"/>
  <c r="AD5" i="3"/>
  <c r="AD7" i="3"/>
  <c r="AD9" i="3"/>
  <c r="AD11" i="3"/>
  <c r="AD15" i="3"/>
  <c r="AD19" i="3"/>
  <c r="AD23" i="3"/>
  <c r="AD27" i="3"/>
  <c r="AD31" i="3"/>
  <c r="AD35" i="3"/>
  <c r="AD37" i="3"/>
  <c r="AD39" i="3"/>
  <c r="AD41" i="3"/>
  <c r="AD43" i="3"/>
  <c r="AD45" i="3"/>
  <c r="AD47" i="3"/>
  <c r="AD49" i="3"/>
  <c r="AD51" i="3"/>
  <c r="AD13" i="3"/>
  <c r="AD17" i="3"/>
  <c r="AD21" i="3"/>
  <c r="AD25" i="3"/>
  <c r="AD29" i="3"/>
  <c r="AD33" i="3"/>
  <c r="AD36" i="3"/>
  <c r="AD38" i="3"/>
  <c r="AD42" i="3"/>
  <c r="AD46" i="3"/>
  <c r="AD50" i="3"/>
  <c r="AD52" i="3"/>
  <c r="AD56" i="3"/>
  <c r="AD60" i="3"/>
  <c r="AD40" i="3"/>
  <c r="AD44" i="3"/>
  <c r="AD48" i="3"/>
  <c r="AD54" i="3"/>
  <c r="AD58" i="3"/>
  <c r="AD53" i="3"/>
  <c r="AD55" i="3"/>
  <c r="AD59" i="3"/>
  <c r="AD57" i="3"/>
  <c r="AL2" i="3"/>
  <c r="AL4" i="3"/>
  <c r="AL6" i="3"/>
  <c r="AL8" i="3"/>
  <c r="AL10" i="3"/>
  <c r="AL12" i="3"/>
  <c r="AL14" i="3"/>
  <c r="AL16" i="3"/>
  <c r="AL18" i="3"/>
  <c r="AL20" i="3"/>
  <c r="AL22" i="3"/>
  <c r="AL24" i="3"/>
  <c r="AL26" i="3"/>
  <c r="AL28" i="3"/>
  <c r="AL30" i="3"/>
  <c r="AL32" i="3"/>
  <c r="AL34" i="3"/>
  <c r="AL3" i="3"/>
  <c r="AL5" i="3"/>
  <c r="AL7" i="3"/>
  <c r="AL9" i="3"/>
  <c r="AL11" i="3"/>
  <c r="AL13" i="3"/>
  <c r="AL17" i="3"/>
  <c r="AL21" i="3"/>
  <c r="AL25" i="3"/>
  <c r="AL29" i="3"/>
  <c r="AL33" i="3"/>
  <c r="AL37" i="3"/>
  <c r="AL39" i="3"/>
  <c r="AL41" i="3"/>
  <c r="AL43" i="3"/>
  <c r="AL45" i="3"/>
  <c r="AL47" i="3"/>
  <c r="AL49" i="3"/>
  <c r="AL15" i="3"/>
  <c r="AL19" i="3"/>
  <c r="AL23" i="3"/>
  <c r="AL27" i="3"/>
  <c r="AL31" i="3"/>
  <c r="AL35" i="3"/>
  <c r="AL40" i="3"/>
  <c r="AL44" i="3"/>
  <c r="AL48" i="3"/>
  <c r="AL54" i="3"/>
  <c r="AL58" i="3"/>
  <c r="AL36" i="3"/>
  <c r="AL38" i="3"/>
  <c r="AL42" i="3"/>
  <c r="AL46" i="3"/>
  <c r="AL50" i="3"/>
  <c r="AL52" i="3"/>
  <c r="AL56" i="3"/>
  <c r="AL60" i="3"/>
  <c r="AL51" i="3"/>
  <c r="AL53" i="3"/>
  <c r="AL57" i="3"/>
  <c r="AL55" i="3"/>
  <c r="AL59" i="3"/>
  <c r="AK3" i="3"/>
  <c r="AK5" i="3"/>
  <c r="AK7" i="3"/>
  <c r="AK2" i="3"/>
  <c r="AK10" i="3"/>
  <c r="AK14" i="3"/>
  <c r="AK18" i="3"/>
  <c r="AK22" i="3"/>
  <c r="AK26" i="3"/>
  <c r="AK30" i="3"/>
  <c r="AK34" i="3"/>
  <c r="AK37" i="3"/>
  <c r="AK39" i="3"/>
  <c r="AK41" i="3"/>
  <c r="AK43" i="3"/>
  <c r="AK45" i="3"/>
  <c r="AK47" i="3"/>
  <c r="AK49" i="3"/>
  <c r="AK51" i="3"/>
  <c r="AK53" i="3"/>
  <c r="AK55" i="3"/>
  <c r="AK57" i="3"/>
  <c r="AK59" i="3"/>
  <c r="AK6" i="3"/>
  <c r="AK8" i="3"/>
  <c r="AK17" i="3"/>
  <c r="AK25" i="3"/>
  <c r="AK33" i="3"/>
  <c r="AK4" i="3"/>
  <c r="AK11" i="3"/>
  <c r="AK12" i="3"/>
  <c r="AK16" i="3"/>
  <c r="AK20" i="3"/>
  <c r="AK24" i="3"/>
  <c r="AK28" i="3"/>
  <c r="AK32" i="3"/>
  <c r="AK36" i="3"/>
  <c r="AK38" i="3"/>
  <c r="AK40" i="3"/>
  <c r="AK42" i="3"/>
  <c r="AK44" i="3"/>
  <c r="AK46" i="3"/>
  <c r="AK48" i="3"/>
  <c r="AK50" i="3"/>
  <c r="AK52" i="3"/>
  <c r="AK54" i="3"/>
  <c r="AK56" i="3"/>
  <c r="AK58" i="3"/>
  <c r="AK60" i="3"/>
  <c r="AK13" i="3"/>
  <c r="AK21" i="3"/>
  <c r="AK29" i="3"/>
  <c r="AK9" i="3"/>
  <c r="AK23" i="3"/>
  <c r="AK31" i="3"/>
  <c r="AK19" i="3"/>
  <c r="AK27" i="3"/>
  <c r="AK15" i="3"/>
  <c r="AK35" i="3"/>
  <c r="AO2" i="3"/>
  <c r="AO4" i="3"/>
  <c r="AO6" i="3"/>
  <c r="AO8" i="3"/>
  <c r="AO5" i="3"/>
  <c r="AO10" i="3"/>
  <c r="AO13" i="3"/>
  <c r="AO17" i="3"/>
  <c r="AO21" i="3"/>
  <c r="AO25" i="3"/>
  <c r="AO29" i="3"/>
  <c r="AO33" i="3"/>
  <c r="AO36" i="3"/>
  <c r="AO38" i="3"/>
  <c r="AO40" i="3"/>
  <c r="AO42" i="3"/>
  <c r="AO44" i="3"/>
  <c r="AO46" i="3"/>
  <c r="AO48" i="3"/>
  <c r="AO50" i="3"/>
  <c r="AO52" i="3"/>
  <c r="AO54" i="3"/>
  <c r="AO56" i="3"/>
  <c r="AO58" i="3"/>
  <c r="AO60" i="3"/>
  <c r="AO9" i="3"/>
  <c r="AO11" i="3"/>
  <c r="AO12" i="3"/>
  <c r="AO20" i="3"/>
  <c r="AO28" i="3"/>
  <c r="AO7" i="3"/>
  <c r="AO15" i="3"/>
  <c r="AO19" i="3"/>
  <c r="AO23" i="3"/>
  <c r="AO27" i="3"/>
  <c r="AO31" i="3"/>
  <c r="AO35" i="3"/>
  <c r="AO37" i="3"/>
  <c r="AO39" i="3"/>
  <c r="AO41" i="3"/>
  <c r="AO43" i="3"/>
  <c r="AO45" i="3"/>
  <c r="AO47" i="3"/>
  <c r="AO49" i="3"/>
  <c r="AO51" i="3"/>
  <c r="AO53" i="3"/>
  <c r="AO55" i="3"/>
  <c r="AO57" i="3"/>
  <c r="AO59" i="3"/>
  <c r="AO16" i="3"/>
  <c r="AO24" i="3"/>
  <c r="AO32" i="3"/>
  <c r="AO30" i="3"/>
  <c r="AO18" i="3"/>
  <c r="AO3" i="3"/>
  <c r="AO26" i="3"/>
  <c r="AO14" i="3"/>
  <c r="AO34" i="3"/>
  <c r="AO22" i="3"/>
  <c r="Z3" i="3"/>
  <c r="Z5" i="3"/>
  <c r="Z7" i="3"/>
  <c r="Z9" i="3"/>
  <c r="Z11" i="3"/>
  <c r="Z13" i="3"/>
  <c r="Z15" i="3"/>
  <c r="Z17" i="3"/>
  <c r="Z19" i="3"/>
  <c r="Z21" i="3"/>
  <c r="Z23" i="3"/>
  <c r="Z25" i="3"/>
  <c r="Z27" i="3"/>
  <c r="Z29" i="3"/>
  <c r="Z31" i="3"/>
  <c r="Z33" i="3"/>
  <c r="Z35" i="3"/>
  <c r="Z2" i="3"/>
  <c r="Z4" i="3"/>
  <c r="Z6" i="3"/>
  <c r="Z8" i="3"/>
  <c r="Z10" i="3"/>
  <c r="Z12" i="3"/>
  <c r="Z16" i="3"/>
  <c r="Z20" i="3"/>
  <c r="Z24" i="3"/>
  <c r="Z28" i="3"/>
  <c r="Z32" i="3"/>
  <c r="Z36" i="3"/>
  <c r="Z38" i="3"/>
  <c r="Z40" i="3"/>
  <c r="Z42" i="3"/>
  <c r="Z44" i="3"/>
  <c r="Z46" i="3"/>
  <c r="Z48" i="3"/>
  <c r="Z50" i="3"/>
  <c r="Z14" i="3"/>
  <c r="Z18" i="3"/>
  <c r="Z22" i="3"/>
  <c r="Z26" i="3"/>
  <c r="Z30" i="3"/>
  <c r="Z34" i="3"/>
  <c r="Z39" i="3"/>
  <c r="Z43" i="3"/>
  <c r="Z47" i="3"/>
  <c r="Z51" i="3"/>
  <c r="Z53" i="3"/>
  <c r="Z57" i="3"/>
  <c r="Z37" i="3"/>
  <c r="Z41" i="3"/>
  <c r="Z45" i="3"/>
  <c r="Z49" i="3"/>
  <c r="Z55" i="3"/>
  <c r="Z59" i="3"/>
  <c r="Z58" i="3"/>
  <c r="Z52" i="3"/>
  <c r="Z56" i="3"/>
  <c r="Z60" i="3"/>
  <c r="Z54" i="3"/>
  <c r="AG2" i="3"/>
  <c r="AG4" i="3"/>
  <c r="AG6" i="3"/>
  <c r="AG8" i="3"/>
  <c r="AG15" i="3"/>
  <c r="AG19" i="3"/>
  <c r="AG23" i="3"/>
  <c r="AG27" i="3"/>
  <c r="AG31" i="3"/>
  <c r="AG35" i="3"/>
  <c r="AG36" i="3"/>
  <c r="AG38" i="3"/>
  <c r="AG40" i="3"/>
  <c r="AG42" i="3"/>
  <c r="AG44" i="3"/>
  <c r="AG46" i="3"/>
  <c r="AG48" i="3"/>
  <c r="AG50" i="3"/>
  <c r="AG52" i="3"/>
  <c r="AG54" i="3"/>
  <c r="AG56" i="3"/>
  <c r="AG58" i="3"/>
  <c r="AG60" i="3"/>
  <c r="AG3" i="3"/>
  <c r="AG9" i="3"/>
  <c r="AG7" i="3"/>
  <c r="AG11" i="3"/>
  <c r="AG14" i="3"/>
  <c r="AG22" i="3"/>
  <c r="AG13" i="3"/>
  <c r="AG17" i="3"/>
  <c r="AG21" i="3"/>
  <c r="AG25" i="3"/>
  <c r="AG29" i="3"/>
  <c r="AG33" i="3"/>
  <c r="AG37" i="3"/>
  <c r="AG39" i="3"/>
  <c r="AG41" i="3"/>
  <c r="AG43" i="3"/>
  <c r="AG45" i="3"/>
  <c r="AG47" i="3"/>
  <c r="AG49" i="3"/>
  <c r="AG51" i="3"/>
  <c r="AG53" i="3"/>
  <c r="AG55" i="3"/>
  <c r="AG57" i="3"/>
  <c r="AG59" i="3"/>
  <c r="AG5" i="3"/>
  <c r="AG10" i="3"/>
  <c r="AG18" i="3"/>
  <c r="AG26" i="3"/>
  <c r="AG30" i="3"/>
  <c r="AG34" i="3"/>
  <c r="AG28" i="3"/>
  <c r="AG16" i="3"/>
  <c r="AG24" i="3"/>
  <c r="AG12" i="3"/>
  <c r="AG32" i="3"/>
  <c r="AG20" i="3"/>
  <c r="AH3" i="3"/>
  <c r="AH5" i="3"/>
  <c r="AH7" i="3"/>
  <c r="AH9" i="3"/>
  <c r="AH11" i="3"/>
  <c r="AH13" i="3"/>
  <c r="AH15" i="3"/>
  <c r="AH17" i="3"/>
  <c r="AH19" i="3"/>
  <c r="AH21" i="3"/>
  <c r="AH23" i="3"/>
  <c r="AH25" i="3"/>
  <c r="AH27" i="3"/>
  <c r="AH29" i="3"/>
  <c r="AH31" i="3"/>
  <c r="AH33" i="3"/>
  <c r="AH35" i="3"/>
  <c r="AH2" i="3"/>
  <c r="AH4" i="3"/>
  <c r="AH6" i="3"/>
  <c r="AH8" i="3"/>
  <c r="AH10" i="3"/>
  <c r="AH14" i="3"/>
  <c r="AH18" i="3"/>
  <c r="AH22" i="3"/>
  <c r="AH26" i="3"/>
  <c r="AH30" i="3"/>
  <c r="AH34" i="3"/>
  <c r="AH36" i="3"/>
  <c r="AH38" i="3"/>
  <c r="AH40" i="3"/>
  <c r="AH42" i="3"/>
  <c r="AH44" i="3"/>
  <c r="AH46" i="3"/>
  <c r="AH48" i="3"/>
  <c r="AH50" i="3"/>
  <c r="AH12" i="3"/>
  <c r="AH16" i="3"/>
  <c r="AH20" i="3"/>
  <c r="AH24" i="3"/>
  <c r="AH28" i="3"/>
  <c r="AH32" i="3"/>
  <c r="AH37" i="3"/>
  <c r="AH41" i="3"/>
  <c r="AH45" i="3"/>
  <c r="AH49" i="3"/>
  <c r="AH55" i="3"/>
  <c r="AH59" i="3"/>
  <c r="AH39" i="3"/>
  <c r="AH43" i="3"/>
  <c r="AH47" i="3"/>
  <c r="AH51" i="3"/>
  <c r="AH53" i="3"/>
  <c r="AH57" i="3"/>
  <c r="AH56" i="3"/>
  <c r="AH60" i="3"/>
  <c r="AH54" i="3"/>
  <c r="AH58" i="3"/>
  <c r="AH52" i="3"/>
  <c r="O2" i="3"/>
  <c r="O4" i="3"/>
  <c r="O6" i="3"/>
  <c r="O8" i="3"/>
  <c r="O10" i="3"/>
  <c r="O12" i="3"/>
  <c r="O14" i="3"/>
  <c r="O16" i="3"/>
  <c r="O18" i="3"/>
  <c r="O20" i="3"/>
  <c r="O22" i="3"/>
  <c r="O24" i="3"/>
  <c r="O26" i="3"/>
  <c r="O28" i="3"/>
  <c r="O30" i="3"/>
  <c r="O32" i="3"/>
  <c r="O34" i="3"/>
  <c r="O36" i="3"/>
  <c r="O38" i="3"/>
  <c r="O40" i="3"/>
  <c r="O42" i="3"/>
  <c r="O44" i="3"/>
  <c r="O46" i="3"/>
  <c r="O48" i="3"/>
  <c r="O50" i="3"/>
  <c r="O52" i="3"/>
  <c r="O54" i="3"/>
  <c r="O56" i="3"/>
  <c r="O58" i="3"/>
  <c r="O17" i="3"/>
  <c r="O33" i="3"/>
  <c r="O49" i="3"/>
  <c r="O9" i="3"/>
  <c r="O25" i="3"/>
  <c r="O41" i="3"/>
  <c r="O57" i="3"/>
  <c r="O19" i="3"/>
  <c r="O21" i="3"/>
  <c r="O23" i="3"/>
  <c r="O5" i="3"/>
  <c r="O51" i="3"/>
  <c r="O53" i="3"/>
  <c r="O55" i="3"/>
  <c r="O59" i="3"/>
  <c r="O11" i="3"/>
  <c r="O29" i="3"/>
  <c r="O43" i="3"/>
  <c r="O47" i="3"/>
  <c r="O31" i="3"/>
  <c r="O3" i="3"/>
  <c r="O15" i="3"/>
  <c r="O27" i="3"/>
  <c r="O60" i="3"/>
  <c r="O13" i="3"/>
  <c r="O35" i="3"/>
  <c r="O39" i="3"/>
  <c r="O7" i="3"/>
  <c r="O45" i="3"/>
  <c r="O37" i="3"/>
  <c r="P4" i="3"/>
  <c r="P7" i="3"/>
  <c r="P20" i="3"/>
  <c r="P23" i="3"/>
  <c r="P36" i="3"/>
  <c r="P39" i="3"/>
  <c r="P52" i="3"/>
  <c r="P55" i="3"/>
  <c r="P2" i="3"/>
  <c r="P12" i="3"/>
  <c r="P15" i="3"/>
  <c r="P28" i="3"/>
  <c r="P31" i="3"/>
  <c r="P44" i="3"/>
  <c r="P47" i="3"/>
  <c r="P3" i="3"/>
  <c r="P22" i="3"/>
  <c r="P24" i="3"/>
  <c r="P25" i="3"/>
  <c r="P26" i="3"/>
  <c r="P27" i="3"/>
  <c r="P29" i="3"/>
  <c r="P54" i="3"/>
  <c r="P56" i="3"/>
  <c r="P57" i="3"/>
  <c r="P58" i="3"/>
  <c r="P5" i="3"/>
  <c r="P19" i="3"/>
  <c r="P40" i="3"/>
  <c r="P60" i="3"/>
  <c r="P59" i="3"/>
  <c r="P43" i="3"/>
  <c r="P6" i="3"/>
  <c r="P11" i="3"/>
  <c r="P16" i="3"/>
  <c r="P32" i="3"/>
  <c r="P51" i="3"/>
  <c r="P8" i="3"/>
  <c r="P13" i="3"/>
  <c r="P18" i="3"/>
  <c r="P35" i="3"/>
  <c r="P50" i="3"/>
  <c r="P10" i="3"/>
  <c r="P38" i="3"/>
  <c r="P42" i="3"/>
  <c r="P9" i="3"/>
  <c r="P14" i="3"/>
  <c r="P33" i="3"/>
  <c r="P37" i="3"/>
  <c r="P48" i="3"/>
  <c r="P21" i="3"/>
  <c r="P46" i="3"/>
  <c r="P34" i="3"/>
  <c r="P49" i="3"/>
  <c r="P53" i="3"/>
  <c r="P17" i="3"/>
  <c r="P30" i="3"/>
  <c r="P41" i="3"/>
  <c r="P45" i="3"/>
  <c r="L15" i="3"/>
  <c r="L18" i="3"/>
  <c r="L31" i="3"/>
  <c r="L34" i="3"/>
  <c r="L47" i="3"/>
  <c r="L50" i="3"/>
  <c r="L2" i="3"/>
  <c r="L7" i="3"/>
  <c r="L10" i="3"/>
  <c r="L23" i="3"/>
  <c r="L26" i="3"/>
  <c r="L39" i="3"/>
  <c r="L42" i="3"/>
  <c r="L55" i="3"/>
  <c r="L58" i="3"/>
  <c r="L8" i="3"/>
  <c r="L4" i="3"/>
  <c r="L33" i="3"/>
  <c r="L35" i="3"/>
  <c r="L36" i="3"/>
  <c r="L37" i="3"/>
  <c r="L38" i="3"/>
  <c r="L40" i="3"/>
  <c r="L3" i="3"/>
  <c r="L25" i="3"/>
  <c r="L27" i="3"/>
  <c r="L28" i="3"/>
  <c r="L29" i="3"/>
  <c r="L30" i="3"/>
  <c r="L16" i="3"/>
  <c r="L21" i="3"/>
  <c r="L43" i="3"/>
  <c r="L13" i="3"/>
  <c r="L54" i="3"/>
  <c r="L20" i="3"/>
  <c r="L49" i="3"/>
  <c r="L5" i="3"/>
  <c r="L12" i="3"/>
  <c r="L17" i="3"/>
  <c r="L41" i="3"/>
  <c r="L45" i="3"/>
  <c r="L11" i="3"/>
  <c r="L51" i="3"/>
  <c r="L46" i="3"/>
  <c r="L57" i="3"/>
  <c r="L9" i="3"/>
  <c r="L22" i="3"/>
  <c r="L52" i="3"/>
  <c r="L56" i="3"/>
  <c r="L14" i="3"/>
  <c r="L19" i="3"/>
  <c r="L44" i="3"/>
  <c r="L48" i="3"/>
  <c r="L60" i="3"/>
  <c r="L6" i="3"/>
  <c r="L24" i="3"/>
  <c r="L32" i="3"/>
  <c r="L59" i="3"/>
  <c r="L53" i="3"/>
  <c r="M5" i="3"/>
  <c r="M8" i="3"/>
  <c r="M21" i="3"/>
  <c r="M24" i="3"/>
  <c r="M37" i="3"/>
  <c r="M40" i="3"/>
  <c r="M53" i="3"/>
  <c r="M56" i="3"/>
  <c r="M59" i="3"/>
  <c r="M13" i="3"/>
  <c r="M16" i="3"/>
  <c r="M29" i="3"/>
  <c r="M32" i="3"/>
  <c r="M45" i="3"/>
  <c r="M48" i="3"/>
  <c r="M60" i="3"/>
  <c r="M2" i="3"/>
  <c r="M7" i="3"/>
  <c r="M9" i="3"/>
  <c r="M10" i="3"/>
  <c r="M11" i="3"/>
  <c r="M12" i="3"/>
  <c r="M14" i="3"/>
  <c r="M39" i="3"/>
  <c r="M41" i="3"/>
  <c r="M42" i="3"/>
  <c r="M43" i="3"/>
  <c r="M44" i="3"/>
  <c r="M46" i="3"/>
  <c r="M4" i="3"/>
  <c r="M31" i="3"/>
  <c r="M6" i="3"/>
  <c r="M47" i="3"/>
  <c r="M51" i="3"/>
  <c r="M18" i="3"/>
  <c r="M54" i="3"/>
  <c r="M26" i="3"/>
  <c r="M35" i="3"/>
  <c r="M58" i="3"/>
  <c r="M23" i="3"/>
  <c r="M50" i="3"/>
  <c r="M15" i="3"/>
  <c r="M38" i="3"/>
  <c r="M57" i="3"/>
  <c r="M3" i="3"/>
  <c r="M20" i="3"/>
  <c r="M25" i="3"/>
  <c r="M49" i="3"/>
  <c r="M52" i="3"/>
  <c r="M19" i="3"/>
  <c r="M36" i="3"/>
  <c r="M55" i="3"/>
  <c r="M28" i="3"/>
  <c r="M34" i="3"/>
  <c r="M17" i="3"/>
  <c r="M30" i="3"/>
  <c r="M33" i="3"/>
  <c r="M22" i="3"/>
  <c r="M27" i="3"/>
  <c r="Q10" i="3"/>
  <c r="Q13" i="3"/>
  <c r="Q26" i="3"/>
  <c r="Q29" i="3"/>
  <c r="Q42" i="3"/>
  <c r="Q45" i="3"/>
  <c r="Q58" i="3"/>
  <c r="Q60" i="3"/>
  <c r="Q4" i="3"/>
  <c r="Q5" i="3"/>
  <c r="Q18" i="3"/>
  <c r="Q21" i="3"/>
  <c r="Q34" i="3"/>
  <c r="Q37" i="3"/>
  <c r="Q50" i="3"/>
  <c r="Q53" i="3"/>
  <c r="Q59" i="3"/>
  <c r="Q28" i="3"/>
  <c r="Q30" i="3"/>
  <c r="Q31" i="3"/>
  <c r="Q32" i="3"/>
  <c r="Q33" i="3"/>
  <c r="Q35" i="3"/>
  <c r="Q6" i="3"/>
  <c r="Q9" i="3"/>
  <c r="Q14" i="3"/>
  <c r="Q27" i="3"/>
  <c r="Q44" i="3"/>
  <c r="Q48" i="3"/>
  <c r="Q8" i="3"/>
  <c r="Q54" i="3"/>
  <c r="Q2" i="3"/>
  <c r="Q19" i="3"/>
  <c r="Q24" i="3"/>
  <c r="Q36" i="3"/>
  <c r="Q40" i="3"/>
  <c r="Q55" i="3"/>
  <c r="Q23" i="3"/>
  <c r="Q46" i="3"/>
  <c r="Q22" i="3"/>
  <c r="Q11" i="3"/>
  <c r="Q51" i="3"/>
  <c r="Q39" i="3"/>
  <c r="Q3" i="3"/>
  <c r="Q15" i="3"/>
  <c r="Q20" i="3"/>
  <c r="Q38" i="3"/>
  <c r="Q57" i="3"/>
  <c r="Q7" i="3"/>
  <c r="Q12" i="3"/>
  <c r="Q25" i="3"/>
  <c r="Q49" i="3"/>
  <c r="Q17" i="3"/>
  <c r="Q41" i="3"/>
  <c r="Q52" i="3"/>
  <c r="Q56" i="3"/>
  <c r="Q16" i="3"/>
  <c r="Q47" i="3"/>
  <c r="Q43" i="3"/>
  <c r="N11" i="3"/>
  <c r="N14" i="3"/>
  <c r="N27" i="3"/>
  <c r="N30" i="3"/>
  <c r="N43" i="3"/>
  <c r="N46" i="3"/>
  <c r="N5" i="3"/>
  <c r="N3" i="3"/>
  <c r="N6" i="3"/>
  <c r="N19" i="3"/>
  <c r="N22" i="3"/>
  <c r="N35" i="3"/>
  <c r="N38" i="3"/>
  <c r="N51" i="3"/>
  <c r="N54" i="3"/>
  <c r="N13" i="3"/>
  <c r="N15" i="3"/>
  <c r="N16" i="3"/>
  <c r="N17" i="3"/>
  <c r="N18" i="3"/>
  <c r="N20" i="3"/>
  <c r="N45" i="3"/>
  <c r="N47" i="3"/>
  <c r="N48" i="3"/>
  <c r="N49" i="3"/>
  <c r="N50" i="3"/>
  <c r="N52" i="3"/>
  <c r="N60" i="3"/>
  <c r="N2" i="3"/>
  <c r="N4" i="3"/>
  <c r="N24" i="3"/>
  <c r="N29" i="3"/>
  <c r="N32" i="3"/>
  <c r="N36" i="3"/>
  <c r="N55" i="3"/>
  <c r="N59" i="3"/>
  <c r="N26" i="3"/>
  <c r="N23" i="3"/>
  <c r="N8" i="3"/>
  <c r="N21" i="3"/>
  <c r="N39" i="3"/>
  <c r="N31" i="3"/>
  <c r="N42" i="3"/>
  <c r="N58" i="3"/>
  <c r="N7" i="3"/>
  <c r="N28" i="3"/>
  <c r="N34" i="3"/>
  <c r="N53" i="3"/>
  <c r="N57" i="3"/>
  <c r="N40" i="3"/>
  <c r="N12" i="3"/>
  <c r="N25" i="3"/>
  <c r="N37" i="3"/>
  <c r="N41" i="3"/>
  <c r="N9" i="3"/>
  <c r="N33" i="3"/>
  <c r="N56" i="3"/>
  <c r="N44" i="3"/>
  <c r="N10" i="3"/>
  <c r="R2" i="3"/>
  <c r="R3" i="3"/>
  <c r="R16" i="3"/>
  <c r="R19" i="3"/>
  <c r="R32" i="3"/>
  <c r="R35" i="3"/>
  <c r="R48" i="3"/>
  <c r="R51" i="3"/>
  <c r="R8" i="3"/>
  <c r="R11" i="3"/>
  <c r="R24" i="3"/>
  <c r="R27" i="3"/>
  <c r="R40" i="3"/>
  <c r="R43" i="3"/>
  <c r="R56" i="3"/>
  <c r="R34" i="3"/>
  <c r="R36" i="3"/>
  <c r="R37" i="3"/>
  <c r="R38" i="3"/>
  <c r="R39" i="3"/>
  <c r="R41" i="3"/>
  <c r="R7" i="3"/>
  <c r="R9" i="3"/>
  <c r="R6" i="3"/>
  <c r="R17" i="3"/>
  <c r="R22" i="3"/>
  <c r="R33" i="3"/>
  <c r="R52" i="3"/>
  <c r="R59" i="3"/>
  <c r="R47" i="3"/>
  <c r="R4" i="3"/>
  <c r="R14" i="3"/>
  <c r="R44" i="3"/>
  <c r="R55" i="3"/>
  <c r="R26" i="3"/>
  <c r="R13" i="3"/>
  <c r="R18" i="3"/>
  <c r="R31" i="3"/>
  <c r="R50" i="3"/>
  <c r="R54" i="3"/>
  <c r="R57" i="3"/>
  <c r="R12" i="3"/>
  <c r="R30" i="3"/>
  <c r="R45" i="3"/>
  <c r="R29" i="3"/>
  <c r="R21" i="3"/>
  <c r="R5" i="3"/>
  <c r="R10" i="3"/>
  <c r="R23" i="3"/>
  <c r="R28" i="3"/>
  <c r="R42" i="3"/>
  <c r="R46" i="3"/>
  <c r="R15" i="3"/>
  <c r="R20" i="3"/>
  <c r="R53" i="3"/>
  <c r="R25" i="3"/>
  <c r="R49" i="3"/>
  <c r="R60" i="3"/>
  <c r="R58" i="3"/>
  <c r="AD4" i="2"/>
  <c r="AL4" i="2"/>
  <c r="AK4" i="2"/>
  <c r="AP4" i="2"/>
  <c r="AO4" i="2"/>
  <c r="AT4" i="2"/>
  <c r="Z4" i="2"/>
  <c r="AG4" i="2"/>
  <c r="AS4" i="2"/>
  <c r="AW4" i="2"/>
  <c r="AH4" i="2"/>
  <c r="Y4" i="2"/>
  <c r="R4" i="2"/>
  <c r="V4" i="2"/>
  <c r="O4" i="2"/>
  <c r="P4" i="2"/>
  <c r="L4" i="2"/>
  <c r="M4" i="2"/>
  <c r="Q4" i="2"/>
  <c r="N4" i="2"/>
  <c r="F28" i="1"/>
  <c r="B35" i="4" l="1"/>
  <c r="B63" i="3"/>
  <c r="B64" i="3" s="1"/>
  <c r="AE63" i="3"/>
  <c r="AE64" i="3" s="1"/>
  <c r="D63" i="3"/>
  <c r="D64" i="3" s="1"/>
  <c r="C63" i="3"/>
  <c r="C64" i="3" s="1"/>
  <c r="AJ63" i="3"/>
  <c r="AJ64" i="3" s="1"/>
  <c r="I63" i="3"/>
  <c r="I64" i="3" s="1"/>
  <c r="W63" i="3"/>
  <c r="W64" i="3" s="1"/>
  <c r="AA63" i="3"/>
  <c r="AA64" i="3" s="1"/>
  <c r="AB63" i="3"/>
  <c r="AB64" i="3" s="1"/>
  <c r="AF63" i="3"/>
  <c r="AF64" i="3" s="1"/>
  <c r="AM63" i="3"/>
  <c r="AM64" i="3" s="1"/>
  <c r="AQ63" i="3"/>
  <c r="AQ64" i="3" s="1"/>
  <c r="X63" i="3"/>
  <c r="X64" i="3" s="1"/>
  <c r="S63" i="3"/>
  <c r="S64" i="3" s="1"/>
  <c r="G63" i="3"/>
  <c r="G64" i="3" s="1"/>
  <c r="U63" i="3"/>
  <c r="U64" i="3" s="1"/>
  <c r="AV63" i="3"/>
  <c r="AV64" i="3" s="1"/>
  <c r="AU63" i="3"/>
  <c r="AU64" i="3" s="1"/>
  <c r="F63" i="3"/>
  <c r="F64" i="3" s="1"/>
  <c r="AR63" i="3"/>
  <c r="AR64" i="3" s="1"/>
  <c r="T63" i="3"/>
  <c r="T64" i="3" s="1"/>
  <c r="AC63" i="3"/>
  <c r="AC64" i="3" s="1"/>
  <c r="J63" i="3"/>
  <c r="J64" i="3" s="1"/>
  <c r="K63" i="3"/>
  <c r="K64" i="3" s="1"/>
  <c r="H63" i="3"/>
  <c r="H64" i="3" s="1"/>
  <c r="E63" i="3"/>
  <c r="E64" i="3" s="1"/>
  <c r="AN63" i="3"/>
  <c r="AN64" i="3" s="1"/>
  <c r="B47" i="1"/>
  <c r="AH63" i="3"/>
  <c r="AH64" i="3" s="1"/>
  <c r="Y63" i="3"/>
  <c r="Y64" i="3" s="1"/>
  <c r="L63" i="3"/>
  <c r="L64" i="3" s="1"/>
  <c r="AO63" i="3"/>
  <c r="AO64" i="3" s="1"/>
  <c r="AK63" i="3"/>
  <c r="AK64" i="3" s="1"/>
  <c r="AW63" i="3"/>
  <c r="AW64" i="3" s="1"/>
  <c r="N63" i="3"/>
  <c r="N64" i="3" s="1"/>
  <c r="Q63" i="3"/>
  <c r="Q64" i="3" s="1"/>
  <c r="P63" i="3"/>
  <c r="P64" i="3" s="1"/>
  <c r="AD63" i="3"/>
  <c r="AD64" i="3" s="1"/>
  <c r="R63" i="3"/>
  <c r="R64" i="3" s="1"/>
  <c r="AG63" i="3"/>
  <c r="AG64" i="3" s="1"/>
  <c r="AL63" i="3"/>
  <c r="AL64" i="3" s="1"/>
  <c r="M63" i="3"/>
  <c r="M64" i="3" s="1"/>
  <c r="AT63" i="3"/>
  <c r="AT64" i="3" s="1"/>
  <c r="AP63" i="3"/>
  <c r="AP64" i="3" s="1"/>
  <c r="O63" i="3"/>
  <c r="O64" i="3" s="1"/>
  <c r="Z63" i="3"/>
  <c r="Z64" i="3" s="1"/>
  <c r="V63" i="3"/>
  <c r="V64" i="3" s="1"/>
  <c r="AS63" i="3"/>
  <c r="AS64" i="3" s="1"/>
  <c r="B29" i="4" l="1"/>
  <c r="B16" i="4"/>
  <c r="B17" i="4"/>
  <c r="B30" i="4"/>
  <c r="B15" i="4"/>
  <c r="B36" i="4"/>
  <c r="B13" i="4"/>
  <c r="B47" i="4"/>
  <c r="B32" i="4"/>
  <c r="B31" i="4"/>
  <c r="B19" i="4"/>
  <c r="B34" i="4"/>
  <c r="B42" i="4"/>
  <c r="B46" i="4"/>
  <c r="B39" i="4"/>
  <c r="B8" i="4"/>
  <c r="B48" i="4"/>
  <c r="B28" i="4"/>
  <c r="B26" i="4"/>
  <c r="B9" i="4"/>
  <c r="B20" i="4"/>
  <c r="B44" i="4"/>
  <c r="B14" i="4"/>
  <c r="B49" i="4"/>
  <c r="B37" i="4"/>
  <c r="B45" i="4"/>
  <c r="B33" i="4"/>
  <c r="B41" i="4"/>
  <c r="B11" i="4"/>
  <c r="B21" i="4"/>
  <c r="B27" i="4"/>
  <c r="B25" i="4"/>
  <c r="B24" i="4"/>
  <c r="B43" i="4"/>
  <c r="B40" i="4"/>
  <c r="B38" i="4"/>
  <c r="B22" i="4"/>
  <c r="B18" i="4"/>
  <c r="B12" i="4"/>
  <c r="B10" i="4"/>
  <c r="B7" i="4"/>
  <c r="B23" i="4"/>
  <c r="B3" i="4"/>
  <c r="B6" i="4"/>
  <c r="B4" i="4"/>
  <c r="B5" i="4"/>
  <c r="B2" i="4"/>
  <c r="D15" i="1" l="1"/>
  <c r="C15" i="1"/>
  <c r="E15" i="1"/>
  <c r="B15" i="1"/>
  <c r="B46" i="1" l="1"/>
  <c r="B48"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956">
    <bk>
      <extLst>
        <ext uri="{3e2802c4-a4d2-4d8b-9148-e3be6c30e623}">
          <xlrd:rvb i="6"/>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5"/>
        </ext>
      </extLst>
    </bk>
    <bk>
      <extLst>
        <ext uri="{3e2802c4-a4d2-4d8b-9148-e3be6c30e623}">
          <xlrd:rvb i="78"/>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3"/>
        </ext>
      </extLst>
    </bk>
    <bk>
      <extLst>
        <ext uri="{3e2802c4-a4d2-4d8b-9148-e3be6c30e623}">
          <xlrd:rvb i="96"/>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0"/>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bk>
      <extLst>
        <ext uri="{3e2802c4-a4d2-4d8b-9148-e3be6c30e623}">
          <xlrd:rvb i="8440"/>
        </ext>
      </extLst>
    </bk>
    <bk>
      <extLst>
        <ext uri="{3e2802c4-a4d2-4d8b-9148-e3be6c30e623}">
          <xlrd:rvb i="8441"/>
        </ext>
      </extLst>
    </bk>
    <bk>
      <extLst>
        <ext uri="{3e2802c4-a4d2-4d8b-9148-e3be6c30e623}">
          <xlrd:rvb i="8442"/>
        </ext>
      </extLst>
    </bk>
    <bk>
      <extLst>
        <ext uri="{3e2802c4-a4d2-4d8b-9148-e3be6c30e623}">
          <xlrd:rvb i="8443"/>
        </ext>
      </extLst>
    </bk>
    <bk>
      <extLst>
        <ext uri="{3e2802c4-a4d2-4d8b-9148-e3be6c30e623}">
          <xlrd:rvb i="8444"/>
        </ext>
      </extLst>
    </bk>
    <bk>
      <extLst>
        <ext uri="{3e2802c4-a4d2-4d8b-9148-e3be6c30e623}">
          <xlrd:rvb i="8445"/>
        </ext>
      </extLst>
    </bk>
    <bk>
      <extLst>
        <ext uri="{3e2802c4-a4d2-4d8b-9148-e3be6c30e623}">
          <xlrd:rvb i="8446"/>
        </ext>
      </extLst>
    </bk>
    <bk>
      <extLst>
        <ext uri="{3e2802c4-a4d2-4d8b-9148-e3be6c30e623}">
          <xlrd:rvb i="8447"/>
        </ext>
      </extLst>
    </bk>
    <bk>
      <extLst>
        <ext uri="{3e2802c4-a4d2-4d8b-9148-e3be6c30e623}">
          <xlrd:rvb i="8448"/>
        </ext>
      </extLst>
    </bk>
    <bk>
      <extLst>
        <ext uri="{3e2802c4-a4d2-4d8b-9148-e3be6c30e623}">
          <xlrd:rvb i="8449"/>
        </ext>
      </extLst>
    </bk>
    <bk>
      <extLst>
        <ext uri="{3e2802c4-a4d2-4d8b-9148-e3be6c30e623}">
          <xlrd:rvb i="8450"/>
        </ext>
      </extLst>
    </bk>
    <bk>
      <extLst>
        <ext uri="{3e2802c4-a4d2-4d8b-9148-e3be6c30e623}">
          <xlrd:rvb i="8451"/>
        </ext>
      </extLst>
    </bk>
    <bk>
      <extLst>
        <ext uri="{3e2802c4-a4d2-4d8b-9148-e3be6c30e623}">
          <xlrd:rvb i="8452"/>
        </ext>
      </extLst>
    </bk>
    <bk>
      <extLst>
        <ext uri="{3e2802c4-a4d2-4d8b-9148-e3be6c30e623}">
          <xlrd:rvb i="8453"/>
        </ext>
      </extLst>
    </bk>
    <bk>
      <extLst>
        <ext uri="{3e2802c4-a4d2-4d8b-9148-e3be6c30e623}">
          <xlrd:rvb i="8454"/>
        </ext>
      </extLst>
    </bk>
    <bk>
      <extLst>
        <ext uri="{3e2802c4-a4d2-4d8b-9148-e3be6c30e623}">
          <xlrd:rvb i="8455"/>
        </ext>
      </extLst>
    </bk>
    <bk>
      <extLst>
        <ext uri="{3e2802c4-a4d2-4d8b-9148-e3be6c30e623}">
          <xlrd:rvb i="8456"/>
        </ext>
      </extLst>
    </bk>
    <bk>
      <extLst>
        <ext uri="{3e2802c4-a4d2-4d8b-9148-e3be6c30e623}">
          <xlrd:rvb i="8457"/>
        </ext>
      </extLst>
    </bk>
    <bk>
      <extLst>
        <ext uri="{3e2802c4-a4d2-4d8b-9148-e3be6c30e623}">
          <xlrd:rvb i="8458"/>
        </ext>
      </extLst>
    </bk>
    <bk>
      <extLst>
        <ext uri="{3e2802c4-a4d2-4d8b-9148-e3be6c30e623}">
          <xlrd:rvb i="8459"/>
        </ext>
      </extLst>
    </bk>
    <bk>
      <extLst>
        <ext uri="{3e2802c4-a4d2-4d8b-9148-e3be6c30e623}">
          <xlrd:rvb i="8460"/>
        </ext>
      </extLst>
    </bk>
    <bk>
      <extLst>
        <ext uri="{3e2802c4-a4d2-4d8b-9148-e3be6c30e623}">
          <xlrd:rvb i="8461"/>
        </ext>
      </extLst>
    </bk>
    <bk>
      <extLst>
        <ext uri="{3e2802c4-a4d2-4d8b-9148-e3be6c30e623}">
          <xlrd:rvb i="8462"/>
        </ext>
      </extLst>
    </bk>
    <bk>
      <extLst>
        <ext uri="{3e2802c4-a4d2-4d8b-9148-e3be6c30e623}">
          <xlrd:rvb i="8463"/>
        </ext>
      </extLst>
    </bk>
    <bk>
      <extLst>
        <ext uri="{3e2802c4-a4d2-4d8b-9148-e3be6c30e623}">
          <xlrd:rvb i="8464"/>
        </ext>
      </extLst>
    </bk>
    <bk>
      <extLst>
        <ext uri="{3e2802c4-a4d2-4d8b-9148-e3be6c30e623}">
          <xlrd:rvb i="8465"/>
        </ext>
      </extLst>
    </bk>
    <bk>
      <extLst>
        <ext uri="{3e2802c4-a4d2-4d8b-9148-e3be6c30e623}">
          <xlrd:rvb i="8466"/>
        </ext>
      </extLst>
    </bk>
    <bk>
      <extLst>
        <ext uri="{3e2802c4-a4d2-4d8b-9148-e3be6c30e623}">
          <xlrd:rvb i="8467"/>
        </ext>
      </extLst>
    </bk>
    <bk>
      <extLst>
        <ext uri="{3e2802c4-a4d2-4d8b-9148-e3be6c30e623}">
          <xlrd:rvb i="8468"/>
        </ext>
      </extLst>
    </bk>
    <bk>
      <extLst>
        <ext uri="{3e2802c4-a4d2-4d8b-9148-e3be6c30e623}">
          <xlrd:rvb i="8469"/>
        </ext>
      </extLst>
    </bk>
    <bk>
      <extLst>
        <ext uri="{3e2802c4-a4d2-4d8b-9148-e3be6c30e623}">
          <xlrd:rvb i="8470"/>
        </ext>
      </extLst>
    </bk>
    <bk>
      <extLst>
        <ext uri="{3e2802c4-a4d2-4d8b-9148-e3be6c30e623}">
          <xlrd:rvb i="8471"/>
        </ext>
      </extLst>
    </bk>
    <bk>
      <extLst>
        <ext uri="{3e2802c4-a4d2-4d8b-9148-e3be6c30e623}">
          <xlrd:rvb i="8472"/>
        </ext>
      </extLst>
    </bk>
    <bk>
      <extLst>
        <ext uri="{3e2802c4-a4d2-4d8b-9148-e3be6c30e623}">
          <xlrd:rvb i="8473"/>
        </ext>
      </extLst>
    </bk>
    <bk>
      <extLst>
        <ext uri="{3e2802c4-a4d2-4d8b-9148-e3be6c30e623}">
          <xlrd:rvb i="8474"/>
        </ext>
      </extLst>
    </bk>
    <bk>
      <extLst>
        <ext uri="{3e2802c4-a4d2-4d8b-9148-e3be6c30e623}">
          <xlrd:rvb i="8475"/>
        </ext>
      </extLst>
    </bk>
    <bk>
      <extLst>
        <ext uri="{3e2802c4-a4d2-4d8b-9148-e3be6c30e623}">
          <xlrd:rvb i="8476"/>
        </ext>
      </extLst>
    </bk>
    <bk>
      <extLst>
        <ext uri="{3e2802c4-a4d2-4d8b-9148-e3be6c30e623}">
          <xlrd:rvb i="8477"/>
        </ext>
      </extLst>
    </bk>
    <bk>
      <extLst>
        <ext uri="{3e2802c4-a4d2-4d8b-9148-e3be6c30e623}">
          <xlrd:rvb i="8478"/>
        </ext>
      </extLst>
    </bk>
    <bk>
      <extLst>
        <ext uri="{3e2802c4-a4d2-4d8b-9148-e3be6c30e623}">
          <xlrd:rvb i="8479"/>
        </ext>
      </extLst>
    </bk>
    <bk>
      <extLst>
        <ext uri="{3e2802c4-a4d2-4d8b-9148-e3be6c30e623}">
          <xlrd:rvb i="8480"/>
        </ext>
      </extLst>
    </bk>
    <bk>
      <extLst>
        <ext uri="{3e2802c4-a4d2-4d8b-9148-e3be6c30e623}">
          <xlrd:rvb i="8481"/>
        </ext>
      </extLst>
    </bk>
    <bk>
      <extLst>
        <ext uri="{3e2802c4-a4d2-4d8b-9148-e3be6c30e623}">
          <xlrd:rvb i="8482"/>
        </ext>
      </extLst>
    </bk>
    <bk>
      <extLst>
        <ext uri="{3e2802c4-a4d2-4d8b-9148-e3be6c30e623}">
          <xlrd:rvb i="8483"/>
        </ext>
      </extLst>
    </bk>
    <bk>
      <extLst>
        <ext uri="{3e2802c4-a4d2-4d8b-9148-e3be6c30e623}">
          <xlrd:rvb i="8484"/>
        </ext>
      </extLst>
    </bk>
    <bk>
      <extLst>
        <ext uri="{3e2802c4-a4d2-4d8b-9148-e3be6c30e623}">
          <xlrd:rvb i="8485"/>
        </ext>
      </extLst>
    </bk>
    <bk>
      <extLst>
        <ext uri="{3e2802c4-a4d2-4d8b-9148-e3be6c30e623}">
          <xlrd:rvb i="8486"/>
        </ext>
      </extLst>
    </bk>
    <bk>
      <extLst>
        <ext uri="{3e2802c4-a4d2-4d8b-9148-e3be6c30e623}">
          <xlrd:rvb i="8487"/>
        </ext>
      </extLst>
    </bk>
    <bk>
      <extLst>
        <ext uri="{3e2802c4-a4d2-4d8b-9148-e3be6c30e623}">
          <xlrd:rvb i="8488"/>
        </ext>
      </extLst>
    </bk>
    <bk>
      <extLst>
        <ext uri="{3e2802c4-a4d2-4d8b-9148-e3be6c30e623}">
          <xlrd:rvb i="8489"/>
        </ext>
      </extLst>
    </bk>
    <bk>
      <extLst>
        <ext uri="{3e2802c4-a4d2-4d8b-9148-e3be6c30e623}">
          <xlrd:rvb i="8490"/>
        </ext>
      </extLst>
    </bk>
    <bk>
      <extLst>
        <ext uri="{3e2802c4-a4d2-4d8b-9148-e3be6c30e623}">
          <xlrd:rvb i="8491"/>
        </ext>
      </extLst>
    </bk>
    <bk>
      <extLst>
        <ext uri="{3e2802c4-a4d2-4d8b-9148-e3be6c30e623}">
          <xlrd:rvb i="8492"/>
        </ext>
      </extLst>
    </bk>
    <bk>
      <extLst>
        <ext uri="{3e2802c4-a4d2-4d8b-9148-e3be6c30e623}">
          <xlrd:rvb i="8493"/>
        </ext>
      </extLst>
    </bk>
    <bk>
      <extLst>
        <ext uri="{3e2802c4-a4d2-4d8b-9148-e3be6c30e623}">
          <xlrd:rvb i="8494"/>
        </ext>
      </extLst>
    </bk>
    <bk>
      <extLst>
        <ext uri="{3e2802c4-a4d2-4d8b-9148-e3be6c30e623}">
          <xlrd:rvb i="8495"/>
        </ext>
      </extLst>
    </bk>
    <bk>
      <extLst>
        <ext uri="{3e2802c4-a4d2-4d8b-9148-e3be6c30e623}">
          <xlrd:rvb i="8496"/>
        </ext>
      </extLst>
    </bk>
    <bk>
      <extLst>
        <ext uri="{3e2802c4-a4d2-4d8b-9148-e3be6c30e623}">
          <xlrd:rvb i="8497"/>
        </ext>
      </extLst>
    </bk>
    <bk>
      <extLst>
        <ext uri="{3e2802c4-a4d2-4d8b-9148-e3be6c30e623}">
          <xlrd:rvb i="8498"/>
        </ext>
      </extLst>
    </bk>
    <bk>
      <extLst>
        <ext uri="{3e2802c4-a4d2-4d8b-9148-e3be6c30e623}">
          <xlrd:rvb i="8499"/>
        </ext>
      </extLst>
    </bk>
    <bk>
      <extLst>
        <ext uri="{3e2802c4-a4d2-4d8b-9148-e3be6c30e623}">
          <xlrd:rvb i="8500"/>
        </ext>
      </extLst>
    </bk>
    <bk>
      <extLst>
        <ext uri="{3e2802c4-a4d2-4d8b-9148-e3be6c30e623}">
          <xlrd:rvb i="8501"/>
        </ext>
      </extLst>
    </bk>
    <bk>
      <extLst>
        <ext uri="{3e2802c4-a4d2-4d8b-9148-e3be6c30e623}">
          <xlrd:rvb i="8502"/>
        </ext>
      </extLst>
    </bk>
    <bk>
      <extLst>
        <ext uri="{3e2802c4-a4d2-4d8b-9148-e3be6c30e623}">
          <xlrd:rvb i="8503"/>
        </ext>
      </extLst>
    </bk>
    <bk>
      <extLst>
        <ext uri="{3e2802c4-a4d2-4d8b-9148-e3be6c30e623}">
          <xlrd:rvb i="8504"/>
        </ext>
      </extLst>
    </bk>
    <bk>
      <extLst>
        <ext uri="{3e2802c4-a4d2-4d8b-9148-e3be6c30e623}">
          <xlrd:rvb i="8505"/>
        </ext>
      </extLst>
    </bk>
    <bk>
      <extLst>
        <ext uri="{3e2802c4-a4d2-4d8b-9148-e3be6c30e623}">
          <xlrd:rvb i="8506"/>
        </ext>
      </extLst>
    </bk>
    <bk>
      <extLst>
        <ext uri="{3e2802c4-a4d2-4d8b-9148-e3be6c30e623}">
          <xlrd:rvb i="8507"/>
        </ext>
      </extLst>
    </bk>
    <bk>
      <extLst>
        <ext uri="{3e2802c4-a4d2-4d8b-9148-e3be6c30e623}">
          <xlrd:rvb i="8508"/>
        </ext>
      </extLst>
    </bk>
    <bk>
      <extLst>
        <ext uri="{3e2802c4-a4d2-4d8b-9148-e3be6c30e623}">
          <xlrd:rvb i="8509"/>
        </ext>
      </extLst>
    </bk>
    <bk>
      <extLst>
        <ext uri="{3e2802c4-a4d2-4d8b-9148-e3be6c30e623}">
          <xlrd:rvb i="8510"/>
        </ext>
      </extLst>
    </bk>
    <bk>
      <extLst>
        <ext uri="{3e2802c4-a4d2-4d8b-9148-e3be6c30e623}">
          <xlrd:rvb i="8511"/>
        </ext>
      </extLst>
    </bk>
    <bk>
      <extLst>
        <ext uri="{3e2802c4-a4d2-4d8b-9148-e3be6c30e623}">
          <xlrd:rvb i="8512"/>
        </ext>
      </extLst>
    </bk>
    <bk>
      <extLst>
        <ext uri="{3e2802c4-a4d2-4d8b-9148-e3be6c30e623}">
          <xlrd:rvb i="8513"/>
        </ext>
      </extLst>
    </bk>
    <bk>
      <extLst>
        <ext uri="{3e2802c4-a4d2-4d8b-9148-e3be6c30e623}">
          <xlrd:rvb i="8514"/>
        </ext>
      </extLst>
    </bk>
    <bk>
      <extLst>
        <ext uri="{3e2802c4-a4d2-4d8b-9148-e3be6c30e623}">
          <xlrd:rvb i="8515"/>
        </ext>
      </extLst>
    </bk>
    <bk>
      <extLst>
        <ext uri="{3e2802c4-a4d2-4d8b-9148-e3be6c30e623}">
          <xlrd:rvb i="8516"/>
        </ext>
      </extLst>
    </bk>
    <bk>
      <extLst>
        <ext uri="{3e2802c4-a4d2-4d8b-9148-e3be6c30e623}">
          <xlrd:rvb i="8517"/>
        </ext>
      </extLst>
    </bk>
    <bk>
      <extLst>
        <ext uri="{3e2802c4-a4d2-4d8b-9148-e3be6c30e623}">
          <xlrd:rvb i="8518"/>
        </ext>
      </extLst>
    </bk>
    <bk>
      <extLst>
        <ext uri="{3e2802c4-a4d2-4d8b-9148-e3be6c30e623}">
          <xlrd:rvb i="8519"/>
        </ext>
      </extLst>
    </bk>
    <bk>
      <extLst>
        <ext uri="{3e2802c4-a4d2-4d8b-9148-e3be6c30e623}">
          <xlrd:rvb i="8520"/>
        </ext>
      </extLst>
    </bk>
    <bk>
      <extLst>
        <ext uri="{3e2802c4-a4d2-4d8b-9148-e3be6c30e623}">
          <xlrd:rvb i="8521"/>
        </ext>
      </extLst>
    </bk>
    <bk>
      <extLst>
        <ext uri="{3e2802c4-a4d2-4d8b-9148-e3be6c30e623}">
          <xlrd:rvb i="8522"/>
        </ext>
      </extLst>
    </bk>
    <bk>
      <extLst>
        <ext uri="{3e2802c4-a4d2-4d8b-9148-e3be6c30e623}">
          <xlrd:rvb i="8523"/>
        </ext>
      </extLst>
    </bk>
    <bk>
      <extLst>
        <ext uri="{3e2802c4-a4d2-4d8b-9148-e3be6c30e623}">
          <xlrd:rvb i="8524"/>
        </ext>
      </extLst>
    </bk>
    <bk>
      <extLst>
        <ext uri="{3e2802c4-a4d2-4d8b-9148-e3be6c30e623}">
          <xlrd:rvb i="8525"/>
        </ext>
      </extLst>
    </bk>
    <bk>
      <extLst>
        <ext uri="{3e2802c4-a4d2-4d8b-9148-e3be6c30e623}">
          <xlrd:rvb i="8526"/>
        </ext>
      </extLst>
    </bk>
    <bk>
      <extLst>
        <ext uri="{3e2802c4-a4d2-4d8b-9148-e3be6c30e623}">
          <xlrd:rvb i="8527"/>
        </ext>
      </extLst>
    </bk>
    <bk>
      <extLst>
        <ext uri="{3e2802c4-a4d2-4d8b-9148-e3be6c30e623}">
          <xlrd:rvb i="8528"/>
        </ext>
      </extLst>
    </bk>
    <bk>
      <extLst>
        <ext uri="{3e2802c4-a4d2-4d8b-9148-e3be6c30e623}">
          <xlrd:rvb i="8529"/>
        </ext>
      </extLst>
    </bk>
    <bk>
      <extLst>
        <ext uri="{3e2802c4-a4d2-4d8b-9148-e3be6c30e623}">
          <xlrd:rvb i="8530"/>
        </ext>
      </extLst>
    </bk>
    <bk>
      <extLst>
        <ext uri="{3e2802c4-a4d2-4d8b-9148-e3be6c30e623}">
          <xlrd:rvb i="8531"/>
        </ext>
      </extLst>
    </bk>
    <bk>
      <extLst>
        <ext uri="{3e2802c4-a4d2-4d8b-9148-e3be6c30e623}">
          <xlrd:rvb i="8532"/>
        </ext>
      </extLst>
    </bk>
    <bk>
      <extLst>
        <ext uri="{3e2802c4-a4d2-4d8b-9148-e3be6c30e623}">
          <xlrd:rvb i="8533"/>
        </ext>
      </extLst>
    </bk>
    <bk>
      <extLst>
        <ext uri="{3e2802c4-a4d2-4d8b-9148-e3be6c30e623}">
          <xlrd:rvb i="8534"/>
        </ext>
      </extLst>
    </bk>
    <bk>
      <extLst>
        <ext uri="{3e2802c4-a4d2-4d8b-9148-e3be6c30e623}">
          <xlrd:rvb i="8535"/>
        </ext>
      </extLst>
    </bk>
    <bk>
      <extLst>
        <ext uri="{3e2802c4-a4d2-4d8b-9148-e3be6c30e623}">
          <xlrd:rvb i="8536"/>
        </ext>
      </extLst>
    </bk>
    <bk>
      <extLst>
        <ext uri="{3e2802c4-a4d2-4d8b-9148-e3be6c30e623}">
          <xlrd:rvb i="8537"/>
        </ext>
      </extLst>
    </bk>
    <bk>
      <extLst>
        <ext uri="{3e2802c4-a4d2-4d8b-9148-e3be6c30e623}">
          <xlrd:rvb i="8538"/>
        </ext>
      </extLst>
    </bk>
    <bk>
      <extLst>
        <ext uri="{3e2802c4-a4d2-4d8b-9148-e3be6c30e623}">
          <xlrd:rvb i="8539"/>
        </ext>
      </extLst>
    </bk>
    <bk>
      <extLst>
        <ext uri="{3e2802c4-a4d2-4d8b-9148-e3be6c30e623}">
          <xlrd:rvb i="8540"/>
        </ext>
      </extLst>
    </bk>
    <bk>
      <extLst>
        <ext uri="{3e2802c4-a4d2-4d8b-9148-e3be6c30e623}">
          <xlrd:rvb i="8541"/>
        </ext>
      </extLst>
    </bk>
    <bk>
      <extLst>
        <ext uri="{3e2802c4-a4d2-4d8b-9148-e3be6c30e623}">
          <xlrd:rvb i="8542"/>
        </ext>
      </extLst>
    </bk>
    <bk>
      <extLst>
        <ext uri="{3e2802c4-a4d2-4d8b-9148-e3be6c30e623}">
          <xlrd:rvb i="8543"/>
        </ext>
      </extLst>
    </bk>
    <bk>
      <extLst>
        <ext uri="{3e2802c4-a4d2-4d8b-9148-e3be6c30e623}">
          <xlrd:rvb i="8544"/>
        </ext>
      </extLst>
    </bk>
    <bk>
      <extLst>
        <ext uri="{3e2802c4-a4d2-4d8b-9148-e3be6c30e623}">
          <xlrd:rvb i="8545"/>
        </ext>
      </extLst>
    </bk>
    <bk>
      <extLst>
        <ext uri="{3e2802c4-a4d2-4d8b-9148-e3be6c30e623}">
          <xlrd:rvb i="8546"/>
        </ext>
      </extLst>
    </bk>
    <bk>
      <extLst>
        <ext uri="{3e2802c4-a4d2-4d8b-9148-e3be6c30e623}">
          <xlrd:rvb i="8547"/>
        </ext>
      </extLst>
    </bk>
    <bk>
      <extLst>
        <ext uri="{3e2802c4-a4d2-4d8b-9148-e3be6c30e623}">
          <xlrd:rvb i="8548"/>
        </ext>
      </extLst>
    </bk>
    <bk>
      <extLst>
        <ext uri="{3e2802c4-a4d2-4d8b-9148-e3be6c30e623}">
          <xlrd:rvb i="8549"/>
        </ext>
      </extLst>
    </bk>
    <bk>
      <extLst>
        <ext uri="{3e2802c4-a4d2-4d8b-9148-e3be6c30e623}">
          <xlrd:rvb i="8550"/>
        </ext>
      </extLst>
    </bk>
    <bk>
      <extLst>
        <ext uri="{3e2802c4-a4d2-4d8b-9148-e3be6c30e623}">
          <xlrd:rvb i="8551"/>
        </ext>
      </extLst>
    </bk>
    <bk>
      <extLst>
        <ext uri="{3e2802c4-a4d2-4d8b-9148-e3be6c30e623}">
          <xlrd:rvb i="8552"/>
        </ext>
      </extLst>
    </bk>
    <bk>
      <extLst>
        <ext uri="{3e2802c4-a4d2-4d8b-9148-e3be6c30e623}">
          <xlrd:rvb i="8553"/>
        </ext>
      </extLst>
    </bk>
    <bk>
      <extLst>
        <ext uri="{3e2802c4-a4d2-4d8b-9148-e3be6c30e623}">
          <xlrd:rvb i="8554"/>
        </ext>
      </extLst>
    </bk>
    <bk>
      <extLst>
        <ext uri="{3e2802c4-a4d2-4d8b-9148-e3be6c30e623}">
          <xlrd:rvb i="8555"/>
        </ext>
      </extLst>
    </bk>
    <bk>
      <extLst>
        <ext uri="{3e2802c4-a4d2-4d8b-9148-e3be6c30e623}">
          <xlrd:rvb i="8556"/>
        </ext>
      </extLst>
    </bk>
    <bk>
      <extLst>
        <ext uri="{3e2802c4-a4d2-4d8b-9148-e3be6c30e623}">
          <xlrd:rvb i="8557"/>
        </ext>
      </extLst>
    </bk>
    <bk>
      <extLst>
        <ext uri="{3e2802c4-a4d2-4d8b-9148-e3be6c30e623}">
          <xlrd:rvb i="8558"/>
        </ext>
      </extLst>
    </bk>
    <bk>
      <extLst>
        <ext uri="{3e2802c4-a4d2-4d8b-9148-e3be6c30e623}">
          <xlrd:rvb i="8559"/>
        </ext>
      </extLst>
    </bk>
    <bk>
      <extLst>
        <ext uri="{3e2802c4-a4d2-4d8b-9148-e3be6c30e623}">
          <xlrd:rvb i="8560"/>
        </ext>
      </extLst>
    </bk>
    <bk>
      <extLst>
        <ext uri="{3e2802c4-a4d2-4d8b-9148-e3be6c30e623}">
          <xlrd:rvb i="8561"/>
        </ext>
      </extLst>
    </bk>
    <bk>
      <extLst>
        <ext uri="{3e2802c4-a4d2-4d8b-9148-e3be6c30e623}">
          <xlrd:rvb i="8562"/>
        </ext>
      </extLst>
    </bk>
    <bk>
      <extLst>
        <ext uri="{3e2802c4-a4d2-4d8b-9148-e3be6c30e623}">
          <xlrd:rvb i="8563"/>
        </ext>
      </extLst>
    </bk>
    <bk>
      <extLst>
        <ext uri="{3e2802c4-a4d2-4d8b-9148-e3be6c30e623}">
          <xlrd:rvb i="8564"/>
        </ext>
      </extLst>
    </bk>
    <bk>
      <extLst>
        <ext uri="{3e2802c4-a4d2-4d8b-9148-e3be6c30e623}">
          <xlrd:rvb i="8565"/>
        </ext>
      </extLst>
    </bk>
    <bk>
      <extLst>
        <ext uri="{3e2802c4-a4d2-4d8b-9148-e3be6c30e623}">
          <xlrd:rvb i="8566"/>
        </ext>
      </extLst>
    </bk>
    <bk>
      <extLst>
        <ext uri="{3e2802c4-a4d2-4d8b-9148-e3be6c30e623}">
          <xlrd:rvb i="8567"/>
        </ext>
      </extLst>
    </bk>
    <bk>
      <extLst>
        <ext uri="{3e2802c4-a4d2-4d8b-9148-e3be6c30e623}">
          <xlrd:rvb i="8568"/>
        </ext>
      </extLst>
    </bk>
    <bk>
      <extLst>
        <ext uri="{3e2802c4-a4d2-4d8b-9148-e3be6c30e623}">
          <xlrd:rvb i="8569"/>
        </ext>
      </extLst>
    </bk>
    <bk>
      <extLst>
        <ext uri="{3e2802c4-a4d2-4d8b-9148-e3be6c30e623}">
          <xlrd:rvb i="8570"/>
        </ext>
      </extLst>
    </bk>
    <bk>
      <extLst>
        <ext uri="{3e2802c4-a4d2-4d8b-9148-e3be6c30e623}">
          <xlrd:rvb i="8571"/>
        </ext>
      </extLst>
    </bk>
    <bk>
      <extLst>
        <ext uri="{3e2802c4-a4d2-4d8b-9148-e3be6c30e623}">
          <xlrd:rvb i="8572"/>
        </ext>
      </extLst>
    </bk>
    <bk>
      <extLst>
        <ext uri="{3e2802c4-a4d2-4d8b-9148-e3be6c30e623}">
          <xlrd:rvb i="8573"/>
        </ext>
      </extLst>
    </bk>
    <bk>
      <extLst>
        <ext uri="{3e2802c4-a4d2-4d8b-9148-e3be6c30e623}">
          <xlrd:rvb i="8574"/>
        </ext>
      </extLst>
    </bk>
    <bk>
      <extLst>
        <ext uri="{3e2802c4-a4d2-4d8b-9148-e3be6c30e623}">
          <xlrd:rvb i="8575"/>
        </ext>
      </extLst>
    </bk>
    <bk>
      <extLst>
        <ext uri="{3e2802c4-a4d2-4d8b-9148-e3be6c30e623}">
          <xlrd:rvb i="8576"/>
        </ext>
      </extLst>
    </bk>
    <bk>
      <extLst>
        <ext uri="{3e2802c4-a4d2-4d8b-9148-e3be6c30e623}">
          <xlrd:rvb i="8577"/>
        </ext>
      </extLst>
    </bk>
    <bk>
      <extLst>
        <ext uri="{3e2802c4-a4d2-4d8b-9148-e3be6c30e623}">
          <xlrd:rvb i="8578"/>
        </ext>
      </extLst>
    </bk>
    <bk>
      <extLst>
        <ext uri="{3e2802c4-a4d2-4d8b-9148-e3be6c30e623}">
          <xlrd:rvb i="8579"/>
        </ext>
      </extLst>
    </bk>
    <bk>
      <extLst>
        <ext uri="{3e2802c4-a4d2-4d8b-9148-e3be6c30e623}">
          <xlrd:rvb i="8580"/>
        </ext>
      </extLst>
    </bk>
    <bk>
      <extLst>
        <ext uri="{3e2802c4-a4d2-4d8b-9148-e3be6c30e623}">
          <xlrd:rvb i="8581"/>
        </ext>
      </extLst>
    </bk>
    <bk>
      <extLst>
        <ext uri="{3e2802c4-a4d2-4d8b-9148-e3be6c30e623}">
          <xlrd:rvb i="8582"/>
        </ext>
      </extLst>
    </bk>
    <bk>
      <extLst>
        <ext uri="{3e2802c4-a4d2-4d8b-9148-e3be6c30e623}">
          <xlrd:rvb i="8583"/>
        </ext>
      </extLst>
    </bk>
    <bk>
      <extLst>
        <ext uri="{3e2802c4-a4d2-4d8b-9148-e3be6c30e623}">
          <xlrd:rvb i="8584"/>
        </ext>
      </extLst>
    </bk>
    <bk>
      <extLst>
        <ext uri="{3e2802c4-a4d2-4d8b-9148-e3be6c30e623}">
          <xlrd:rvb i="8585"/>
        </ext>
      </extLst>
    </bk>
    <bk>
      <extLst>
        <ext uri="{3e2802c4-a4d2-4d8b-9148-e3be6c30e623}">
          <xlrd:rvb i="8586"/>
        </ext>
      </extLst>
    </bk>
    <bk>
      <extLst>
        <ext uri="{3e2802c4-a4d2-4d8b-9148-e3be6c30e623}">
          <xlrd:rvb i="8587"/>
        </ext>
      </extLst>
    </bk>
    <bk>
      <extLst>
        <ext uri="{3e2802c4-a4d2-4d8b-9148-e3be6c30e623}">
          <xlrd:rvb i="8588"/>
        </ext>
      </extLst>
    </bk>
    <bk>
      <extLst>
        <ext uri="{3e2802c4-a4d2-4d8b-9148-e3be6c30e623}">
          <xlrd:rvb i="8589"/>
        </ext>
      </extLst>
    </bk>
    <bk>
      <extLst>
        <ext uri="{3e2802c4-a4d2-4d8b-9148-e3be6c30e623}">
          <xlrd:rvb i="8590"/>
        </ext>
      </extLst>
    </bk>
    <bk>
      <extLst>
        <ext uri="{3e2802c4-a4d2-4d8b-9148-e3be6c30e623}">
          <xlrd:rvb i="8591"/>
        </ext>
      </extLst>
    </bk>
    <bk>
      <extLst>
        <ext uri="{3e2802c4-a4d2-4d8b-9148-e3be6c30e623}">
          <xlrd:rvb i="8592"/>
        </ext>
      </extLst>
    </bk>
    <bk>
      <extLst>
        <ext uri="{3e2802c4-a4d2-4d8b-9148-e3be6c30e623}">
          <xlrd:rvb i="8593"/>
        </ext>
      </extLst>
    </bk>
    <bk>
      <extLst>
        <ext uri="{3e2802c4-a4d2-4d8b-9148-e3be6c30e623}">
          <xlrd:rvb i="8594"/>
        </ext>
      </extLst>
    </bk>
    <bk>
      <extLst>
        <ext uri="{3e2802c4-a4d2-4d8b-9148-e3be6c30e623}">
          <xlrd:rvb i="8595"/>
        </ext>
      </extLst>
    </bk>
    <bk>
      <extLst>
        <ext uri="{3e2802c4-a4d2-4d8b-9148-e3be6c30e623}">
          <xlrd:rvb i="8596"/>
        </ext>
      </extLst>
    </bk>
    <bk>
      <extLst>
        <ext uri="{3e2802c4-a4d2-4d8b-9148-e3be6c30e623}">
          <xlrd:rvb i="8597"/>
        </ext>
      </extLst>
    </bk>
    <bk>
      <extLst>
        <ext uri="{3e2802c4-a4d2-4d8b-9148-e3be6c30e623}">
          <xlrd:rvb i="8598"/>
        </ext>
      </extLst>
    </bk>
    <bk>
      <extLst>
        <ext uri="{3e2802c4-a4d2-4d8b-9148-e3be6c30e623}">
          <xlrd:rvb i="8599"/>
        </ext>
      </extLst>
    </bk>
    <bk>
      <extLst>
        <ext uri="{3e2802c4-a4d2-4d8b-9148-e3be6c30e623}">
          <xlrd:rvb i="8600"/>
        </ext>
      </extLst>
    </bk>
    <bk>
      <extLst>
        <ext uri="{3e2802c4-a4d2-4d8b-9148-e3be6c30e623}">
          <xlrd:rvb i="8601"/>
        </ext>
      </extLst>
    </bk>
    <bk>
      <extLst>
        <ext uri="{3e2802c4-a4d2-4d8b-9148-e3be6c30e623}">
          <xlrd:rvb i="8602"/>
        </ext>
      </extLst>
    </bk>
    <bk>
      <extLst>
        <ext uri="{3e2802c4-a4d2-4d8b-9148-e3be6c30e623}">
          <xlrd:rvb i="8603"/>
        </ext>
      </extLst>
    </bk>
    <bk>
      <extLst>
        <ext uri="{3e2802c4-a4d2-4d8b-9148-e3be6c30e623}">
          <xlrd:rvb i="8604"/>
        </ext>
      </extLst>
    </bk>
    <bk>
      <extLst>
        <ext uri="{3e2802c4-a4d2-4d8b-9148-e3be6c30e623}">
          <xlrd:rvb i="8605"/>
        </ext>
      </extLst>
    </bk>
    <bk>
      <extLst>
        <ext uri="{3e2802c4-a4d2-4d8b-9148-e3be6c30e623}">
          <xlrd:rvb i="8606"/>
        </ext>
      </extLst>
    </bk>
    <bk>
      <extLst>
        <ext uri="{3e2802c4-a4d2-4d8b-9148-e3be6c30e623}">
          <xlrd:rvb i="8607"/>
        </ext>
      </extLst>
    </bk>
    <bk>
      <extLst>
        <ext uri="{3e2802c4-a4d2-4d8b-9148-e3be6c30e623}">
          <xlrd:rvb i="8608"/>
        </ext>
      </extLst>
    </bk>
    <bk>
      <extLst>
        <ext uri="{3e2802c4-a4d2-4d8b-9148-e3be6c30e623}">
          <xlrd:rvb i="8609"/>
        </ext>
      </extLst>
    </bk>
    <bk>
      <extLst>
        <ext uri="{3e2802c4-a4d2-4d8b-9148-e3be6c30e623}">
          <xlrd:rvb i="8610"/>
        </ext>
      </extLst>
    </bk>
    <bk>
      <extLst>
        <ext uri="{3e2802c4-a4d2-4d8b-9148-e3be6c30e623}">
          <xlrd:rvb i="8611"/>
        </ext>
      </extLst>
    </bk>
    <bk>
      <extLst>
        <ext uri="{3e2802c4-a4d2-4d8b-9148-e3be6c30e623}">
          <xlrd:rvb i="8612"/>
        </ext>
      </extLst>
    </bk>
    <bk>
      <extLst>
        <ext uri="{3e2802c4-a4d2-4d8b-9148-e3be6c30e623}">
          <xlrd:rvb i="8613"/>
        </ext>
      </extLst>
    </bk>
    <bk>
      <extLst>
        <ext uri="{3e2802c4-a4d2-4d8b-9148-e3be6c30e623}">
          <xlrd:rvb i="8614"/>
        </ext>
      </extLst>
    </bk>
    <bk>
      <extLst>
        <ext uri="{3e2802c4-a4d2-4d8b-9148-e3be6c30e623}">
          <xlrd:rvb i="8615"/>
        </ext>
      </extLst>
    </bk>
    <bk>
      <extLst>
        <ext uri="{3e2802c4-a4d2-4d8b-9148-e3be6c30e623}">
          <xlrd:rvb i="8616"/>
        </ext>
      </extLst>
    </bk>
    <bk>
      <extLst>
        <ext uri="{3e2802c4-a4d2-4d8b-9148-e3be6c30e623}">
          <xlrd:rvb i="8617"/>
        </ext>
      </extLst>
    </bk>
    <bk>
      <extLst>
        <ext uri="{3e2802c4-a4d2-4d8b-9148-e3be6c30e623}">
          <xlrd:rvb i="8618"/>
        </ext>
      </extLst>
    </bk>
    <bk>
      <extLst>
        <ext uri="{3e2802c4-a4d2-4d8b-9148-e3be6c30e623}">
          <xlrd:rvb i="8619"/>
        </ext>
      </extLst>
    </bk>
    <bk>
      <extLst>
        <ext uri="{3e2802c4-a4d2-4d8b-9148-e3be6c30e623}">
          <xlrd:rvb i="8620"/>
        </ext>
      </extLst>
    </bk>
    <bk>
      <extLst>
        <ext uri="{3e2802c4-a4d2-4d8b-9148-e3be6c30e623}">
          <xlrd:rvb i="8621"/>
        </ext>
      </extLst>
    </bk>
    <bk>
      <extLst>
        <ext uri="{3e2802c4-a4d2-4d8b-9148-e3be6c30e623}">
          <xlrd:rvb i="8622"/>
        </ext>
      </extLst>
    </bk>
    <bk>
      <extLst>
        <ext uri="{3e2802c4-a4d2-4d8b-9148-e3be6c30e623}">
          <xlrd:rvb i="8623"/>
        </ext>
      </extLst>
    </bk>
    <bk>
      <extLst>
        <ext uri="{3e2802c4-a4d2-4d8b-9148-e3be6c30e623}">
          <xlrd:rvb i="8624"/>
        </ext>
      </extLst>
    </bk>
    <bk>
      <extLst>
        <ext uri="{3e2802c4-a4d2-4d8b-9148-e3be6c30e623}">
          <xlrd:rvb i="8625"/>
        </ext>
      </extLst>
    </bk>
    <bk>
      <extLst>
        <ext uri="{3e2802c4-a4d2-4d8b-9148-e3be6c30e623}">
          <xlrd:rvb i="8626"/>
        </ext>
      </extLst>
    </bk>
    <bk>
      <extLst>
        <ext uri="{3e2802c4-a4d2-4d8b-9148-e3be6c30e623}">
          <xlrd:rvb i="8627"/>
        </ext>
      </extLst>
    </bk>
    <bk>
      <extLst>
        <ext uri="{3e2802c4-a4d2-4d8b-9148-e3be6c30e623}">
          <xlrd:rvb i="8628"/>
        </ext>
      </extLst>
    </bk>
    <bk>
      <extLst>
        <ext uri="{3e2802c4-a4d2-4d8b-9148-e3be6c30e623}">
          <xlrd:rvb i="8629"/>
        </ext>
      </extLst>
    </bk>
    <bk>
      <extLst>
        <ext uri="{3e2802c4-a4d2-4d8b-9148-e3be6c30e623}">
          <xlrd:rvb i="8630"/>
        </ext>
      </extLst>
    </bk>
    <bk>
      <extLst>
        <ext uri="{3e2802c4-a4d2-4d8b-9148-e3be6c30e623}">
          <xlrd:rvb i="8631"/>
        </ext>
      </extLst>
    </bk>
    <bk>
      <extLst>
        <ext uri="{3e2802c4-a4d2-4d8b-9148-e3be6c30e623}">
          <xlrd:rvb i="8632"/>
        </ext>
      </extLst>
    </bk>
    <bk>
      <extLst>
        <ext uri="{3e2802c4-a4d2-4d8b-9148-e3be6c30e623}">
          <xlrd:rvb i="8633"/>
        </ext>
      </extLst>
    </bk>
    <bk>
      <extLst>
        <ext uri="{3e2802c4-a4d2-4d8b-9148-e3be6c30e623}">
          <xlrd:rvb i="8634"/>
        </ext>
      </extLst>
    </bk>
    <bk>
      <extLst>
        <ext uri="{3e2802c4-a4d2-4d8b-9148-e3be6c30e623}">
          <xlrd:rvb i="8635"/>
        </ext>
      </extLst>
    </bk>
    <bk>
      <extLst>
        <ext uri="{3e2802c4-a4d2-4d8b-9148-e3be6c30e623}">
          <xlrd:rvb i="8636"/>
        </ext>
      </extLst>
    </bk>
    <bk>
      <extLst>
        <ext uri="{3e2802c4-a4d2-4d8b-9148-e3be6c30e623}">
          <xlrd:rvb i="8637"/>
        </ext>
      </extLst>
    </bk>
    <bk>
      <extLst>
        <ext uri="{3e2802c4-a4d2-4d8b-9148-e3be6c30e623}">
          <xlrd:rvb i="8638"/>
        </ext>
      </extLst>
    </bk>
    <bk>
      <extLst>
        <ext uri="{3e2802c4-a4d2-4d8b-9148-e3be6c30e623}">
          <xlrd:rvb i="8639"/>
        </ext>
      </extLst>
    </bk>
    <bk>
      <extLst>
        <ext uri="{3e2802c4-a4d2-4d8b-9148-e3be6c30e623}">
          <xlrd:rvb i="8640"/>
        </ext>
      </extLst>
    </bk>
    <bk>
      <extLst>
        <ext uri="{3e2802c4-a4d2-4d8b-9148-e3be6c30e623}">
          <xlrd:rvb i="8641"/>
        </ext>
      </extLst>
    </bk>
    <bk>
      <extLst>
        <ext uri="{3e2802c4-a4d2-4d8b-9148-e3be6c30e623}">
          <xlrd:rvb i="8642"/>
        </ext>
      </extLst>
    </bk>
    <bk>
      <extLst>
        <ext uri="{3e2802c4-a4d2-4d8b-9148-e3be6c30e623}">
          <xlrd:rvb i="8643"/>
        </ext>
      </extLst>
    </bk>
    <bk>
      <extLst>
        <ext uri="{3e2802c4-a4d2-4d8b-9148-e3be6c30e623}">
          <xlrd:rvb i="8644"/>
        </ext>
      </extLst>
    </bk>
    <bk>
      <extLst>
        <ext uri="{3e2802c4-a4d2-4d8b-9148-e3be6c30e623}">
          <xlrd:rvb i="8645"/>
        </ext>
      </extLst>
    </bk>
    <bk>
      <extLst>
        <ext uri="{3e2802c4-a4d2-4d8b-9148-e3be6c30e623}">
          <xlrd:rvb i="8646"/>
        </ext>
      </extLst>
    </bk>
    <bk>
      <extLst>
        <ext uri="{3e2802c4-a4d2-4d8b-9148-e3be6c30e623}">
          <xlrd:rvb i="8647"/>
        </ext>
      </extLst>
    </bk>
    <bk>
      <extLst>
        <ext uri="{3e2802c4-a4d2-4d8b-9148-e3be6c30e623}">
          <xlrd:rvb i="8648"/>
        </ext>
      </extLst>
    </bk>
    <bk>
      <extLst>
        <ext uri="{3e2802c4-a4d2-4d8b-9148-e3be6c30e623}">
          <xlrd:rvb i="8649"/>
        </ext>
      </extLst>
    </bk>
    <bk>
      <extLst>
        <ext uri="{3e2802c4-a4d2-4d8b-9148-e3be6c30e623}">
          <xlrd:rvb i="8650"/>
        </ext>
      </extLst>
    </bk>
    <bk>
      <extLst>
        <ext uri="{3e2802c4-a4d2-4d8b-9148-e3be6c30e623}">
          <xlrd:rvb i="8651"/>
        </ext>
      </extLst>
    </bk>
    <bk>
      <extLst>
        <ext uri="{3e2802c4-a4d2-4d8b-9148-e3be6c30e623}">
          <xlrd:rvb i="8652"/>
        </ext>
      </extLst>
    </bk>
    <bk>
      <extLst>
        <ext uri="{3e2802c4-a4d2-4d8b-9148-e3be6c30e623}">
          <xlrd:rvb i="8653"/>
        </ext>
      </extLst>
    </bk>
    <bk>
      <extLst>
        <ext uri="{3e2802c4-a4d2-4d8b-9148-e3be6c30e623}">
          <xlrd:rvb i="8654"/>
        </ext>
      </extLst>
    </bk>
    <bk>
      <extLst>
        <ext uri="{3e2802c4-a4d2-4d8b-9148-e3be6c30e623}">
          <xlrd:rvb i="8655"/>
        </ext>
      </extLst>
    </bk>
    <bk>
      <extLst>
        <ext uri="{3e2802c4-a4d2-4d8b-9148-e3be6c30e623}">
          <xlrd:rvb i="8656"/>
        </ext>
      </extLst>
    </bk>
    <bk>
      <extLst>
        <ext uri="{3e2802c4-a4d2-4d8b-9148-e3be6c30e623}">
          <xlrd:rvb i="8657"/>
        </ext>
      </extLst>
    </bk>
    <bk>
      <extLst>
        <ext uri="{3e2802c4-a4d2-4d8b-9148-e3be6c30e623}">
          <xlrd:rvb i="8658"/>
        </ext>
      </extLst>
    </bk>
    <bk>
      <extLst>
        <ext uri="{3e2802c4-a4d2-4d8b-9148-e3be6c30e623}">
          <xlrd:rvb i="8659"/>
        </ext>
      </extLst>
    </bk>
    <bk>
      <extLst>
        <ext uri="{3e2802c4-a4d2-4d8b-9148-e3be6c30e623}">
          <xlrd:rvb i="8660"/>
        </ext>
      </extLst>
    </bk>
    <bk>
      <extLst>
        <ext uri="{3e2802c4-a4d2-4d8b-9148-e3be6c30e623}">
          <xlrd:rvb i="8661"/>
        </ext>
      </extLst>
    </bk>
    <bk>
      <extLst>
        <ext uri="{3e2802c4-a4d2-4d8b-9148-e3be6c30e623}">
          <xlrd:rvb i="8662"/>
        </ext>
      </extLst>
    </bk>
    <bk>
      <extLst>
        <ext uri="{3e2802c4-a4d2-4d8b-9148-e3be6c30e623}">
          <xlrd:rvb i="8663"/>
        </ext>
      </extLst>
    </bk>
    <bk>
      <extLst>
        <ext uri="{3e2802c4-a4d2-4d8b-9148-e3be6c30e623}">
          <xlrd:rvb i="8664"/>
        </ext>
      </extLst>
    </bk>
    <bk>
      <extLst>
        <ext uri="{3e2802c4-a4d2-4d8b-9148-e3be6c30e623}">
          <xlrd:rvb i="8665"/>
        </ext>
      </extLst>
    </bk>
    <bk>
      <extLst>
        <ext uri="{3e2802c4-a4d2-4d8b-9148-e3be6c30e623}">
          <xlrd:rvb i="8666"/>
        </ext>
      </extLst>
    </bk>
    <bk>
      <extLst>
        <ext uri="{3e2802c4-a4d2-4d8b-9148-e3be6c30e623}">
          <xlrd:rvb i="8667"/>
        </ext>
      </extLst>
    </bk>
    <bk>
      <extLst>
        <ext uri="{3e2802c4-a4d2-4d8b-9148-e3be6c30e623}">
          <xlrd:rvb i="8668"/>
        </ext>
      </extLst>
    </bk>
    <bk>
      <extLst>
        <ext uri="{3e2802c4-a4d2-4d8b-9148-e3be6c30e623}">
          <xlrd:rvb i="8669"/>
        </ext>
      </extLst>
    </bk>
    <bk>
      <extLst>
        <ext uri="{3e2802c4-a4d2-4d8b-9148-e3be6c30e623}">
          <xlrd:rvb i="8670"/>
        </ext>
      </extLst>
    </bk>
    <bk>
      <extLst>
        <ext uri="{3e2802c4-a4d2-4d8b-9148-e3be6c30e623}">
          <xlrd:rvb i="8671"/>
        </ext>
      </extLst>
    </bk>
    <bk>
      <extLst>
        <ext uri="{3e2802c4-a4d2-4d8b-9148-e3be6c30e623}">
          <xlrd:rvb i="8672"/>
        </ext>
      </extLst>
    </bk>
    <bk>
      <extLst>
        <ext uri="{3e2802c4-a4d2-4d8b-9148-e3be6c30e623}">
          <xlrd:rvb i="8673"/>
        </ext>
      </extLst>
    </bk>
    <bk>
      <extLst>
        <ext uri="{3e2802c4-a4d2-4d8b-9148-e3be6c30e623}">
          <xlrd:rvb i="8674"/>
        </ext>
      </extLst>
    </bk>
    <bk>
      <extLst>
        <ext uri="{3e2802c4-a4d2-4d8b-9148-e3be6c30e623}">
          <xlrd:rvb i="8675"/>
        </ext>
      </extLst>
    </bk>
    <bk>
      <extLst>
        <ext uri="{3e2802c4-a4d2-4d8b-9148-e3be6c30e623}">
          <xlrd:rvb i="8676"/>
        </ext>
      </extLst>
    </bk>
    <bk>
      <extLst>
        <ext uri="{3e2802c4-a4d2-4d8b-9148-e3be6c30e623}">
          <xlrd:rvb i="8677"/>
        </ext>
      </extLst>
    </bk>
    <bk>
      <extLst>
        <ext uri="{3e2802c4-a4d2-4d8b-9148-e3be6c30e623}">
          <xlrd:rvb i="8678"/>
        </ext>
      </extLst>
    </bk>
    <bk>
      <extLst>
        <ext uri="{3e2802c4-a4d2-4d8b-9148-e3be6c30e623}">
          <xlrd:rvb i="8679"/>
        </ext>
      </extLst>
    </bk>
    <bk>
      <extLst>
        <ext uri="{3e2802c4-a4d2-4d8b-9148-e3be6c30e623}">
          <xlrd:rvb i="8680"/>
        </ext>
      </extLst>
    </bk>
    <bk>
      <extLst>
        <ext uri="{3e2802c4-a4d2-4d8b-9148-e3be6c30e623}">
          <xlrd:rvb i="8681"/>
        </ext>
      </extLst>
    </bk>
    <bk>
      <extLst>
        <ext uri="{3e2802c4-a4d2-4d8b-9148-e3be6c30e623}">
          <xlrd:rvb i="8682"/>
        </ext>
      </extLst>
    </bk>
    <bk>
      <extLst>
        <ext uri="{3e2802c4-a4d2-4d8b-9148-e3be6c30e623}">
          <xlrd:rvb i="8683"/>
        </ext>
      </extLst>
    </bk>
    <bk>
      <extLst>
        <ext uri="{3e2802c4-a4d2-4d8b-9148-e3be6c30e623}">
          <xlrd:rvb i="8684"/>
        </ext>
      </extLst>
    </bk>
    <bk>
      <extLst>
        <ext uri="{3e2802c4-a4d2-4d8b-9148-e3be6c30e623}">
          <xlrd:rvb i="8685"/>
        </ext>
      </extLst>
    </bk>
    <bk>
      <extLst>
        <ext uri="{3e2802c4-a4d2-4d8b-9148-e3be6c30e623}">
          <xlrd:rvb i="8686"/>
        </ext>
      </extLst>
    </bk>
    <bk>
      <extLst>
        <ext uri="{3e2802c4-a4d2-4d8b-9148-e3be6c30e623}">
          <xlrd:rvb i="8687"/>
        </ext>
      </extLst>
    </bk>
    <bk>
      <extLst>
        <ext uri="{3e2802c4-a4d2-4d8b-9148-e3be6c30e623}">
          <xlrd:rvb i="8688"/>
        </ext>
      </extLst>
    </bk>
    <bk>
      <extLst>
        <ext uri="{3e2802c4-a4d2-4d8b-9148-e3be6c30e623}">
          <xlrd:rvb i="8689"/>
        </ext>
      </extLst>
    </bk>
    <bk>
      <extLst>
        <ext uri="{3e2802c4-a4d2-4d8b-9148-e3be6c30e623}">
          <xlrd:rvb i="8690"/>
        </ext>
      </extLst>
    </bk>
    <bk>
      <extLst>
        <ext uri="{3e2802c4-a4d2-4d8b-9148-e3be6c30e623}">
          <xlrd:rvb i="8691"/>
        </ext>
      </extLst>
    </bk>
    <bk>
      <extLst>
        <ext uri="{3e2802c4-a4d2-4d8b-9148-e3be6c30e623}">
          <xlrd:rvb i="8692"/>
        </ext>
      </extLst>
    </bk>
    <bk>
      <extLst>
        <ext uri="{3e2802c4-a4d2-4d8b-9148-e3be6c30e623}">
          <xlrd:rvb i="8693"/>
        </ext>
      </extLst>
    </bk>
    <bk>
      <extLst>
        <ext uri="{3e2802c4-a4d2-4d8b-9148-e3be6c30e623}">
          <xlrd:rvb i="8694"/>
        </ext>
      </extLst>
    </bk>
    <bk>
      <extLst>
        <ext uri="{3e2802c4-a4d2-4d8b-9148-e3be6c30e623}">
          <xlrd:rvb i="8695"/>
        </ext>
      </extLst>
    </bk>
    <bk>
      <extLst>
        <ext uri="{3e2802c4-a4d2-4d8b-9148-e3be6c30e623}">
          <xlrd:rvb i="8696"/>
        </ext>
      </extLst>
    </bk>
    <bk>
      <extLst>
        <ext uri="{3e2802c4-a4d2-4d8b-9148-e3be6c30e623}">
          <xlrd:rvb i="8697"/>
        </ext>
      </extLst>
    </bk>
    <bk>
      <extLst>
        <ext uri="{3e2802c4-a4d2-4d8b-9148-e3be6c30e623}">
          <xlrd:rvb i="8698"/>
        </ext>
      </extLst>
    </bk>
    <bk>
      <extLst>
        <ext uri="{3e2802c4-a4d2-4d8b-9148-e3be6c30e623}">
          <xlrd:rvb i="8699"/>
        </ext>
      </extLst>
    </bk>
    <bk>
      <extLst>
        <ext uri="{3e2802c4-a4d2-4d8b-9148-e3be6c30e623}">
          <xlrd:rvb i="8700"/>
        </ext>
      </extLst>
    </bk>
    <bk>
      <extLst>
        <ext uri="{3e2802c4-a4d2-4d8b-9148-e3be6c30e623}">
          <xlrd:rvb i="8701"/>
        </ext>
      </extLst>
    </bk>
    <bk>
      <extLst>
        <ext uri="{3e2802c4-a4d2-4d8b-9148-e3be6c30e623}">
          <xlrd:rvb i="8702"/>
        </ext>
      </extLst>
    </bk>
    <bk>
      <extLst>
        <ext uri="{3e2802c4-a4d2-4d8b-9148-e3be6c30e623}">
          <xlrd:rvb i="8703"/>
        </ext>
      </extLst>
    </bk>
    <bk>
      <extLst>
        <ext uri="{3e2802c4-a4d2-4d8b-9148-e3be6c30e623}">
          <xlrd:rvb i="8704"/>
        </ext>
      </extLst>
    </bk>
    <bk>
      <extLst>
        <ext uri="{3e2802c4-a4d2-4d8b-9148-e3be6c30e623}">
          <xlrd:rvb i="8705"/>
        </ext>
      </extLst>
    </bk>
    <bk>
      <extLst>
        <ext uri="{3e2802c4-a4d2-4d8b-9148-e3be6c30e623}">
          <xlrd:rvb i="8706"/>
        </ext>
      </extLst>
    </bk>
    <bk>
      <extLst>
        <ext uri="{3e2802c4-a4d2-4d8b-9148-e3be6c30e623}">
          <xlrd:rvb i="8707"/>
        </ext>
      </extLst>
    </bk>
    <bk>
      <extLst>
        <ext uri="{3e2802c4-a4d2-4d8b-9148-e3be6c30e623}">
          <xlrd:rvb i="8708"/>
        </ext>
      </extLst>
    </bk>
    <bk>
      <extLst>
        <ext uri="{3e2802c4-a4d2-4d8b-9148-e3be6c30e623}">
          <xlrd:rvb i="8709"/>
        </ext>
      </extLst>
    </bk>
    <bk>
      <extLst>
        <ext uri="{3e2802c4-a4d2-4d8b-9148-e3be6c30e623}">
          <xlrd:rvb i="8710"/>
        </ext>
      </extLst>
    </bk>
    <bk>
      <extLst>
        <ext uri="{3e2802c4-a4d2-4d8b-9148-e3be6c30e623}">
          <xlrd:rvb i="8711"/>
        </ext>
      </extLst>
    </bk>
    <bk>
      <extLst>
        <ext uri="{3e2802c4-a4d2-4d8b-9148-e3be6c30e623}">
          <xlrd:rvb i="8712"/>
        </ext>
      </extLst>
    </bk>
    <bk>
      <extLst>
        <ext uri="{3e2802c4-a4d2-4d8b-9148-e3be6c30e623}">
          <xlrd:rvb i="8713"/>
        </ext>
      </extLst>
    </bk>
    <bk>
      <extLst>
        <ext uri="{3e2802c4-a4d2-4d8b-9148-e3be6c30e623}">
          <xlrd:rvb i="8714"/>
        </ext>
      </extLst>
    </bk>
    <bk>
      <extLst>
        <ext uri="{3e2802c4-a4d2-4d8b-9148-e3be6c30e623}">
          <xlrd:rvb i="8715"/>
        </ext>
      </extLst>
    </bk>
    <bk>
      <extLst>
        <ext uri="{3e2802c4-a4d2-4d8b-9148-e3be6c30e623}">
          <xlrd:rvb i="8716"/>
        </ext>
      </extLst>
    </bk>
    <bk>
      <extLst>
        <ext uri="{3e2802c4-a4d2-4d8b-9148-e3be6c30e623}">
          <xlrd:rvb i="8717"/>
        </ext>
      </extLst>
    </bk>
    <bk>
      <extLst>
        <ext uri="{3e2802c4-a4d2-4d8b-9148-e3be6c30e623}">
          <xlrd:rvb i="8718"/>
        </ext>
      </extLst>
    </bk>
    <bk>
      <extLst>
        <ext uri="{3e2802c4-a4d2-4d8b-9148-e3be6c30e623}">
          <xlrd:rvb i="8719"/>
        </ext>
      </extLst>
    </bk>
    <bk>
      <extLst>
        <ext uri="{3e2802c4-a4d2-4d8b-9148-e3be6c30e623}">
          <xlrd:rvb i="8720"/>
        </ext>
      </extLst>
    </bk>
    <bk>
      <extLst>
        <ext uri="{3e2802c4-a4d2-4d8b-9148-e3be6c30e623}">
          <xlrd:rvb i="8721"/>
        </ext>
      </extLst>
    </bk>
    <bk>
      <extLst>
        <ext uri="{3e2802c4-a4d2-4d8b-9148-e3be6c30e623}">
          <xlrd:rvb i="8722"/>
        </ext>
      </extLst>
    </bk>
    <bk>
      <extLst>
        <ext uri="{3e2802c4-a4d2-4d8b-9148-e3be6c30e623}">
          <xlrd:rvb i="8723"/>
        </ext>
      </extLst>
    </bk>
    <bk>
      <extLst>
        <ext uri="{3e2802c4-a4d2-4d8b-9148-e3be6c30e623}">
          <xlrd:rvb i="8724"/>
        </ext>
      </extLst>
    </bk>
    <bk>
      <extLst>
        <ext uri="{3e2802c4-a4d2-4d8b-9148-e3be6c30e623}">
          <xlrd:rvb i="8725"/>
        </ext>
      </extLst>
    </bk>
    <bk>
      <extLst>
        <ext uri="{3e2802c4-a4d2-4d8b-9148-e3be6c30e623}">
          <xlrd:rvb i="8726"/>
        </ext>
      </extLst>
    </bk>
    <bk>
      <extLst>
        <ext uri="{3e2802c4-a4d2-4d8b-9148-e3be6c30e623}">
          <xlrd:rvb i="8727"/>
        </ext>
      </extLst>
    </bk>
    <bk>
      <extLst>
        <ext uri="{3e2802c4-a4d2-4d8b-9148-e3be6c30e623}">
          <xlrd:rvb i="8728"/>
        </ext>
      </extLst>
    </bk>
    <bk>
      <extLst>
        <ext uri="{3e2802c4-a4d2-4d8b-9148-e3be6c30e623}">
          <xlrd:rvb i="8729"/>
        </ext>
      </extLst>
    </bk>
    <bk>
      <extLst>
        <ext uri="{3e2802c4-a4d2-4d8b-9148-e3be6c30e623}">
          <xlrd:rvb i="8730"/>
        </ext>
      </extLst>
    </bk>
    <bk>
      <extLst>
        <ext uri="{3e2802c4-a4d2-4d8b-9148-e3be6c30e623}">
          <xlrd:rvb i="8731"/>
        </ext>
      </extLst>
    </bk>
    <bk>
      <extLst>
        <ext uri="{3e2802c4-a4d2-4d8b-9148-e3be6c30e623}">
          <xlrd:rvb i="8732"/>
        </ext>
      </extLst>
    </bk>
    <bk>
      <extLst>
        <ext uri="{3e2802c4-a4d2-4d8b-9148-e3be6c30e623}">
          <xlrd:rvb i="8733"/>
        </ext>
      </extLst>
    </bk>
    <bk>
      <extLst>
        <ext uri="{3e2802c4-a4d2-4d8b-9148-e3be6c30e623}">
          <xlrd:rvb i="8734"/>
        </ext>
      </extLst>
    </bk>
    <bk>
      <extLst>
        <ext uri="{3e2802c4-a4d2-4d8b-9148-e3be6c30e623}">
          <xlrd:rvb i="8735"/>
        </ext>
      </extLst>
    </bk>
    <bk>
      <extLst>
        <ext uri="{3e2802c4-a4d2-4d8b-9148-e3be6c30e623}">
          <xlrd:rvb i="8736"/>
        </ext>
      </extLst>
    </bk>
    <bk>
      <extLst>
        <ext uri="{3e2802c4-a4d2-4d8b-9148-e3be6c30e623}">
          <xlrd:rvb i="8737"/>
        </ext>
      </extLst>
    </bk>
    <bk>
      <extLst>
        <ext uri="{3e2802c4-a4d2-4d8b-9148-e3be6c30e623}">
          <xlrd:rvb i="8738"/>
        </ext>
      </extLst>
    </bk>
    <bk>
      <extLst>
        <ext uri="{3e2802c4-a4d2-4d8b-9148-e3be6c30e623}">
          <xlrd:rvb i="8739"/>
        </ext>
      </extLst>
    </bk>
    <bk>
      <extLst>
        <ext uri="{3e2802c4-a4d2-4d8b-9148-e3be6c30e623}">
          <xlrd:rvb i="8740"/>
        </ext>
      </extLst>
    </bk>
    <bk>
      <extLst>
        <ext uri="{3e2802c4-a4d2-4d8b-9148-e3be6c30e623}">
          <xlrd:rvb i="8741"/>
        </ext>
      </extLst>
    </bk>
    <bk>
      <extLst>
        <ext uri="{3e2802c4-a4d2-4d8b-9148-e3be6c30e623}">
          <xlrd:rvb i="8742"/>
        </ext>
      </extLst>
    </bk>
    <bk>
      <extLst>
        <ext uri="{3e2802c4-a4d2-4d8b-9148-e3be6c30e623}">
          <xlrd:rvb i="8743"/>
        </ext>
      </extLst>
    </bk>
    <bk>
      <extLst>
        <ext uri="{3e2802c4-a4d2-4d8b-9148-e3be6c30e623}">
          <xlrd:rvb i="8744"/>
        </ext>
      </extLst>
    </bk>
    <bk>
      <extLst>
        <ext uri="{3e2802c4-a4d2-4d8b-9148-e3be6c30e623}">
          <xlrd:rvb i="8745"/>
        </ext>
      </extLst>
    </bk>
    <bk>
      <extLst>
        <ext uri="{3e2802c4-a4d2-4d8b-9148-e3be6c30e623}">
          <xlrd:rvb i="8746"/>
        </ext>
      </extLst>
    </bk>
    <bk>
      <extLst>
        <ext uri="{3e2802c4-a4d2-4d8b-9148-e3be6c30e623}">
          <xlrd:rvb i="8747"/>
        </ext>
      </extLst>
    </bk>
    <bk>
      <extLst>
        <ext uri="{3e2802c4-a4d2-4d8b-9148-e3be6c30e623}">
          <xlrd:rvb i="8748"/>
        </ext>
      </extLst>
    </bk>
    <bk>
      <extLst>
        <ext uri="{3e2802c4-a4d2-4d8b-9148-e3be6c30e623}">
          <xlrd:rvb i="8749"/>
        </ext>
      </extLst>
    </bk>
    <bk>
      <extLst>
        <ext uri="{3e2802c4-a4d2-4d8b-9148-e3be6c30e623}">
          <xlrd:rvb i="8750"/>
        </ext>
      </extLst>
    </bk>
    <bk>
      <extLst>
        <ext uri="{3e2802c4-a4d2-4d8b-9148-e3be6c30e623}">
          <xlrd:rvb i="8751"/>
        </ext>
      </extLst>
    </bk>
    <bk>
      <extLst>
        <ext uri="{3e2802c4-a4d2-4d8b-9148-e3be6c30e623}">
          <xlrd:rvb i="8752"/>
        </ext>
      </extLst>
    </bk>
    <bk>
      <extLst>
        <ext uri="{3e2802c4-a4d2-4d8b-9148-e3be6c30e623}">
          <xlrd:rvb i="8753"/>
        </ext>
      </extLst>
    </bk>
    <bk>
      <extLst>
        <ext uri="{3e2802c4-a4d2-4d8b-9148-e3be6c30e623}">
          <xlrd:rvb i="8754"/>
        </ext>
      </extLst>
    </bk>
    <bk>
      <extLst>
        <ext uri="{3e2802c4-a4d2-4d8b-9148-e3be6c30e623}">
          <xlrd:rvb i="8755"/>
        </ext>
      </extLst>
    </bk>
    <bk>
      <extLst>
        <ext uri="{3e2802c4-a4d2-4d8b-9148-e3be6c30e623}">
          <xlrd:rvb i="8756"/>
        </ext>
      </extLst>
    </bk>
    <bk>
      <extLst>
        <ext uri="{3e2802c4-a4d2-4d8b-9148-e3be6c30e623}">
          <xlrd:rvb i="8757"/>
        </ext>
      </extLst>
    </bk>
    <bk>
      <extLst>
        <ext uri="{3e2802c4-a4d2-4d8b-9148-e3be6c30e623}">
          <xlrd:rvb i="8758"/>
        </ext>
      </extLst>
    </bk>
    <bk>
      <extLst>
        <ext uri="{3e2802c4-a4d2-4d8b-9148-e3be6c30e623}">
          <xlrd:rvb i="8759"/>
        </ext>
      </extLst>
    </bk>
    <bk>
      <extLst>
        <ext uri="{3e2802c4-a4d2-4d8b-9148-e3be6c30e623}">
          <xlrd:rvb i="8760"/>
        </ext>
      </extLst>
    </bk>
    <bk>
      <extLst>
        <ext uri="{3e2802c4-a4d2-4d8b-9148-e3be6c30e623}">
          <xlrd:rvb i="8761"/>
        </ext>
      </extLst>
    </bk>
    <bk>
      <extLst>
        <ext uri="{3e2802c4-a4d2-4d8b-9148-e3be6c30e623}">
          <xlrd:rvb i="8762"/>
        </ext>
      </extLst>
    </bk>
    <bk>
      <extLst>
        <ext uri="{3e2802c4-a4d2-4d8b-9148-e3be6c30e623}">
          <xlrd:rvb i="8763"/>
        </ext>
      </extLst>
    </bk>
    <bk>
      <extLst>
        <ext uri="{3e2802c4-a4d2-4d8b-9148-e3be6c30e623}">
          <xlrd:rvb i="8764"/>
        </ext>
      </extLst>
    </bk>
    <bk>
      <extLst>
        <ext uri="{3e2802c4-a4d2-4d8b-9148-e3be6c30e623}">
          <xlrd:rvb i="8765"/>
        </ext>
      </extLst>
    </bk>
    <bk>
      <extLst>
        <ext uri="{3e2802c4-a4d2-4d8b-9148-e3be6c30e623}">
          <xlrd:rvb i="8766"/>
        </ext>
      </extLst>
    </bk>
    <bk>
      <extLst>
        <ext uri="{3e2802c4-a4d2-4d8b-9148-e3be6c30e623}">
          <xlrd:rvb i="8767"/>
        </ext>
      </extLst>
    </bk>
    <bk>
      <extLst>
        <ext uri="{3e2802c4-a4d2-4d8b-9148-e3be6c30e623}">
          <xlrd:rvb i="8768"/>
        </ext>
      </extLst>
    </bk>
    <bk>
      <extLst>
        <ext uri="{3e2802c4-a4d2-4d8b-9148-e3be6c30e623}">
          <xlrd:rvb i="8769"/>
        </ext>
      </extLst>
    </bk>
    <bk>
      <extLst>
        <ext uri="{3e2802c4-a4d2-4d8b-9148-e3be6c30e623}">
          <xlrd:rvb i="8770"/>
        </ext>
      </extLst>
    </bk>
    <bk>
      <extLst>
        <ext uri="{3e2802c4-a4d2-4d8b-9148-e3be6c30e623}">
          <xlrd:rvb i="8771"/>
        </ext>
      </extLst>
    </bk>
    <bk>
      <extLst>
        <ext uri="{3e2802c4-a4d2-4d8b-9148-e3be6c30e623}">
          <xlrd:rvb i="8772"/>
        </ext>
      </extLst>
    </bk>
    <bk>
      <extLst>
        <ext uri="{3e2802c4-a4d2-4d8b-9148-e3be6c30e623}">
          <xlrd:rvb i="8773"/>
        </ext>
      </extLst>
    </bk>
    <bk>
      <extLst>
        <ext uri="{3e2802c4-a4d2-4d8b-9148-e3be6c30e623}">
          <xlrd:rvb i="8774"/>
        </ext>
      </extLst>
    </bk>
    <bk>
      <extLst>
        <ext uri="{3e2802c4-a4d2-4d8b-9148-e3be6c30e623}">
          <xlrd:rvb i="8775"/>
        </ext>
      </extLst>
    </bk>
    <bk>
      <extLst>
        <ext uri="{3e2802c4-a4d2-4d8b-9148-e3be6c30e623}">
          <xlrd:rvb i="8776"/>
        </ext>
      </extLst>
    </bk>
    <bk>
      <extLst>
        <ext uri="{3e2802c4-a4d2-4d8b-9148-e3be6c30e623}">
          <xlrd:rvb i="8777"/>
        </ext>
      </extLst>
    </bk>
    <bk>
      <extLst>
        <ext uri="{3e2802c4-a4d2-4d8b-9148-e3be6c30e623}">
          <xlrd:rvb i="8778"/>
        </ext>
      </extLst>
    </bk>
    <bk>
      <extLst>
        <ext uri="{3e2802c4-a4d2-4d8b-9148-e3be6c30e623}">
          <xlrd:rvb i="8779"/>
        </ext>
      </extLst>
    </bk>
    <bk>
      <extLst>
        <ext uri="{3e2802c4-a4d2-4d8b-9148-e3be6c30e623}">
          <xlrd:rvb i="8780"/>
        </ext>
      </extLst>
    </bk>
    <bk>
      <extLst>
        <ext uri="{3e2802c4-a4d2-4d8b-9148-e3be6c30e623}">
          <xlrd:rvb i="8781"/>
        </ext>
      </extLst>
    </bk>
    <bk>
      <extLst>
        <ext uri="{3e2802c4-a4d2-4d8b-9148-e3be6c30e623}">
          <xlrd:rvb i="8782"/>
        </ext>
      </extLst>
    </bk>
    <bk>
      <extLst>
        <ext uri="{3e2802c4-a4d2-4d8b-9148-e3be6c30e623}">
          <xlrd:rvb i="8783"/>
        </ext>
      </extLst>
    </bk>
    <bk>
      <extLst>
        <ext uri="{3e2802c4-a4d2-4d8b-9148-e3be6c30e623}">
          <xlrd:rvb i="8784"/>
        </ext>
      </extLst>
    </bk>
    <bk>
      <extLst>
        <ext uri="{3e2802c4-a4d2-4d8b-9148-e3be6c30e623}">
          <xlrd:rvb i="8785"/>
        </ext>
      </extLst>
    </bk>
    <bk>
      <extLst>
        <ext uri="{3e2802c4-a4d2-4d8b-9148-e3be6c30e623}">
          <xlrd:rvb i="8786"/>
        </ext>
      </extLst>
    </bk>
    <bk>
      <extLst>
        <ext uri="{3e2802c4-a4d2-4d8b-9148-e3be6c30e623}">
          <xlrd:rvb i="8787"/>
        </ext>
      </extLst>
    </bk>
    <bk>
      <extLst>
        <ext uri="{3e2802c4-a4d2-4d8b-9148-e3be6c30e623}">
          <xlrd:rvb i="8788"/>
        </ext>
      </extLst>
    </bk>
    <bk>
      <extLst>
        <ext uri="{3e2802c4-a4d2-4d8b-9148-e3be6c30e623}">
          <xlrd:rvb i="8789"/>
        </ext>
      </extLst>
    </bk>
    <bk>
      <extLst>
        <ext uri="{3e2802c4-a4d2-4d8b-9148-e3be6c30e623}">
          <xlrd:rvb i="8790"/>
        </ext>
      </extLst>
    </bk>
    <bk>
      <extLst>
        <ext uri="{3e2802c4-a4d2-4d8b-9148-e3be6c30e623}">
          <xlrd:rvb i="8791"/>
        </ext>
      </extLst>
    </bk>
    <bk>
      <extLst>
        <ext uri="{3e2802c4-a4d2-4d8b-9148-e3be6c30e623}">
          <xlrd:rvb i="8792"/>
        </ext>
      </extLst>
    </bk>
    <bk>
      <extLst>
        <ext uri="{3e2802c4-a4d2-4d8b-9148-e3be6c30e623}">
          <xlrd:rvb i="8793"/>
        </ext>
      </extLst>
    </bk>
    <bk>
      <extLst>
        <ext uri="{3e2802c4-a4d2-4d8b-9148-e3be6c30e623}">
          <xlrd:rvb i="8794"/>
        </ext>
      </extLst>
    </bk>
    <bk>
      <extLst>
        <ext uri="{3e2802c4-a4d2-4d8b-9148-e3be6c30e623}">
          <xlrd:rvb i="8795"/>
        </ext>
      </extLst>
    </bk>
    <bk>
      <extLst>
        <ext uri="{3e2802c4-a4d2-4d8b-9148-e3be6c30e623}">
          <xlrd:rvb i="8796"/>
        </ext>
      </extLst>
    </bk>
    <bk>
      <extLst>
        <ext uri="{3e2802c4-a4d2-4d8b-9148-e3be6c30e623}">
          <xlrd:rvb i="8797"/>
        </ext>
      </extLst>
    </bk>
    <bk>
      <extLst>
        <ext uri="{3e2802c4-a4d2-4d8b-9148-e3be6c30e623}">
          <xlrd:rvb i="8798"/>
        </ext>
      </extLst>
    </bk>
    <bk>
      <extLst>
        <ext uri="{3e2802c4-a4d2-4d8b-9148-e3be6c30e623}">
          <xlrd:rvb i="8799"/>
        </ext>
      </extLst>
    </bk>
    <bk>
      <extLst>
        <ext uri="{3e2802c4-a4d2-4d8b-9148-e3be6c30e623}">
          <xlrd:rvb i="8800"/>
        </ext>
      </extLst>
    </bk>
    <bk>
      <extLst>
        <ext uri="{3e2802c4-a4d2-4d8b-9148-e3be6c30e623}">
          <xlrd:rvb i="8801"/>
        </ext>
      </extLst>
    </bk>
    <bk>
      <extLst>
        <ext uri="{3e2802c4-a4d2-4d8b-9148-e3be6c30e623}">
          <xlrd:rvb i="8802"/>
        </ext>
      </extLst>
    </bk>
    <bk>
      <extLst>
        <ext uri="{3e2802c4-a4d2-4d8b-9148-e3be6c30e623}">
          <xlrd:rvb i="8803"/>
        </ext>
      </extLst>
    </bk>
    <bk>
      <extLst>
        <ext uri="{3e2802c4-a4d2-4d8b-9148-e3be6c30e623}">
          <xlrd:rvb i="8804"/>
        </ext>
      </extLst>
    </bk>
    <bk>
      <extLst>
        <ext uri="{3e2802c4-a4d2-4d8b-9148-e3be6c30e623}">
          <xlrd:rvb i="8805"/>
        </ext>
      </extLst>
    </bk>
    <bk>
      <extLst>
        <ext uri="{3e2802c4-a4d2-4d8b-9148-e3be6c30e623}">
          <xlrd:rvb i="8806"/>
        </ext>
      </extLst>
    </bk>
    <bk>
      <extLst>
        <ext uri="{3e2802c4-a4d2-4d8b-9148-e3be6c30e623}">
          <xlrd:rvb i="8807"/>
        </ext>
      </extLst>
    </bk>
    <bk>
      <extLst>
        <ext uri="{3e2802c4-a4d2-4d8b-9148-e3be6c30e623}">
          <xlrd:rvb i="8808"/>
        </ext>
      </extLst>
    </bk>
    <bk>
      <extLst>
        <ext uri="{3e2802c4-a4d2-4d8b-9148-e3be6c30e623}">
          <xlrd:rvb i="8809"/>
        </ext>
      </extLst>
    </bk>
    <bk>
      <extLst>
        <ext uri="{3e2802c4-a4d2-4d8b-9148-e3be6c30e623}">
          <xlrd:rvb i="8810"/>
        </ext>
      </extLst>
    </bk>
    <bk>
      <extLst>
        <ext uri="{3e2802c4-a4d2-4d8b-9148-e3be6c30e623}">
          <xlrd:rvb i="8811"/>
        </ext>
      </extLst>
    </bk>
    <bk>
      <extLst>
        <ext uri="{3e2802c4-a4d2-4d8b-9148-e3be6c30e623}">
          <xlrd:rvb i="8812"/>
        </ext>
      </extLst>
    </bk>
    <bk>
      <extLst>
        <ext uri="{3e2802c4-a4d2-4d8b-9148-e3be6c30e623}">
          <xlrd:rvb i="8813"/>
        </ext>
      </extLst>
    </bk>
    <bk>
      <extLst>
        <ext uri="{3e2802c4-a4d2-4d8b-9148-e3be6c30e623}">
          <xlrd:rvb i="8814"/>
        </ext>
      </extLst>
    </bk>
    <bk>
      <extLst>
        <ext uri="{3e2802c4-a4d2-4d8b-9148-e3be6c30e623}">
          <xlrd:rvb i="8815"/>
        </ext>
      </extLst>
    </bk>
    <bk>
      <extLst>
        <ext uri="{3e2802c4-a4d2-4d8b-9148-e3be6c30e623}">
          <xlrd:rvb i="8816"/>
        </ext>
      </extLst>
    </bk>
    <bk>
      <extLst>
        <ext uri="{3e2802c4-a4d2-4d8b-9148-e3be6c30e623}">
          <xlrd:rvb i="8817"/>
        </ext>
      </extLst>
    </bk>
    <bk>
      <extLst>
        <ext uri="{3e2802c4-a4d2-4d8b-9148-e3be6c30e623}">
          <xlrd:rvb i="8818"/>
        </ext>
      </extLst>
    </bk>
    <bk>
      <extLst>
        <ext uri="{3e2802c4-a4d2-4d8b-9148-e3be6c30e623}">
          <xlrd:rvb i="8819"/>
        </ext>
      </extLst>
    </bk>
    <bk>
      <extLst>
        <ext uri="{3e2802c4-a4d2-4d8b-9148-e3be6c30e623}">
          <xlrd:rvb i="8820"/>
        </ext>
      </extLst>
    </bk>
    <bk>
      <extLst>
        <ext uri="{3e2802c4-a4d2-4d8b-9148-e3be6c30e623}">
          <xlrd:rvb i="8821"/>
        </ext>
      </extLst>
    </bk>
    <bk>
      <extLst>
        <ext uri="{3e2802c4-a4d2-4d8b-9148-e3be6c30e623}">
          <xlrd:rvb i="8822"/>
        </ext>
      </extLst>
    </bk>
    <bk>
      <extLst>
        <ext uri="{3e2802c4-a4d2-4d8b-9148-e3be6c30e623}">
          <xlrd:rvb i="8823"/>
        </ext>
      </extLst>
    </bk>
    <bk>
      <extLst>
        <ext uri="{3e2802c4-a4d2-4d8b-9148-e3be6c30e623}">
          <xlrd:rvb i="8824"/>
        </ext>
      </extLst>
    </bk>
    <bk>
      <extLst>
        <ext uri="{3e2802c4-a4d2-4d8b-9148-e3be6c30e623}">
          <xlrd:rvb i="8825"/>
        </ext>
      </extLst>
    </bk>
    <bk>
      <extLst>
        <ext uri="{3e2802c4-a4d2-4d8b-9148-e3be6c30e623}">
          <xlrd:rvb i="8826"/>
        </ext>
      </extLst>
    </bk>
    <bk>
      <extLst>
        <ext uri="{3e2802c4-a4d2-4d8b-9148-e3be6c30e623}">
          <xlrd:rvb i="8827"/>
        </ext>
      </extLst>
    </bk>
    <bk>
      <extLst>
        <ext uri="{3e2802c4-a4d2-4d8b-9148-e3be6c30e623}">
          <xlrd:rvb i="8828"/>
        </ext>
      </extLst>
    </bk>
    <bk>
      <extLst>
        <ext uri="{3e2802c4-a4d2-4d8b-9148-e3be6c30e623}">
          <xlrd:rvb i="8829"/>
        </ext>
      </extLst>
    </bk>
    <bk>
      <extLst>
        <ext uri="{3e2802c4-a4d2-4d8b-9148-e3be6c30e623}">
          <xlrd:rvb i="8830"/>
        </ext>
      </extLst>
    </bk>
    <bk>
      <extLst>
        <ext uri="{3e2802c4-a4d2-4d8b-9148-e3be6c30e623}">
          <xlrd:rvb i="8831"/>
        </ext>
      </extLst>
    </bk>
    <bk>
      <extLst>
        <ext uri="{3e2802c4-a4d2-4d8b-9148-e3be6c30e623}">
          <xlrd:rvb i="8832"/>
        </ext>
      </extLst>
    </bk>
    <bk>
      <extLst>
        <ext uri="{3e2802c4-a4d2-4d8b-9148-e3be6c30e623}">
          <xlrd:rvb i="8833"/>
        </ext>
      </extLst>
    </bk>
    <bk>
      <extLst>
        <ext uri="{3e2802c4-a4d2-4d8b-9148-e3be6c30e623}">
          <xlrd:rvb i="8834"/>
        </ext>
      </extLst>
    </bk>
    <bk>
      <extLst>
        <ext uri="{3e2802c4-a4d2-4d8b-9148-e3be6c30e623}">
          <xlrd:rvb i="8835"/>
        </ext>
      </extLst>
    </bk>
    <bk>
      <extLst>
        <ext uri="{3e2802c4-a4d2-4d8b-9148-e3be6c30e623}">
          <xlrd:rvb i="8836"/>
        </ext>
      </extLst>
    </bk>
    <bk>
      <extLst>
        <ext uri="{3e2802c4-a4d2-4d8b-9148-e3be6c30e623}">
          <xlrd:rvb i="8837"/>
        </ext>
      </extLst>
    </bk>
    <bk>
      <extLst>
        <ext uri="{3e2802c4-a4d2-4d8b-9148-e3be6c30e623}">
          <xlrd:rvb i="8838"/>
        </ext>
      </extLst>
    </bk>
    <bk>
      <extLst>
        <ext uri="{3e2802c4-a4d2-4d8b-9148-e3be6c30e623}">
          <xlrd:rvb i="8839"/>
        </ext>
      </extLst>
    </bk>
    <bk>
      <extLst>
        <ext uri="{3e2802c4-a4d2-4d8b-9148-e3be6c30e623}">
          <xlrd:rvb i="8840"/>
        </ext>
      </extLst>
    </bk>
    <bk>
      <extLst>
        <ext uri="{3e2802c4-a4d2-4d8b-9148-e3be6c30e623}">
          <xlrd:rvb i="8841"/>
        </ext>
      </extLst>
    </bk>
    <bk>
      <extLst>
        <ext uri="{3e2802c4-a4d2-4d8b-9148-e3be6c30e623}">
          <xlrd:rvb i="8842"/>
        </ext>
      </extLst>
    </bk>
    <bk>
      <extLst>
        <ext uri="{3e2802c4-a4d2-4d8b-9148-e3be6c30e623}">
          <xlrd:rvb i="8843"/>
        </ext>
      </extLst>
    </bk>
    <bk>
      <extLst>
        <ext uri="{3e2802c4-a4d2-4d8b-9148-e3be6c30e623}">
          <xlrd:rvb i="8844"/>
        </ext>
      </extLst>
    </bk>
    <bk>
      <extLst>
        <ext uri="{3e2802c4-a4d2-4d8b-9148-e3be6c30e623}">
          <xlrd:rvb i="8845"/>
        </ext>
      </extLst>
    </bk>
    <bk>
      <extLst>
        <ext uri="{3e2802c4-a4d2-4d8b-9148-e3be6c30e623}">
          <xlrd:rvb i="8846"/>
        </ext>
      </extLst>
    </bk>
    <bk>
      <extLst>
        <ext uri="{3e2802c4-a4d2-4d8b-9148-e3be6c30e623}">
          <xlrd:rvb i="8847"/>
        </ext>
      </extLst>
    </bk>
    <bk>
      <extLst>
        <ext uri="{3e2802c4-a4d2-4d8b-9148-e3be6c30e623}">
          <xlrd:rvb i="8848"/>
        </ext>
      </extLst>
    </bk>
    <bk>
      <extLst>
        <ext uri="{3e2802c4-a4d2-4d8b-9148-e3be6c30e623}">
          <xlrd:rvb i="8849"/>
        </ext>
      </extLst>
    </bk>
    <bk>
      <extLst>
        <ext uri="{3e2802c4-a4d2-4d8b-9148-e3be6c30e623}">
          <xlrd:rvb i="8850"/>
        </ext>
      </extLst>
    </bk>
    <bk>
      <extLst>
        <ext uri="{3e2802c4-a4d2-4d8b-9148-e3be6c30e623}">
          <xlrd:rvb i="8851"/>
        </ext>
      </extLst>
    </bk>
    <bk>
      <extLst>
        <ext uri="{3e2802c4-a4d2-4d8b-9148-e3be6c30e623}">
          <xlrd:rvb i="8852"/>
        </ext>
      </extLst>
    </bk>
    <bk>
      <extLst>
        <ext uri="{3e2802c4-a4d2-4d8b-9148-e3be6c30e623}">
          <xlrd:rvb i="8853"/>
        </ext>
      </extLst>
    </bk>
    <bk>
      <extLst>
        <ext uri="{3e2802c4-a4d2-4d8b-9148-e3be6c30e623}">
          <xlrd:rvb i="8854"/>
        </ext>
      </extLst>
    </bk>
    <bk>
      <extLst>
        <ext uri="{3e2802c4-a4d2-4d8b-9148-e3be6c30e623}">
          <xlrd:rvb i="8855"/>
        </ext>
      </extLst>
    </bk>
    <bk>
      <extLst>
        <ext uri="{3e2802c4-a4d2-4d8b-9148-e3be6c30e623}">
          <xlrd:rvb i="8856"/>
        </ext>
      </extLst>
    </bk>
    <bk>
      <extLst>
        <ext uri="{3e2802c4-a4d2-4d8b-9148-e3be6c30e623}">
          <xlrd:rvb i="8857"/>
        </ext>
      </extLst>
    </bk>
    <bk>
      <extLst>
        <ext uri="{3e2802c4-a4d2-4d8b-9148-e3be6c30e623}">
          <xlrd:rvb i="8858"/>
        </ext>
      </extLst>
    </bk>
    <bk>
      <extLst>
        <ext uri="{3e2802c4-a4d2-4d8b-9148-e3be6c30e623}">
          <xlrd:rvb i="8859"/>
        </ext>
      </extLst>
    </bk>
    <bk>
      <extLst>
        <ext uri="{3e2802c4-a4d2-4d8b-9148-e3be6c30e623}">
          <xlrd:rvb i="8860"/>
        </ext>
      </extLst>
    </bk>
    <bk>
      <extLst>
        <ext uri="{3e2802c4-a4d2-4d8b-9148-e3be6c30e623}">
          <xlrd:rvb i="8861"/>
        </ext>
      </extLst>
    </bk>
    <bk>
      <extLst>
        <ext uri="{3e2802c4-a4d2-4d8b-9148-e3be6c30e623}">
          <xlrd:rvb i="8862"/>
        </ext>
      </extLst>
    </bk>
    <bk>
      <extLst>
        <ext uri="{3e2802c4-a4d2-4d8b-9148-e3be6c30e623}">
          <xlrd:rvb i="8863"/>
        </ext>
      </extLst>
    </bk>
    <bk>
      <extLst>
        <ext uri="{3e2802c4-a4d2-4d8b-9148-e3be6c30e623}">
          <xlrd:rvb i="8864"/>
        </ext>
      </extLst>
    </bk>
    <bk>
      <extLst>
        <ext uri="{3e2802c4-a4d2-4d8b-9148-e3be6c30e623}">
          <xlrd:rvb i="8865"/>
        </ext>
      </extLst>
    </bk>
    <bk>
      <extLst>
        <ext uri="{3e2802c4-a4d2-4d8b-9148-e3be6c30e623}">
          <xlrd:rvb i="8866"/>
        </ext>
      </extLst>
    </bk>
    <bk>
      <extLst>
        <ext uri="{3e2802c4-a4d2-4d8b-9148-e3be6c30e623}">
          <xlrd:rvb i="8867"/>
        </ext>
      </extLst>
    </bk>
    <bk>
      <extLst>
        <ext uri="{3e2802c4-a4d2-4d8b-9148-e3be6c30e623}">
          <xlrd:rvb i="8868"/>
        </ext>
      </extLst>
    </bk>
    <bk>
      <extLst>
        <ext uri="{3e2802c4-a4d2-4d8b-9148-e3be6c30e623}">
          <xlrd:rvb i="8869"/>
        </ext>
      </extLst>
    </bk>
    <bk>
      <extLst>
        <ext uri="{3e2802c4-a4d2-4d8b-9148-e3be6c30e623}">
          <xlrd:rvb i="8870"/>
        </ext>
      </extLst>
    </bk>
    <bk>
      <extLst>
        <ext uri="{3e2802c4-a4d2-4d8b-9148-e3be6c30e623}">
          <xlrd:rvb i="8871"/>
        </ext>
      </extLst>
    </bk>
    <bk>
      <extLst>
        <ext uri="{3e2802c4-a4d2-4d8b-9148-e3be6c30e623}">
          <xlrd:rvb i="8872"/>
        </ext>
      </extLst>
    </bk>
    <bk>
      <extLst>
        <ext uri="{3e2802c4-a4d2-4d8b-9148-e3be6c30e623}">
          <xlrd:rvb i="8873"/>
        </ext>
      </extLst>
    </bk>
    <bk>
      <extLst>
        <ext uri="{3e2802c4-a4d2-4d8b-9148-e3be6c30e623}">
          <xlrd:rvb i="8874"/>
        </ext>
      </extLst>
    </bk>
    <bk>
      <extLst>
        <ext uri="{3e2802c4-a4d2-4d8b-9148-e3be6c30e623}">
          <xlrd:rvb i="8875"/>
        </ext>
      </extLst>
    </bk>
    <bk>
      <extLst>
        <ext uri="{3e2802c4-a4d2-4d8b-9148-e3be6c30e623}">
          <xlrd:rvb i="8876"/>
        </ext>
      </extLst>
    </bk>
    <bk>
      <extLst>
        <ext uri="{3e2802c4-a4d2-4d8b-9148-e3be6c30e623}">
          <xlrd:rvb i="8877"/>
        </ext>
      </extLst>
    </bk>
    <bk>
      <extLst>
        <ext uri="{3e2802c4-a4d2-4d8b-9148-e3be6c30e623}">
          <xlrd:rvb i="8878"/>
        </ext>
      </extLst>
    </bk>
    <bk>
      <extLst>
        <ext uri="{3e2802c4-a4d2-4d8b-9148-e3be6c30e623}">
          <xlrd:rvb i="8879"/>
        </ext>
      </extLst>
    </bk>
    <bk>
      <extLst>
        <ext uri="{3e2802c4-a4d2-4d8b-9148-e3be6c30e623}">
          <xlrd:rvb i="8880"/>
        </ext>
      </extLst>
    </bk>
    <bk>
      <extLst>
        <ext uri="{3e2802c4-a4d2-4d8b-9148-e3be6c30e623}">
          <xlrd:rvb i="8881"/>
        </ext>
      </extLst>
    </bk>
    <bk>
      <extLst>
        <ext uri="{3e2802c4-a4d2-4d8b-9148-e3be6c30e623}">
          <xlrd:rvb i="8882"/>
        </ext>
      </extLst>
    </bk>
    <bk>
      <extLst>
        <ext uri="{3e2802c4-a4d2-4d8b-9148-e3be6c30e623}">
          <xlrd:rvb i="8883"/>
        </ext>
      </extLst>
    </bk>
    <bk>
      <extLst>
        <ext uri="{3e2802c4-a4d2-4d8b-9148-e3be6c30e623}">
          <xlrd:rvb i="8884"/>
        </ext>
      </extLst>
    </bk>
    <bk>
      <extLst>
        <ext uri="{3e2802c4-a4d2-4d8b-9148-e3be6c30e623}">
          <xlrd:rvb i="8885"/>
        </ext>
      </extLst>
    </bk>
    <bk>
      <extLst>
        <ext uri="{3e2802c4-a4d2-4d8b-9148-e3be6c30e623}">
          <xlrd:rvb i="8886"/>
        </ext>
      </extLst>
    </bk>
    <bk>
      <extLst>
        <ext uri="{3e2802c4-a4d2-4d8b-9148-e3be6c30e623}">
          <xlrd:rvb i="8887"/>
        </ext>
      </extLst>
    </bk>
    <bk>
      <extLst>
        <ext uri="{3e2802c4-a4d2-4d8b-9148-e3be6c30e623}">
          <xlrd:rvb i="8888"/>
        </ext>
      </extLst>
    </bk>
    <bk>
      <extLst>
        <ext uri="{3e2802c4-a4d2-4d8b-9148-e3be6c30e623}">
          <xlrd:rvb i="8889"/>
        </ext>
      </extLst>
    </bk>
    <bk>
      <extLst>
        <ext uri="{3e2802c4-a4d2-4d8b-9148-e3be6c30e623}">
          <xlrd:rvb i="8890"/>
        </ext>
      </extLst>
    </bk>
    <bk>
      <extLst>
        <ext uri="{3e2802c4-a4d2-4d8b-9148-e3be6c30e623}">
          <xlrd:rvb i="8891"/>
        </ext>
      </extLst>
    </bk>
    <bk>
      <extLst>
        <ext uri="{3e2802c4-a4d2-4d8b-9148-e3be6c30e623}">
          <xlrd:rvb i="8892"/>
        </ext>
      </extLst>
    </bk>
    <bk>
      <extLst>
        <ext uri="{3e2802c4-a4d2-4d8b-9148-e3be6c30e623}">
          <xlrd:rvb i="8893"/>
        </ext>
      </extLst>
    </bk>
    <bk>
      <extLst>
        <ext uri="{3e2802c4-a4d2-4d8b-9148-e3be6c30e623}">
          <xlrd:rvb i="8894"/>
        </ext>
      </extLst>
    </bk>
    <bk>
      <extLst>
        <ext uri="{3e2802c4-a4d2-4d8b-9148-e3be6c30e623}">
          <xlrd:rvb i="8895"/>
        </ext>
      </extLst>
    </bk>
    <bk>
      <extLst>
        <ext uri="{3e2802c4-a4d2-4d8b-9148-e3be6c30e623}">
          <xlrd:rvb i="8896"/>
        </ext>
      </extLst>
    </bk>
    <bk>
      <extLst>
        <ext uri="{3e2802c4-a4d2-4d8b-9148-e3be6c30e623}">
          <xlrd:rvb i="8897"/>
        </ext>
      </extLst>
    </bk>
    <bk>
      <extLst>
        <ext uri="{3e2802c4-a4d2-4d8b-9148-e3be6c30e623}">
          <xlrd:rvb i="8898"/>
        </ext>
      </extLst>
    </bk>
    <bk>
      <extLst>
        <ext uri="{3e2802c4-a4d2-4d8b-9148-e3be6c30e623}">
          <xlrd:rvb i="8899"/>
        </ext>
      </extLst>
    </bk>
    <bk>
      <extLst>
        <ext uri="{3e2802c4-a4d2-4d8b-9148-e3be6c30e623}">
          <xlrd:rvb i="8900"/>
        </ext>
      </extLst>
    </bk>
    <bk>
      <extLst>
        <ext uri="{3e2802c4-a4d2-4d8b-9148-e3be6c30e623}">
          <xlrd:rvb i="8901"/>
        </ext>
      </extLst>
    </bk>
    <bk>
      <extLst>
        <ext uri="{3e2802c4-a4d2-4d8b-9148-e3be6c30e623}">
          <xlrd:rvb i="8902"/>
        </ext>
      </extLst>
    </bk>
    <bk>
      <extLst>
        <ext uri="{3e2802c4-a4d2-4d8b-9148-e3be6c30e623}">
          <xlrd:rvb i="8903"/>
        </ext>
      </extLst>
    </bk>
    <bk>
      <extLst>
        <ext uri="{3e2802c4-a4d2-4d8b-9148-e3be6c30e623}">
          <xlrd:rvb i="8904"/>
        </ext>
      </extLst>
    </bk>
    <bk>
      <extLst>
        <ext uri="{3e2802c4-a4d2-4d8b-9148-e3be6c30e623}">
          <xlrd:rvb i="8905"/>
        </ext>
      </extLst>
    </bk>
    <bk>
      <extLst>
        <ext uri="{3e2802c4-a4d2-4d8b-9148-e3be6c30e623}">
          <xlrd:rvb i="8906"/>
        </ext>
      </extLst>
    </bk>
    <bk>
      <extLst>
        <ext uri="{3e2802c4-a4d2-4d8b-9148-e3be6c30e623}">
          <xlrd:rvb i="8907"/>
        </ext>
      </extLst>
    </bk>
    <bk>
      <extLst>
        <ext uri="{3e2802c4-a4d2-4d8b-9148-e3be6c30e623}">
          <xlrd:rvb i="8908"/>
        </ext>
      </extLst>
    </bk>
    <bk>
      <extLst>
        <ext uri="{3e2802c4-a4d2-4d8b-9148-e3be6c30e623}">
          <xlrd:rvb i="8909"/>
        </ext>
      </extLst>
    </bk>
    <bk>
      <extLst>
        <ext uri="{3e2802c4-a4d2-4d8b-9148-e3be6c30e623}">
          <xlrd:rvb i="8910"/>
        </ext>
      </extLst>
    </bk>
    <bk>
      <extLst>
        <ext uri="{3e2802c4-a4d2-4d8b-9148-e3be6c30e623}">
          <xlrd:rvb i="8911"/>
        </ext>
      </extLst>
    </bk>
    <bk>
      <extLst>
        <ext uri="{3e2802c4-a4d2-4d8b-9148-e3be6c30e623}">
          <xlrd:rvb i="8912"/>
        </ext>
      </extLst>
    </bk>
    <bk>
      <extLst>
        <ext uri="{3e2802c4-a4d2-4d8b-9148-e3be6c30e623}">
          <xlrd:rvb i="8913"/>
        </ext>
      </extLst>
    </bk>
    <bk>
      <extLst>
        <ext uri="{3e2802c4-a4d2-4d8b-9148-e3be6c30e623}">
          <xlrd:rvb i="8914"/>
        </ext>
      </extLst>
    </bk>
    <bk>
      <extLst>
        <ext uri="{3e2802c4-a4d2-4d8b-9148-e3be6c30e623}">
          <xlrd:rvb i="8915"/>
        </ext>
      </extLst>
    </bk>
    <bk>
      <extLst>
        <ext uri="{3e2802c4-a4d2-4d8b-9148-e3be6c30e623}">
          <xlrd:rvb i="8916"/>
        </ext>
      </extLst>
    </bk>
    <bk>
      <extLst>
        <ext uri="{3e2802c4-a4d2-4d8b-9148-e3be6c30e623}">
          <xlrd:rvb i="8917"/>
        </ext>
      </extLst>
    </bk>
    <bk>
      <extLst>
        <ext uri="{3e2802c4-a4d2-4d8b-9148-e3be6c30e623}">
          <xlrd:rvb i="8918"/>
        </ext>
      </extLst>
    </bk>
    <bk>
      <extLst>
        <ext uri="{3e2802c4-a4d2-4d8b-9148-e3be6c30e623}">
          <xlrd:rvb i="8919"/>
        </ext>
      </extLst>
    </bk>
    <bk>
      <extLst>
        <ext uri="{3e2802c4-a4d2-4d8b-9148-e3be6c30e623}">
          <xlrd:rvb i="8920"/>
        </ext>
      </extLst>
    </bk>
    <bk>
      <extLst>
        <ext uri="{3e2802c4-a4d2-4d8b-9148-e3be6c30e623}">
          <xlrd:rvb i="8921"/>
        </ext>
      </extLst>
    </bk>
    <bk>
      <extLst>
        <ext uri="{3e2802c4-a4d2-4d8b-9148-e3be6c30e623}">
          <xlrd:rvb i="8922"/>
        </ext>
      </extLst>
    </bk>
    <bk>
      <extLst>
        <ext uri="{3e2802c4-a4d2-4d8b-9148-e3be6c30e623}">
          <xlrd:rvb i="8923"/>
        </ext>
      </extLst>
    </bk>
    <bk>
      <extLst>
        <ext uri="{3e2802c4-a4d2-4d8b-9148-e3be6c30e623}">
          <xlrd:rvb i="8924"/>
        </ext>
      </extLst>
    </bk>
    <bk>
      <extLst>
        <ext uri="{3e2802c4-a4d2-4d8b-9148-e3be6c30e623}">
          <xlrd:rvb i="8925"/>
        </ext>
      </extLst>
    </bk>
    <bk>
      <extLst>
        <ext uri="{3e2802c4-a4d2-4d8b-9148-e3be6c30e623}">
          <xlrd:rvb i="8926"/>
        </ext>
      </extLst>
    </bk>
    <bk>
      <extLst>
        <ext uri="{3e2802c4-a4d2-4d8b-9148-e3be6c30e623}">
          <xlrd:rvb i="8927"/>
        </ext>
      </extLst>
    </bk>
    <bk>
      <extLst>
        <ext uri="{3e2802c4-a4d2-4d8b-9148-e3be6c30e623}">
          <xlrd:rvb i="8928"/>
        </ext>
      </extLst>
    </bk>
    <bk>
      <extLst>
        <ext uri="{3e2802c4-a4d2-4d8b-9148-e3be6c30e623}">
          <xlrd:rvb i="8929"/>
        </ext>
      </extLst>
    </bk>
    <bk>
      <extLst>
        <ext uri="{3e2802c4-a4d2-4d8b-9148-e3be6c30e623}">
          <xlrd:rvb i="8930"/>
        </ext>
      </extLst>
    </bk>
    <bk>
      <extLst>
        <ext uri="{3e2802c4-a4d2-4d8b-9148-e3be6c30e623}">
          <xlrd:rvb i="8931"/>
        </ext>
      </extLst>
    </bk>
    <bk>
      <extLst>
        <ext uri="{3e2802c4-a4d2-4d8b-9148-e3be6c30e623}">
          <xlrd:rvb i="8932"/>
        </ext>
      </extLst>
    </bk>
    <bk>
      <extLst>
        <ext uri="{3e2802c4-a4d2-4d8b-9148-e3be6c30e623}">
          <xlrd:rvb i="8933"/>
        </ext>
      </extLst>
    </bk>
    <bk>
      <extLst>
        <ext uri="{3e2802c4-a4d2-4d8b-9148-e3be6c30e623}">
          <xlrd:rvb i="8934"/>
        </ext>
      </extLst>
    </bk>
    <bk>
      <extLst>
        <ext uri="{3e2802c4-a4d2-4d8b-9148-e3be6c30e623}">
          <xlrd:rvb i="8935"/>
        </ext>
      </extLst>
    </bk>
    <bk>
      <extLst>
        <ext uri="{3e2802c4-a4d2-4d8b-9148-e3be6c30e623}">
          <xlrd:rvb i="8936"/>
        </ext>
      </extLst>
    </bk>
    <bk>
      <extLst>
        <ext uri="{3e2802c4-a4d2-4d8b-9148-e3be6c30e623}">
          <xlrd:rvb i="8937"/>
        </ext>
      </extLst>
    </bk>
    <bk>
      <extLst>
        <ext uri="{3e2802c4-a4d2-4d8b-9148-e3be6c30e623}">
          <xlrd:rvb i="8938"/>
        </ext>
      </extLst>
    </bk>
    <bk>
      <extLst>
        <ext uri="{3e2802c4-a4d2-4d8b-9148-e3be6c30e623}">
          <xlrd:rvb i="8939"/>
        </ext>
      </extLst>
    </bk>
    <bk>
      <extLst>
        <ext uri="{3e2802c4-a4d2-4d8b-9148-e3be6c30e623}">
          <xlrd:rvb i="8940"/>
        </ext>
      </extLst>
    </bk>
    <bk>
      <extLst>
        <ext uri="{3e2802c4-a4d2-4d8b-9148-e3be6c30e623}">
          <xlrd:rvb i="8941"/>
        </ext>
      </extLst>
    </bk>
    <bk>
      <extLst>
        <ext uri="{3e2802c4-a4d2-4d8b-9148-e3be6c30e623}">
          <xlrd:rvb i="8942"/>
        </ext>
      </extLst>
    </bk>
    <bk>
      <extLst>
        <ext uri="{3e2802c4-a4d2-4d8b-9148-e3be6c30e623}">
          <xlrd:rvb i="8943"/>
        </ext>
      </extLst>
    </bk>
    <bk>
      <extLst>
        <ext uri="{3e2802c4-a4d2-4d8b-9148-e3be6c30e623}">
          <xlrd:rvb i="8944"/>
        </ext>
      </extLst>
    </bk>
    <bk>
      <extLst>
        <ext uri="{3e2802c4-a4d2-4d8b-9148-e3be6c30e623}">
          <xlrd:rvb i="8945"/>
        </ext>
      </extLst>
    </bk>
    <bk>
      <extLst>
        <ext uri="{3e2802c4-a4d2-4d8b-9148-e3be6c30e623}">
          <xlrd:rvb i="8946"/>
        </ext>
      </extLst>
    </bk>
    <bk>
      <extLst>
        <ext uri="{3e2802c4-a4d2-4d8b-9148-e3be6c30e623}">
          <xlrd:rvb i="8947"/>
        </ext>
      </extLst>
    </bk>
    <bk>
      <extLst>
        <ext uri="{3e2802c4-a4d2-4d8b-9148-e3be6c30e623}">
          <xlrd:rvb i="8948"/>
        </ext>
      </extLst>
    </bk>
    <bk>
      <extLst>
        <ext uri="{3e2802c4-a4d2-4d8b-9148-e3be6c30e623}">
          <xlrd:rvb i="8949"/>
        </ext>
      </extLst>
    </bk>
    <bk>
      <extLst>
        <ext uri="{3e2802c4-a4d2-4d8b-9148-e3be6c30e623}">
          <xlrd:rvb i="8950"/>
        </ext>
      </extLst>
    </bk>
    <bk>
      <extLst>
        <ext uri="{3e2802c4-a4d2-4d8b-9148-e3be6c30e623}">
          <xlrd:rvb i="8951"/>
        </ext>
      </extLst>
    </bk>
    <bk>
      <extLst>
        <ext uri="{3e2802c4-a4d2-4d8b-9148-e3be6c30e623}">
          <xlrd:rvb i="8952"/>
        </ext>
      </extLst>
    </bk>
    <bk>
      <extLst>
        <ext uri="{3e2802c4-a4d2-4d8b-9148-e3be6c30e623}">
          <xlrd:rvb i="8953"/>
        </ext>
      </extLst>
    </bk>
    <bk>
      <extLst>
        <ext uri="{3e2802c4-a4d2-4d8b-9148-e3be6c30e623}">
          <xlrd:rvb i="8954"/>
        </ext>
      </extLst>
    </bk>
    <bk>
      <extLst>
        <ext uri="{3e2802c4-a4d2-4d8b-9148-e3be6c30e623}">
          <xlrd:rvb i="8955"/>
        </ext>
      </extLst>
    </bk>
    <bk>
      <extLst>
        <ext uri="{3e2802c4-a4d2-4d8b-9148-e3be6c30e623}">
          <xlrd:rvb i="8956"/>
        </ext>
      </extLst>
    </bk>
    <bk>
      <extLst>
        <ext uri="{3e2802c4-a4d2-4d8b-9148-e3be6c30e623}">
          <xlrd:rvb i="8957"/>
        </ext>
      </extLst>
    </bk>
    <bk>
      <extLst>
        <ext uri="{3e2802c4-a4d2-4d8b-9148-e3be6c30e623}">
          <xlrd:rvb i="8958"/>
        </ext>
      </extLst>
    </bk>
    <bk>
      <extLst>
        <ext uri="{3e2802c4-a4d2-4d8b-9148-e3be6c30e623}">
          <xlrd:rvb i="8959"/>
        </ext>
      </extLst>
    </bk>
    <bk>
      <extLst>
        <ext uri="{3e2802c4-a4d2-4d8b-9148-e3be6c30e623}">
          <xlrd:rvb i="8960"/>
        </ext>
      </extLst>
    </bk>
    <bk>
      <extLst>
        <ext uri="{3e2802c4-a4d2-4d8b-9148-e3be6c30e623}">
          <xlrd:rvb i="8961"/>
        </ext>
      </extLst>
    </bk>
    <bk>
      <extLst>
        <ext uri="{3e2802c4-a4d2-4d8b-9148-e3be6c30e623}">
          <xlrd:rvb i="8962"/>
        </ext>
      </extLst>
    </bk>
    <bk>
      <extLst>
        <ext uri="{3e2802c4-a4d2-4d8b-9148-e3be6c30e623}">
          <xlrd:rvb i="8963"/>
        </ext>
      </extLst>
    </bk>
    <bk>
      <extLst>
        <ext uri="{3e2802c4-a4d2-4d8b-9148-e3be6c30e623}">
          <xlrd:rvb i="8964"/>
        </ext>
      </extLst>
    </bk>
    <bk>
      <extLst>
        <ext uri="{3e2802c4-a4d2-4d8b-9148-e3be6c30e623}">
          <xlrd:rvb i="8965"/>
        </ext>
      </extLst>
    </bk>
    <bk>
      <extLst>
        <ext uri="{3e2802c4-a4d2-4d8b-9148-e3be6c30e623}">
          <xlrd:rvb i="8966"/>
        </ext>
      </extLst>
    </bk>
    <bk>
      <extLst>
        <ext uri="{3e2802c4-a4d2-4d8b-9148-e3be6c30e623}">
          <xlrd:rvb i="8967"/>
        </ext>
      </extLst>
    </bk>
    <bk>
      <extLst>
        <ext uri="{3e2802c4-a4d2-4d8b-9148-e3be6c30e623}">
          <xlrd:rvb i="8968"/>
        </ext>
      </extLst>
    </bk>
    <bk>
      <extLst>
        <ext uri="{3e2802c4-a4d2-4d8b-9148-e3be6c30e623}">
          <xlrd:rvb i="8969"/>
        </ext>
      </extLst>
    </bk>
    <bk>
      <extLst>
        <ext uri="{3e2802c4-a4d2-4d8b-9148-e3be6c30e623}">
          <xlrd:rvb i="8970"/>
        </ext>
      </extLst>
    </bk>
    <bk>
      <extLst>
        <ext uri="{3e2802c4-a4d2-4d8b-9148-e3be6c30e623}">
          <xlrd:rvb i="8971"/>
        </ext>
      </extLst>
    </bk>
    <bk>
      <extLst>
        <ext uri="{3e2802c4-a4d2-4d8b-9148-e3be6c30e623}">
          <xlrd:rvb i="8972"/>
        </ext>
      </extLst>
    </bk>
    <bk>
      <extLst>
        <ext uri="{3e2802c4-a4d2-4d8b-9148-e3be6c30e623}">
          <xlrd:rvb i="8973"/>
        </ext>
      </extLst>
    </bk>
    <bk>
      <extLst>
        <ext uri="{3e2802c4-a4d2-4d8b-9148-e3be6c30e623}">
          <xlrd:rvb i="8974"/>
        </ext>
      </extLst>
    </bk>
    <bk>
      <extLst>
        <ext uri="{3e2802c4-a4d2-4d8b-9148-e3be6c30e623}">
          <xlrd:rvb i="8975"/>
        </ext>
      </extLst>
    </bk>
    <bk>
      <extLst>
        <ext uri="{3e2802c4-a4d2-4d8b-9148-e3be6c30e623}">
          <xlrd:rvb i="8976"/>
        </ext>
      </extLst>
    </bk>
    <bk>
      <extLst>
        <ext uri="{3e2802c4-a4d2-4d8b-9148-e3be6c30e623}">
          <xlrd:rvb i="8977"/>
        </ext>
      </extLst>
    </bk>
    <bk>
      <extLst>
        <ext uri="{3e2802c4-a4d2-4d8b-9148-e3be6c30e623}">
          <xlrd:rvb i="8978"/>
        </ext>
      </extLst>
    </bk>
    <bk>
      <extLst>
        <ext uri="{3e2802c4-a4d2-4d8b-9148-e3be6c30e623}">
          <xlrd:rvb i="8979"/>
        </ext>
      </extLst>
    </bk>
    <bk>
      <extLst>
        <ext uri="{3e2802c4-a4d2-4d8b-9148-e3be6c30e623}">
          <xlrd:rvb i="8980"/>
        </ext>
      </extLst>
    </bk>
    <bk>
      <extLst>
        <ext uri="{3e2802c4-a4d2-4d8b-9148-e3be6c30e623}">
          <xlrd:rvb i="8981"/>
        </ext>
      </extLst>
    </bk>
    <bk>
      <extLst>
        <ext uri="{3e2802c4-a4d2-4d8b-9148-e3be6c30e623}">
          <xlrd:rvb i="8982"/>
        </ext>
      </extLst>
    </bk>
    <bk>
      <extLst>
        <ext uri="{3e2802c4-a4d2-4d8b-9148-e3be6c30e623}">
          <xlrd:rvb i="8983"/>
        </ext>
      </extLst>
    </bk>
    <bk>
      <extLst>
        <ext uri="{3e2802c4-a4d2-4d8b-9148-e3be6c30e623}">
          <xlrd:rvb i="8984"/>
        </ext>
      </extLst>
    </bk>
    <bk>
      <extLst>
        <ext uri="{3e2802c4-a4d2-4d8b-9148-e3be6c30e623}">
          <xlrd:rvb i="8985"/>
        </ext>
      </extLst>
    </bk>
    <bk>
      <extLst>
        <ext uri="{3e2802c4-a4d2-4d8b-9148-e3be6c30e623}">
          <xlrd:rvb i="8986"/>
        </ext>
      </extLst>
    </bk>
    <bk>
      <extLst>
        <ext uri="{3e2802c4-a4d2-4d8b-9148-e3be6c30e623}">
          <xlrd:rvb i="8987"/>
        </ext>
      </extLst>
    </bk>
    <bk>
      <extLst>
        <ext uri="{3e2802c4-a4d2-4d8b-9148-e3be6c30e623}">
          <xlrd:rvb i="8988"/>
        </ext>
      </extLst>
    </bk>
    <bk>
      <extLst>
        <ext uri="{3e2802c4-a4d2-4d8b-9148-e3be6c30e623}">
          <xlrd:rvb i="8989"/>
        </ext>
      </extLst>
    </bk>
    <bk>
      <extLst>
        <ext uri="{3e2802c4-a4d2-4d8b-9148-e3be6c30e623}">
          <xlrd:rvb i="8990"/>
        </ext>
      </extLst>
    </bk>
    <bk>
      <extLst>
        <ext uri="{3e2802c4-a4d2-4d8b-9148-e3be6c30e623}">
          <xlrd:rvb i="8991"/>
        </ext>
      </extLst>
    </bk>
    <bk>
      <extLst>
        <ext uri="{3e2802c4-a4d2-4d8b-9148-e3be6c30e623}">
          <xlrd:rvb i="8992"/>
        </ext>
      </extLst>
    </bk>
    <bk>
      <extLst>
        <ext uri="{3e2802c4-a4d2-4d8b-9148-e3be6c30e623}">
          <xlrd:rvb i="8993"/>
        </ext>
      </extLst>
    </bk>
    <bk>
      <extLst>
        <ext uri="{3e2802c4-a4d2-4d8b-9148-e3be6c30e623}">
          <xlrd:rvb i="8994"/>
        </ext>
      </extLst>
    </bk>
    <bk>
      <extLst>
        <ext uri="{3e2802c4-a4d2-4d8b-9148-e3be6c30e623}">
          <xlrd:rvb i="8995"/>
        </ext>
      </extLst>
    </bk>
    <bk>
      <extLst>
        <ext uri="{3e2802c4-a4d2-4d8b-9148-e3be6c30e623}">
          <xlrd:rvb i="8996"/>
        </ext>
      </extLst>
    </bk>
    <bk>
      <extLst>
        <ext uri="{3e2802c4-a4d2-4d8b-9148-e3be6c30e623}">
          <xlrd:rvb i="8997"/>
        </ext>
      </extLst>
    </bk>
    <bk>
      <extLst>
        <ext uri="{3e2802c4-a4d2-4d8b-9148-e3be6c30e623}">
          <xlrd:rvb i="8998"/>
        </ext>
      </extLst>
    </bk>
    <bk>
      <extLst>
        <ext uri="{3e2802c4-a4d2-4d8b-9148-e3be6c30e623}">
          <xlrd:rvb i="8999"/>
        </ext>
      </extLst>
    </bk>
    <bk>
      <extLst>
        <ext uri="{3e2802c4-a4d2-4d8b-9148-e3be6c30e623}">
          <xlrd:rvb i="9000"/>
        </ext>
      </extLst>
    </bk>
    <bk>
      <extLst>
        <ext uri="{3e2802c4-a4d2-4d8b-9148-e3be6c30e623}">
          <xlrd:rvb i="9001"/>
        </ext>
      </extLst>
    </bk>
    <bk>
      <extLst>
        <ext uri="{3e2802c4-a4d2-4d8b-9148-e3be6c30e623}">
          <xlrd:rvb i="9002"/>
        </ext>
      </extLst>
    </bk>
    <bk>
      <extLst>
        <ext uri="{3e2802c4-a4d2-4d8b-9148-e3be6c30e623}">
          <xlrd:rvb i="9003"/>
        </ext>
      </extLst>
    </bk>
    <bk>
      <extLst>
        <ext uri="{3e2802c4-a4d2-4d8b-9148-e3be6c30e623}">
          <xlrd:rvb i="9004"/>
        </ext>
      </extLst>
    </bk>
    <bk>
      <extLst>
        <ext uri="{3e2802c4-a4d2-4d8b-9148-e3be6c30e623}">
          <xlrd:rvb i="9005"/>
        </ext>
      </extLst>
    </bk>
    <bk>
      <extLst>
        <ext uri="{3e2802c4-a4d2-4d8b-9148-e3be6c30e623}">
          <xlrd:rvb i="9006"/>
        </ext>
      </extLst>
    </bk>
    <bk>
      <extLst>
        <ext uri="{3e2802c4-a4d2-4d8b-9148-e3be6c30e623}">
          <xlrd:rvb i="9007"/>
        </ext>
      </extLst>
    </bk>
    <bk>
      <extLst>
        <ext uri="{3e2802c4-a4d2-4d8b-9148-e3be6c30e623}">
          <xlrd:rvb i="9008"/>
        </ext>
      </extLst>
    </bk>
    <bk>
      <extLst>
        <ext uri="{3e2802c4-a4d2-4d8b-9148-e3be6c30e623}">
          <xlrd:rvb i="9009"/>
        </ext>
      </extLst>
    </bk>
    <bk>
      <extLst>
        <ext uri="{3e2802c4-a4d2-4d8b-9148-e3be6c30e623}">
          <xlrd:rvb i="9010"/>
        </ext>
      </extLst>
    </bk>
    <bk>
      <extLst>
        <ext uri="{3e2802c4-a4d2-4d8b-9148-e3be6c30e623}">
          <xlrd:rvb i="9011"/>
        </ext>
      </extLst>
    </bk>
    <bk>
      <extLst>
        <ext uri="{3e2802c4-a4d2-4d8b-9148-e3be6c30e623}">
          <xlrd:rvb i="9012"/>
        </ext>
      </extLst>
    </bk>
    <bk>
      <extLst>
        <ext uri="{3e2802c4-a4d2-4d8b-9148-e3be6c30e623}">
          <xlrd:rvb i="9013"/>
        </ext>
      </extLst>
    </bk>
    <bk>
      <extLst>
        <ext uri="{3e2802c4-a4d2-4d8b-9148-e3be6c30e623}">
          <xlrd:rvb i="9014"/>
        </ext>
      </extLst>
    </bk>
    <bk>
      <extLst>
        <ext uri="{3e2802c4-a4d2-4d8b-9148-e3be6c30e623}">
          <xlrd:rvb i="9015"/>
        </ext>
      </extLst>
    </bk>
    <bk>
      <extLst>
        <ext uri="{3e2802c4-a4d2-4d8b-9148-e3be6c30e623}">
          <xlrd:rvb i="9016"/>
        </ext>
      </extLst>
    </bk>
    <bk>
      <extLst>
        <ext uri="{3e2802c4-a4d2-4d8b-9148-e3be6c30e623}">
          <xlrd:rvb i="9017"/>
        </ext>
      </extLst>
    </bk>
    <bk>
      <extLst>
        <ext uri="{3e2802c4-a4d2-4d8b-9148-e3be6c30e623}">
          <xlrd:rvb i="9018"/>
        </ext>
      </extLst>
    </bk>
    <bk>
      <extLst>
        <ext uri="{3e2802c4-a4d2-4d8b-9148-e3be6c30e623}">
          <xlrd:rvb i="9019"/>
        </ext>
      </extLst>
    </bk>
    <bk>
      <extLst>
        <ext uri="{3e2802c4-a4d2-4d8b-9148-e3be6c30e623}">
          <xlrd:rvb i="9020"/>
        </ext>
      </extLst>
    </bk>
    <bk>
      <extLst>
        <ext uri="{3e2802c4-a4d2-4d8b-9148-e3be6c30e623}">
          <xlrd:rvb i="9021"/>
        </ext>
      </extLst>
    </bk>
    <bk>
      <extLst>
        <ext uri="{3e2802c4-a4d2-4d8b-9148-e3be6c30e623}">
          <xlrd:rvb i="9022"/>
        </ext>
      </extLst>
    </bk>
    <bk>
      <extLst>
        <ext uri="{3e2802c4-a4d2-4d8b-9148-e3be6c30e623}">
          <xlrd:rvb i="9023"/>
        </ext>
      </extLst>
    </bk>
    <bk>
      <extLst>
        <ext uri="{3e2802c4-a4d2-4d8b-9148-e3be6c30e623}">
          <xlrd:rvb i="9024"/>
        </ext>
      </extLst>
    </bk>
    <bk>
      <extLst>
        <ext uri="{3e2802c4-a4d2-4d8b-9148-e3be6c30e623}">
          <xlrd:rvb i="9025"/>
        </ext>
      </extLst>
    </bk>
    <bk>
      <extLst>
        <ext uri="{3e2802c4-a4d2-4d8b-9148-e3be6c30e623}">
          <xlrd:rvb i="9026"/>
        </ext>
      </extLst>
    </bk>
    <bk>
      <extLst>
        <ext uri="{3e2802c4-a4d2-4d8b-9148-e3be6c30e623}">
          <xlrd:rvb i="9027"/>
        </ext>
      </extLst>
    </bk>
    <bk>
      <extLst>
        <ext uri="{3e2802c4-a4d2-4d8b-9148-e3be6c30e623}">
          <xlrd:rvb i="9028"/>
        </ext>
      </extLst>
    </bk>
    <bk>
      <extLst>
        <ext uri="{3e2802c4-a4d2-4d8b-9148-e3be6c30e623}">
          <xlrd:rvb i="9029"/>
        </ext>
      </extLst>
    </bk>
    <bk>
      <extLst>
        <ext uri="{3e2802c4-a4d2-4d8b-9148-e3be6c30e623}">
          <xlrd:rvb i="9030"/>
        </ext>
      </extLst>
    </bk>
    <bk>
      <extLst>
        <ext uri="{3e2802c4-a4d2-4d8b-9148-e3be6c30e623}">
          <xlrd:rvb i="9031"/>
        </ext>
      </extLst>
    </bk>
    <bk>
      <extLst>
        <ext uri="{3e2802c4-a4d2-4d8b-9148-e3be6c30e623}">
          <xlrd:rvb i="9032"/>
        </ext>
      </extLst>
    </bk>
    <bk>
      <extLst>
        <ext uri="{3e2802c4-a4d2-4d8b-9148-e3be6c30e623}">
          <xlrd:rvb i="9033"/>
        </ext>
      </extLst>
    </bk>
    <bk>
      <extLst>
        <ext uri="{3e2802c4-a4d2-4d8b-9148-e3be6c30e623}">
          <xlrd:rvb i="9034"/>
        </ext>
      </extLst>
    </bk>
    <bk>
      <extLst>
        <ext uri="{3e2802c4-a4d2-4d8b-9148-e3be6c30e623}">
          <xlrd:rvb i="9035"/>
        </ext>
      </extLst>
    </bk>
    <bk>
      <extLst>
        <ext uri="{3e2802c4-a4d2-4d8b-9148-e3be6c30e623}">
          <xlrd:rvb i="9036"/>
        </ext>
      </extLst>
    </bk>
    <bk>
      <extLst>
        <ext uri="{3e2802c4-a4d2-4d8b-9148-e3be6c30e623}">
          <xlrd:rvb i="9037"/>
        </ext>
      </extLst>
    </bk>
    <bk>
      <extLst>
        <ext uri="{3e2802c4-a4d2-4d8b-9148-e3be6c30e623}">
          <xlrd:rvb i="9038"/>
        </ext>
      </extLst>
    </bk>
    <bk>
      <extLst>
        <ext uri="{3e2802c4-a4d2-4d8b-9148-e3be6c30e623}">
          <xlrd:rvb i="9039"/>
        </ext>
      </extLst>
    </bk>
    <bk>
      <extLst>
        <ext uri="{3e2802c4-a4d2-4d8b-9148-e3be6c30e623}">
          <xlrd:rvb i="9040"/>
        </ext>
      </extLst>
    </bk>
    <bk>
      <extLst>
        <ext uri="{3e2802c4-a4d2-4d8b-9148-e3be6c30e623}">
          <xlrd:rvb i="9041"/>
        </ext>
      </extLst>
    </bk>
    <bk>
      <extLst>
        <ext uri="{3e2802c4-a4d2-4d8b-9148-e3be6c30e623}">
          <xlrd:rvb i="9042"/>
        </ext>
      </extLst>
    </bk>
    <bk>
      <extLst>
        <ext uri="{3e2802c4-a4d2-4d8b-9148-e3be6c30e623}">
          <xlrd:rvb i="9043"/>
        </ext>
      </extLst>
    </bk>
    <bk>
      <extLst>
        <ext uri="{3e2802c4-a4d2-4d8b-9148-e3be6c30e623}">
          <xlrd:rvb i="9044"/>
        </ext>
      </extLst>
    </bk>
    <bk>
      <extLst>
        <ext uri="{3e2802c4-a4d2-4d8b-9148-e3be6c30e623}">
          <xlrd:rvb i="9045"/>
        </ext>
      </extLst>
    </bk>
    <bk>
      <extLst>
        <ext uri="{3e2802c4-a4d2-4d8b-9148-e3be6c30e623}">
          <xlrd:rvb i="9046"/>
        </ext>
      </extLst>
    </bk>
    <bk>
      <extLst>
        <ext uri="{3e2802c4-a4d2-4d8b-9148-e3be6c30e623}">
          <xlrd:rvb i="9047"/>
        </ext>
      </extLst>
    </bk>
    <bk>
      <extLst>
        <ext uri="{3e2802c4-a4d2-4d8b-9148-e3be6c30e623}">
          <xlrd:rvb i="9048"/>
        </ext>
      </extLst>
    </bk>
    <bk>
      <extLst>
        <ext uri="{3e2802c4-a4d2-4d8b-9148-e3be6c30e623}">
          <xlrd:rvb i="9049"/>
        </ext>
      </extLst>
    </bk>
    <bk>
      <extLst>
        <ext uri="{3e2802c4-a4d2-4d8b-9148-e3be6c30e623}">
          <xlrd:rvb i="9050"/>
        </ext>
      </extLst>
    </bk>
    <bk>
      <extLst>
        <ext uri="{3e2802c4-a4d2-4d8b-9148-e3be6c30e623}">
          <xlrd:rvb i="9051"/>
        </ext>
      </extLst>
    </bk>
    <bk>
      <extLst>
        <ext uri="{3e2802c4-a4d2-4d8b-9148-e3be6c30e623}">
          <xlrd:rvb i="9052"/>
        </ext>
      </extLst>
    </bk>
    <bk>
      <extLst>
        <ext uri="{3e2802c4-a4d2-4d8b-9148-e3be6c30e623}">
          <xlrd:rvb i="9053"/>
        </ext>
      </extLst>
    </bk>
    <bk>
      <extLst>
        <ext uri="{3e2802c4-a4d2-4d8b-9148-e3be6c30e623}">
          <xlrd:rvb i="9054"/>
        </ext>
      </extLst>
    </bk>
    <bk>
      <extLst>
        <ext uri="{3e2802c4-a4d2-4d8b-9148-e3be6c30e623}">
          <xlrd:rvb i="9055"/>
        </ext>
      </extLst>
    </bk>
    <bk>
      <extLst>
        <ext uri="{3e2802c4-a4d2-4d8b-9148-e3be6c30e623}">
          <xlrd:rvb i="9056"/>
        </ext>
      </extLst>
    </bk>
    <bk>
      <extLst>
        <ext uri="{3e2802c4-a4d2-4d8b-9148-e3be6c30e623}">
          <xlrd:rvb i="9057"/>
        </ext>
      </extLst>
    </bk>
    <bk>
      <extLst>
        <ext uri="{3e2802c4-a4d2-4d8b-9148-e3be6c30e623}">
          <xlrd:rvb i="9058"/>
        </ext>
      </extLst>
    </bk>
    <bk>
      <extLst>
        <ext uri="{3e2802c4-a4d2-4d8b-9148-e3be6c30e623}">
          <xlrd:rvb i="9059"/>
        </ext>
      </extLst>
    </bk>
    <bk>
      <extLst>
        <ext uri="{3e2802c4-a4d2-4d8b-9148-e3be6c30e623}">
          <xlrd:rvb i="9060"/>
        </ext>
      </extLst>
    </bk>
    <bk>
      <extLst>
        <ext uri="{3e2802c4-a4d2-4d8b-9148-e3be6c30e623}">
          <xlrd:rvb i="9061"/>
        </ext>
      </extLst>
    </bk>
    <bk>
      <extLst>
        <ext uri="{3e2802c4-a4d2-4d8b-9148-e3be6c30e623}">
          <xlrd:rvb i="9062"/>
        </ext>
      </extLst>
    </bk>
    <bk>
      <extLst>
        <ext uri="{3e2802c4-a4d2-4d8b-9148-e3be6c30e623}">
          <xlrd:rvb i="9063"/>
        </ext>
      </extLst>
    </bk>
    <bk>
      <extLst>
        <ext uri="{3e2802c4-a4d2-4d8b-9148-e3be6c30e623}">
          <xlrd:rvb i="9064"/>
        </ext>
      </extLst>
    </bk>
    <bk>
      <extLst>
        <ext uri="{3e2802c4-a4d2-4d8b-9148-e3be6c30e623}">
          <xlrd:rvb i="9065"/>
        </ext>
      </extLst>
    </bk>
    <bk>
      <extLst>
        <ext uri="{3e2802c4-a4d2-4d8b-9148-e3be6c30e623}">
          <xlrd:rvb i="9066"/>
        </ext>
      </extLst>
    </bk>
    <bk>
      <extLst>
        <ext uri="{3e2802c4-a4d2-4d8b-9148-e3be6c30e623}">
          <xlrd:rvb i="9067"/>
        </ext>
      </extLst>
    </bk>
    <bk>
      <extLst>
        <ext uri="{3e2802c4-a4d2-4d8b-9148-e3be6c30e623}">
          <xlrd:rvb i="9068"/>
        </ext>
      </extLst>
    </bk>
    <bk>
      <extLst>
        <ext uri="{3e2802c4-a4d2-4d8b-9148-e3be6c30e623}">
          <xlrd:rvb i="9069"/>
        </ext>
      </extLst>
    </bk>
    <bk>
      <extLst>
        <ext uri="{3e2802c4-a4d2-4d8b-9148-e3be6c30e623}">
          <xlrd:rvb i="9070"/>
        </ext>
      </extLst>
    </bk>
    <bk>
      <extLst>
        <ext uri="{3e2802c4-a4d2-4d8b-9148-e3be6c30e623}">
          <xlrd:rvb i="9071"/>
        </ext>
      </extLst>
    </bk>
    <bk>
      <extLst>
        <ext uri="{3e2802c4-a4d2-4d8b-9148-e3be6c30e623}">
          <xlrd:rvb i="9072"/>
        </ext>
      </extLst>
    </bk>
    <bk>
      <extLst>
        <ext uri="{3e2802c4-a4d2-4d8b-9148-e3be6c30e623}">
          <xlrd:rvb i="9073"/>
        </ext>
      </extLst>
    </bk>
    <bk>
      <extLst>
        <ext uri="{3e2802c4-a4d2-4d8b-9148-e3be6c30e623}">
          <xlrd:rvb i="9074"/>
        </ext>
      </extLst>
    </bk>
    <bk>
      <extLst>
        <ext uri="{3e2802c4-a4d2-4d8b-9148-e3be6c30e623}">
          <xlrd:rvb i="9075"/>
        </ext>
      </extLst>
    </bk>
    <bk>
      <extLst>
        <ext uri="{3e2802c4-a4d2-4d8b-9148-e3be6c30e623}">
          <xlrd:rvb i="9076"/>
        </ext>
      </extLst>
    </bk>
    <bk>
      <extLst>
        <ext uri="{3e2802c4-a4d2-4d8b-9148-e3be6c30e623}">
          <xlrd:rvb i="9077"/>
        </ext>
      </extLst>
    </bk>
    <bk>
      <extLst>
        <ext uri="{3e2802c4-a4d2-4d8b-9148-e3be6c30e623}">
          <xlrd:rvb i="9078"/>
        </ext>
      </extLst>
    </bk>
    <bk>
      <extLst>
        <ext uri="{3e2802c4-a4d2-4d8b-9148-e3be6c30e623}">
          <xlrd:rvb i="9079"/>
        </ext>
      </extLst>
    </bk>
    <bk>
      <extLst>
        <ext uri="{3e2802c4-a4d2-4d8b-9148-e3be6c30e623}">
          <xlrd:rvb i="9080"/>
        </ext>
      </extLst>
    </bk>
    <bk>
      <extLst>
        <ext uri="{3e2802c4-a4d2-4d8b-9148-e3be6c30e623}">
          <xlrd:rvb i="9081"/>
        </ext>
      </extLst>
    </bk>
    <bk>
      <extLst>
        <ext uri="{3e2802c4-a4d2-4d8b-9148-e3be6c30e623}">
          <xlrd:rvb i="9082"/>
        </ext>
      </extLst>
    </bk>
    <bk>
      <extLst>
        <ext uri="{3e2802c4-a4d2-4d8b-9148-e3be6c30e623}">
          <xlrd:rvb i="9083"/>
        </ext>
      </extLst>
    </bk>
    <bk>
      <extLst>
        <ext uri="{3e2802c4-a4d2-4d8b-9148-e3be6c30e623}">
          <xlrd:rvb i="9084"/>
        </ext>
      </extLst>
    </bk>
    <bk>
      <extLst>
        <ext uri="{3e2802c4-a4d2-4d8b-9148-e3be6c30e623}">
          <xlrd:rvb i="9085"/>
        </ext>
      </extLst>
    </bk>
    <bk>
      <extLst>
        <ext uri="{3e2802c4-a4d2-4d8b-9148-e3be6c30e623}">
          <xlrd:rvb i="9086"/>
        </ext>
      </extLst>
    </bk>
    <bk>
      <extLst>
        <ext uri="{3e2802c4-a4d2-4d8b-9148-e3be6c30e623}">
          <xlrd:rvb i="9087"/>
        </ext>
      </extLst>
    </bk>
    <bk>
      <extLst>
        <ext uri="{3e2802c4-a4d2-4d8b-9148-e3be6c30e623}">
          <xlrd:rvb i="9088"/>
        </ext>
      </extLst>
    </bk>
    <bk>
      <extLst>
        <ext uri="{3e2802c4-a4d2-4d8b-9148-e3be6c30e623}">
          <xlrd:rvb i="9089"/>
        </ext>
      </extLst>
    </bk>
    <bk>
      <extLst>
        <ext uri="{3e2802c4-a4d2-4d8b-9148-e3be6c30e623}">
          <xlrd:rvb i="9090"/>
        </ext>
      </extLst>
    </bk>
    <bk>
      <extLst>
        <ext uri="{3e2802c4-a4d2-4d8b-9148-e3be6c30e623}">
          <xlrd:rvb i="9091"/>
        </ext>
      </extLst>
    </bk>
    <bk>
      <extLst>
        <ext uri="{3e2802c4-a4d2-4d8b-9148-e3be6c30e623}">
          <xlrd:rvb i="9092"/>
        </ext>
      </extLst>
    </bk>
    <bk>
      <extLst>
        <ext uri="{3e2802c4-a4d2-4d8b-9148-e3be6c30e623}">
          <xlrd:rvb i="9093"/>
        </ext>
      </extLst>
    </bk>
    <bk>
      <extLst>
        <ext uri="{3e2802c4-a4d2-4d8b-9148-e3be6c30e623}">
          <xlrd:rvb i="9094"/>
        </ext>
      </extLst>
    </bk>
    <bk>
      <extLst>
        <ext uri="{3e2802c4-a4d2-4d8b-9148-e3be6c30e623}">
          <xlrd:rvb i="9095"/>
        </ext>
      </extLst>
    </bk>
    <bk>
      <extLst>
        <ext uri="{3e2802c4-a4d2-4d8b-9148-e3be6c30e623}">
          <xlrd:rvb i="9096"/>
        </ext>
      </extLst>
    </bk>
    <bk>
      <extLst>
        <ext uri="{3e2802c4-a4d2-4d8b-9148-e3be6c30e623}">
          <xlrd:rvb i="9097"/>
        </ext>
      </extLst>
    </bk>
    <bk>
      <extLst>
        <ext uri="{3e2802c4-a4d2-4d8b-9148-e3be6c30e623}">
          <xlrd:rvb i="9098"/>
        </ext>
      </extLst>
    </bk>
    <bk>
      <extLst>
        <ext uri="{3e2802c4-a4d2-4d8b-9148-e3be6c30e623}">
          <xlrd:rvb i="9099"/>
        </ext>
      </extLst>
    </bk>
    <bk>
      <extLst>
        <ext uri="{3e2802c4-a4d2-4d8b-9148-e3be6c30e623}">
          <xlrd:rvb i="9100"/>
        </ext>
      </extLst>
    </bk>
    <bk>
      <extLst>
        <ext uri="{3e2802c4-a4d2-4d8b-9148-e3be6c30e623}">
          <xlrd:rvb i="9101"/>
        </ext>
      </extLst>
    </bk>
    <bk>
      <extLst>
        <ext uri="{3e2802c4-a4d2-4d8b-9148-e3be6c30e623}">
          <xlrd:rvb i="9102"/>
        </ext>
      </extLst>
    </bk>
    <bk>
      <extLst>
        <ext uri="{3e2802c4-a4d2-4d8b-9148-e3be6c30e623}">
          <xlrd:rvb i="9103"/>
        </ext>
      </extLst>
    </bk>
    <bk>
      <extLst>
        <ext uri="{3e2802c4-a4d2-4d8b-9148-e3be6c30e623}">
          <xlrd:rvb i="9104"/>
        </ext>
      </extLst>
    </bk>
    <bk>
      <extLst>
        <ext uri="{3e2802c4-a4d2-4d8b-9148-e3be6c30e623}">
          <xlrd:rvb i="9105"/>
        </ext>
      </extLst>
    </bk>
    <bk>
      <extLst>
        <ext uri="{3e2802c4-a4d2-4d8b-9148-e3be6c30e623}">
          <xlrd:rvb i="9106"/>
        </ext>
      </extLst>
    </bk>
    <bk>
      <extLst>
        <ext uri="{3e2802c4-a4d2-4d8b-9148-e3be6c30e623}">
          <xlrd:rvb i="9107"/>
        </ext>
      </extLst>
    </bk>
    <bk>
      <extLst>
        <ext uri="{3e2802c4-a4d2-4d8b-9148-e3be6c30e623}">
          <xlrd:rvb i="9108"/>
        </ext>
      </extLst>
    </bk>
    <bk>
      <extLst>
        <ext uri="{3e2802c4-a4d2-4d8b-9148-e3be6c30e623}">
          <xlrd:rvb i="9109"/>
        </ext>
      </extLst>
    </bk>
    <bk>
      <extLst>
        <ext uri="{3e2802c4-a4d2-4d8b-9148-e3be6c30e623}">
          <xlrd:rvb i="9110"/>
        </ext>
      </extLst>
    </bk>
    <bk>
      <extLst>
        <ext uri="{3e2802c4-a4d2-4d8b-9148-e3be6c30e623}">
          <xlrd:rvb i="9111"/>
        </ext>
      </extLst>
    </bk>
    <bk>
      <extLst>
        <ext uri="{3e2802c4-a4d2-4d8b-9148-e3be6c30e623}">
          <xlrd:rvb i="9112"/>
        </ext>
      </extLst>
    </bk>
    <bk>
      <extLst>
        <ext uri="{3e2802c4-a4d2-4d8b-9148-e3be6c30e623}">
          <xlrd:rvb i="9113"/>
        </ext>
      </extLst>
    </bk>
    <bk>
      <extLst>
        <ext uri="{3e2802c4-a4d2-4d8b-9148-e3be6c30e623}">
          <xlrd:rvb i="9114"/>
        </ext>
      </extLst>
    </bk>
    <bk>
      <extLst>
        <ext uri="{3e2802c4-a4d2-4d8b-9148-e3be6c30e623}">
          <xlrd:rvb i="9115"/>
        </ext>
      </extLst>
    </bk>
    <bk>
      <extLst>
        <ext uri="{3e2802c4-a4d2-4d8b-9148-e3be6c30e623}">
          <xlrd:rvb i="9116"/>
        </ext>
      </extLst>
    </bk>
    <bk>
      <extLst>
        <ext uri="{3e2802c4-a4d2-4d8b-9148-e3be6c30e623}">
          <xlrd:rvb i="9117"/>
        </ext>
      </extLst>
    </bk>
    <bk>
      <extLst>
        <ext uri="{3e2802c4-a4d2-4d8b-9148-e3be6c30e623}">
          <xlrd:rvb i="9118"/>
        </ext>
      </extLst>
    </bk>
    <bk>
      <extLst>
        <ext uri="{3e2802c4-a4d2-4d8b-9148-e3be6c30e623}">
          <xlrd:rvb i="9119"/>
        </ext>
      </extLst>
    </bk>
    <bk>
      <extLst>
        <ext uri="{3e2802c4-a4d2-4d8b-9148-e3be6c30e623}">
          <xlrd:rvb i="9120"/>
        </ext>
      </extLst>
    </bk>
    <bk>
      <extLst>
        <ext uri="{3e2802c4-a4d2-4d8b-9148-e3be6c30e623}">
          <xlrd:rvb i="9121"/>
        </ext>
      </extLst>
    </bk>
    <bk>
      <extLst>
        <ext uri="{3e2802c4-a4d2-4d8b-9148-e3be6c30e623}">
          <xlrd:rvb i="9122"/>
        </ext>
      </extLst>
    </bk>
    <bk>
      <extLst>
        <ext uri="{3e2802c4-a4d2-4d8b-9148-e3be6c30e623}">
          <xlrd:rvb i="9123"/>
        </ext>
      </extLst>
    </bk>
    <bk>
      <extLst>
        <ext uri="{3e2802c4-a4d2-4d8b-9148-e3be6c30e623}">
          <xlrd:rvb i="9124"/>
        </ext>
      </extLst>
    </bk>
    <bk>
      <extLst>
        <ext uri="{3e2802c4-a4d2-4d8b-9148-e3be6c30e623}">
          <xlrd:rvb i="9125"/>
        </ext>
      </extLst>
    </bk>
    <bk>
      <extLst>
        <ext uri="{3e2802c4-a4d2-4d8b-9148-e3be6c30e623}">
          <xlrd:rvb i="9126"/>
        </ext>
      </extLst>
    </bk>
    <bk>
      <extLst>
        <ext uri="{3e2802c4-a4d2-4d8b-9148-e3be6c30e623}">
          <xlrd:rvb i="9127"/>
        </ext>
      </extLst>
    </bk>
    <bk>
      <extLst>
        <ext uri="{3e2802c4-a4d2-4d8b-9148-e3be6c30e623}">
          <xlrd:rvb i="9128"/>
        </ext>
      </extLst>
    </bk>
    <bk>
      <extLst>
        <ext uri="{3e2802c4-a4d2-4d8b-9148-e3be6c30e623}">
          <xlrd:rvb i="9129"/>
        </ext>
      </extLst>
    </bk>
    <bk>
      <extLst>
        <ext uri="{3e2802c4-a4d2-4d8b-9148-e3be6c30e623}">
          <xlrd:rvb i="9130"/>
        </ext>
      </extLst>
    </bk>
    <bk>
      <extLst>
        <ext uri="{3e2802c4-a4d2-4d8b-9148-e3be6c30e623}">
          <xlrd:rvb i="9131"/>
        </ext>
      </extLst>
    </bk>
    <bk>
      <extLst>
        <ext uri="{3e2802c4-a4d2-4d8b-9148-e3be6c30e623}">
          <xlrd:rvb i="9132"/>
        </ext>
      </extLst>
    </bk>
    <bk>
      <extLst>
        <ext uri="{3e2802c4-a4d2-4d8b-9148-e3be6c30e623}">
          <xlrd:rvb i="9133"/>
        </ext>
      </extLst>
    </bk>
    <bk>
      <extLst>
        <ext uri="{3e2802c4-a4d2-4d8b-9148-e3be6c30e623}">
          <xlrd:rvb i="9134"/>
        </ext>
      </extLst>
    </bk>
    <bk>
      <extLst>
        <ext uri="{3e2802c4-a4d2-4d8b-9148-e3be6c30e623}">
          <xlrd:rvb i="9135"/>
        </ext>
      </extLst>
    </bk>
    <bk>
      <extLst>
        <ext uri="{3e2802c4-a4d2-4d8b-9148-e3be6c30e623}">
          <xlrd:rvb i="9136"/>
        </ext>
      </extLst>
    </bk>
    <bk>
      <extLst>
        <ext uri="{3e2802c4-a4d2-4d8b-9148-e3be6c30e623}">
          <xlrd:rvb i="9137"/>
        </ext>
      </extLst>
    </bk>
    <bk>
      <extLst>
        <ext uri="{3e2802c4-a4d2-4d8b-9148-e3be6c30e623}">
          <xlrd:rvb i="9138"/>
        </ext>
      </extLst>
    </bk>
    <bk>
      <extLst>
        <ext uri="{3e2802c4-a4d2-4d8b-9148-e3be6c30e623}">
          <xlrd:rvb i="9139"/>
        </ext>
      </extLst>
    </bk>
    <bk>
      <extLst>
        <ext uri="{3e2802c4-a4d2-4d8b-9148-e3be6c30e623}">
          <xlrd:rvb i="9140"/>
        </ext>
      </extLst>
    </bk>
    <bk>
      <extLst>
        <ext uri="{3e2802c4-a4d2-4d8b-9148-e3be6c30e623}">
          <xlrd:rvb i="9141"/>
        </ext>
      </extLst>
    </bk>
    <bk>
      <extLst>
        <ext uri="{3e2802c4-a4d2-4d8b-9148-e3be6c30e623}">
          <xlrd:rvb i="9142"/>
        </ext>
      </extLst>
    </bk>
    <bk>
      <extLst>
        <ext uri="{3e2802c4-a4d2-4d8b-9148-e3be6c30e623}">
          <xlrd:rvb i="9143"/>
        </ext>
      </extLst>
    </bk>
    <bk>
      <extLst>
        <ext uri="{3e2802c4-a4d2-4d8b-9148-e3be6c30e623}">
          <xlrd:rvb i="9144"/>
        </ext>
      </extLst>
    </bk>
    <bk>
      <extLst>
        <ext uri="{3e2802c4-a4d2-4d8b-9148-e3be6c30e623}">
          <xlrd:rvb i="9145"/>
        </ext>
      </extLst>
    </bk>
    <bk>
      <extLst>
        <ext uri="{3e2802c4-a4d2-4d8b-9148-e3be6c30e623}">
          <xlrd:rvb i="9146"/>
        </ext>
      </extLst>
    </bk>
    <bk>
      <extLst>
        <ext uri="{3e2802c4-a4d2-4d8b-9148-e3be6c30e623}">
          <xlrd:rvb i="9147"/>
        </ext>
      </extLst>
    </bk>
    <bk>
      <extLst>
        <ext uri="{3e2802c4-a4d2-4d8b-9148-e3be6c30e623}">
          <xlrd:rvb i="9148"/>
        </ext>
      </extLst>
    </bk>
    <bk>
      <extLst>
        <ext uri="{3e2802c4-a4d2-4d8b-9148-e3be6c30e623}">
          <xlrd:rvb i="9149"/>
        </ext>
      </extLst>
    </bk>
    <bk>
      <extLst>
        <ext uri="{3e2802c4-a4d2-4d8b-9148-e3be6c30e623}">
          <xlrd:rvb i="9150"/>
        </ext>
      </extLst>
    </bk>
    <bk>
      <extLst>
        <ext uri="{3e2802c4-a4d2-4d8b-9148-e3be6c30e623}">
          <xlrd:rvb i="9151"/>
        </ext>
      </extLst>
    </bk>
    <bk>
      <extLst>
        <ext uri="{3e2802c4-a4d2-4d8b-9148-e3be6c30e623}">
          <xlrd:rvb i="9152"/>
        </ext>
      </extLst>
    </bk>
    <bk>
      <extLst>
        <ext uri="{3e2802c4-a4d2-4d8b-9148-e3be6c30e623}">
          <xlrd:rvb i="9153"/>
        </ext>
      </extLst>
    </bk>
    <bk>
      <extLst>
        <ext uri="{3e2802c4-a4d2-4d8b-9148-e3be6c30e623}">
          <xlrd:rvb i="9154"/>
        </ext>
      </extLst>
    </bk>
    <bk>
      <extLst>
        <ext uri="{3e2802c4-a4d2-4d8b-9148-e3be6c30e623}">
          <xlrd:rvb i="9155"/>
        </ext>
      </extLst>
    </bk>
    <bk>
      <extLst>
        <ext uri="{3e2802c4-a4d2-4d8b-9148-e3be6c30e623}">
          <xlrd:rvb i="9156"/>
        </ext>
      </extLst>
    </bk>
    <bk>
      <extLst>
        <ext uri="{3e2802c4-a4d2-4d8b-9148-e3be6c30e623}">
          <xlrd:rvb i="9157"/>
        </ext>
      </extLst>
    </bk>
    <bk>
      <extLst>
        <ext uri="{3e2802c4-a4d2-4d8b-9148-e3be6c30e623}">
          <xlrd:rvb i="9158"/>
        </ext>
      </extLst>
    </bk>
    <bk>
      <extLst>
        <ext uri="{3e2802c4-a4d2-4d8b-9148-e3be6c30e623}">
          <xlrd:rvb i="9159"/>
        </ext>
      </extLst>
    </bk>
    <bk>
      <extLst>
        <ext uri="{3e2802c4-a4d2-4d8b-9148-e3be6c30e623}">
          <xlrd:rvb i="9160"/>
        </ext>
      </extLst>
    </bk>
    <bk>
      <extLst>
        <ext uri="{3e2802c4-a4d2-4d8b-9148-e3be6c30e623}">
          <xlrd:rvb i="9161"/>
        </ext>
      </extLst>
    </bk>
    <bk>
      <extLst>
        <ext uri="{3e2802c4-a4d2-4d8b-9148-e3be6c30e623}">
          <xlrd:rvb i="9162"/>
        </ext>
      </extLst>
    </bk>
    <bk>
      <extLst>
        <ext uri="{3e2802c4-a4d2-4d8b-9148-e3be6c30e623}">
          <xlrd:rvb i="9163"/>
        </ext>
      </extLst>
    </bk>
    <bk>
      <extLst>
        <ext uri="{3e2802c4-a4d2-4d8b-9148-e3be6c30e623}">
          <xlrd:rvb i="9164"/>
        </ext>
      </extLst>
    </bk>
    <bk>
      <extLst>
        <ext uri="{3e2802c4-a4d2-4d8b-9148-e3be6c30e623}">
          <xlrd:rvb i="9165"/>
        </ext>
      </extLst>
    </bk>
    <bk>
      <extLst>
        <ext uri="{3e2802c4-a4d2-4d8b-9148-e3be6c30e623}">
          <xlrd:rvb i="9166"/>
        </ext>
      </extLst>
    </bk>
    <bk>
      <extLst>
        <ext uri="{3e2802c4-a4d2-4d8b-9148-e3be6c30e623}">
          <xlrd:rvb i="9167"/>
        </ext>
      </extLst>
    </bk>
    <bk>
      <extLst>
        <ext uri="{3e2802c4-a4d2-4d8b-9148-e3be6c30e623}">
          <xlrd:rvb i="9168"/>
        </ext>
      </extLst>
    </bk>
    <bk>
      <extLst>
        <ext uri="{3e2802c4-a4d2-4d8b-9148-e3be6c30e623}">
          <xlrd:rvb i="9169"/>
        </ext>
      </extLst>
    </bk>
    <bk>
      <extLst>
        <ext uri="{3e2802c4-a4d2-4d8b-9148-e3be6c30e623}">
          <xlrd:rvb i="9170"/>
        </ext>
      </extLst>
    </bk>
    <bk>
      <extLst>
        <ext uri="{3e2802c4-a4d2-4d8b-9148-e3be6c30e623}">
          <xlrd:rvb i="9171"/>
        </ext>
      </extLst>
    </bk>
    <bk>
      <extLst>
        <ext uri="{3e2802c4-a4d2-4d8b-9148-e3be6c30e623}">
          <xlrd:rvb i="9172"/>
        </ext>
      </extLst>
    </bk>
    <bk>
      <extLst>
        <ext uri="{3e2802c4-a4d2-4d8b-9148-e3be6c30e623}">
          <xlrd:rvb i="9173"/>
        </ext>
      </extLst>
    </bk>
    <bk>
      <extLst>
        <ext uri="{3e2802c4-a4d2-4d8b-9148-e3be6c30e623}">
          <xlrd:rvb i="9174"/>
        </ext>
      </extLst>
    </bk>
    <bk>
      <extLst>
        <ext uri="{3e2802c4-a4d2-4d8b-9148-e3be6c30e623}">
          <xlrd:rvb i="9175"/>
        </ext>
      </extLst>
    </bk>
    <bk>
      <extLst>
        <ext uri="{3e2802c4-a4d2-4d8b-9148-e3be6c30e623}">
          <xlrd:rvb i="9176"/>
        </ext>
      </extLst>
    </bk>
    <bk>
      <extLst>
        <ext uri="{3e2802c4-a4d2-4d8b-9148-e3be6c30e623}">
          <xlrd:rvb i="9177"/>
        </ext>
      </extLst>
    </bk>
    <bk>
      <extLst>
        <ext uri="{3e2802c4-a4d2-4d8b-9148-e3be6c30e623}">
          <xlrd:rvb i="9178"/>
        </ext>
      </extLst>
    </bk>
    <bk>
      <extLst>
        <ext uri="{3e2802c4-a4d2-4d8b-9148-e3be6c30e623}">
          <xlrd:rvb i="9179"/>
        </ext>
      </extLst>
    </bk>
    <bk>
      <extLst>
        <ext uri="{3e2802c4-a4d2-4d8b-9148-e3be6c30e623}">
          <xlrd:rvb i="9180"/>
        </ext>
      </extLst>
    </bk>
    <bk>
      <extLst>
        <ext uri="{3e2802c4-a4d2-4d8b-9148-e3be6c30e623}">
          <xlrd:rvb i="9181"/>
        </ext>
      </extLst>
    </bk>
    <bk>
      <extLst>
        <ext uri="{3e2802c4-a4d2-4d8b-9148-e3be6c30e623}">
          <xlrd:rvb i="9182"/>
        </ext>
      </extLst>
    </bk>
    <bk>
      <extLst>
        <ext uri="{3e2802c4-a4d2-4d8b-9148-e3be6c30e623}">
          <xlrd:rvb i="9183"/>
        </ext>
      </extLst>
    </bk>
    <bk>
      <extLst>
        <ext uri="{3e2802c4-a4d2-4d8b-9148-e3be6c30e623}">
          <xlrd:rvb i="9184"/>
        </ext>
      </extLst>
    </bk>
    <bk>
      <extLst>
        <ext uri="{3e2802c4-a4d2-4d8b-9148-e3be6c30e623}">
          <xlrd:rvb i="9185"/>
        </ext>
      </extLst>
    </bk>
    <bk>
      <extLst>
        <ext uri="{3e2802c4-a4d2-4d8b-9148-e3be6c30e623}">
          <xlrd:rvb i="9186"/>
        </ext>
      </extLst>
    </bk>
    <bk>
      <extLst>
        <ext uri="{3e2802c4-a4d2-4d8b-9148-e3be6c30e623}">
          <xlrd:rvb i="9187"/>
        </ext>
      </extLst>
    </bk>
    <bk>
      <extLst>
        <ext uri="{3e2802c4-a4d2-4d8b-9148-e3be6c30e623}">
          <xlrd:rvb i="9188"/>
        </ext>
      </extLst>
    </bk>
    <bk>
      <extLst>
        <ext uri="{3e2802c4-a4d2-4d8b-9148-e3be6c30e623}">
          <xlrd:rvb i="9189"/>
        </ext>
      </extLst>
    </bk>
    <bk>
      <extLst>
        <ext uri="{3e2802c4-a4d2-4d8b-9148-e3be6c30e623}">
          <xlrd:rvb i="9190"/>
        </ext>
      </extLst>
    </bk>
    <bk>
      <extLst>
        <ext uri="{3e2802c4-a4d2-4d8b-9148-e3be6c30e623}">
          <xlrd:rvb i="9191"/>
        </ext>
      </extLst>
    </bk>
    <bk>
      <extLst>
        <ext uri="{3e2802c4-a4d2-4d8b-9148-e3be6c30e623}">
          <xlrd:rvb i="9192"/>
        </ext>
      </extLst>
    </bk>
    <bk>
      <extLst>
        <ext uri="{3e2802c4-a4d2-4d8b-9148-e3be6c30e623}">
          <xlrd:rvb i="9193"/>
        </ext>
      </extLst>
    </bk>
    <bk>
      <extLst>
        <ext uri="{3e2802c4-a4d2-4d8b-9148-e3be6c30e623}">
          <xlrd:rvb i="9194"/>
        </ext>
      </extLst>
    </bk>
    <bk>
      <extLst>
        <ext uri="{3e2802c4-a4d2-4d8b-9148-e3be6c30e623}">
          <xlrd:rvb i="9195"/>
        </ext>
      </extLst>
    </bk>
    <bk>
      <extLst>
        <ext uri="{3e2802c4-a4d2-4d8b-9148-e3be6c30e623}">
          <xlrd:rvb i="9196"/>
        </ext>
      </extLst>
    </bk>
    <bk>
      <extLst>
        <ext uri="{3e2802c4-a4d2-4d8b-9148-e3be6c30e623}">
          <xlrd:rvb i="9197"/>
        </ext>
      </extLst>
    </bk>
    <bk>
      <extLst>
        <ext uri="{3e2802c4-a4d2-4d8b-9148-e3be6c30e623}">
          <xlrd:rvb i="9198"/>
        </ext>
      </extLst>
    </bk>
    <bk>
      <extLst>
        <ext uri="{3e2802c4-a4d2-4d8b-9148-e3be6c30e623}">
          <xlrd:rvb i="9199"/>
        </ext>
      </extLst>
    </bk>
    <bk>
      <extLst>
        <ext uri="{3e2802c4-a4d2-4d8b-9148-e3be6c30e623}">
          <xlrd:rvb i="9200"/>
        </ext>
      </extLst>
    </bk>
    <bk>
      <extLst>
        <ext uri="{3e2802c4-a4d2-4d8b-9148-e3be6c30e623}">
          <xlrd:rvb i="9201"/>
        </ext>
      </extLst>
    </bk>
    <bk>
      <extLst>
        <ext uri="{3e2802c4-a4d2-4d8b-9148-e3be6c30e623}">
          <xlrd:rvb i="9202"/>
        </ext>
      </extLst>
    </bk>
    <bk>
      <extLst>
        <ext uri="{3e2802c4-a4d2-4d8b-9148-e3be6c30e623}">
          <xlrd:rvb i="9203"/>
        </ext>
      </extLst>
    </bk>
    <bk>
      <extLst>
        <ext uri="{3e2802c4-a4d2-4d8b-9148-e3be6c30e623}">
          <xlrd:rvb i="9204"/>
        </ext>
      </extLst>
    </bk>
    <bk>
      <extLst>
        <ext uri="{3e2802c4-a4d2-4d8b-9148-e3be6c30e623}">
          <xlrd:rvb i="9205"/>
        </ext>
      </extLst>
    </bk>
    <bk>
      <extLst>
        <ext uri="{3e2802c4-a4d2-4d8b-9148-e3be6c30e623}">
          <xlrd:rvb i="9206"/>
        </ext>
      </extLst>
    </bk>
    <bk>
      <extLst>
        <ext uri="{3e2802c4-a4d2-4d8b-9148-e3be6c30e623}">
          <xlrd:rvb i="9207"/>
        </ext>
      </extLst>
    </bk>
    <bk>
      <extLst>
        <ext uri="{3e2802c4-a4d2-4d8b-9148-e3be6c30e623}">
          <xlrd:rvb i="9208"/>
        </ext>
      </extLst>
    </bk>
    <bk>
      <extLst>
        <ext uri="{3e2802c4-a4d2-4d8b-9148-e3be6c30e623}">
          <xlrd:rvb i="9209"/>
        </ext>
      </extLst>
    </bk>
    <bk>
      <extLst>
        <ext uri="{3e2802c4-a4d2-4d8b-9148-e3be6c30e623}">
          <xlrd:rvb i="9210"/>
        </ext>
      </extLst>
    </bk>
    <bk>
      <extLst>
        <ext uri="{3e2802c4-a4d2-4d8b-9148-e3be6c30e623}">
          <xlrd:rvb i="9211"/>
        </ext>
      </extLst>
    </bk>
    <bk>
      <extLst>
        <ext uri="{3e2802c4-a4d2-4d8b-9148-e3be6c30e623}">
          <xlrd:rvb i="9212"/>
        </ext>
      </extLst>
    </bk>
    <bk>
      <extLst>
        <ext uri="{3e2802c4-a4d2-4d8b-9148-e3be6c30e623}">
          <xlrd:rvb i="9213"/>
        </ext>
      </extLst>
    </bk>
    <bk>
      <extLst>
        <ext uri="{3e2802c4-a4d2-4d8b-9148-e3be6c30e623}">
          <xlrd:rvb i="9214"/>
        </ext>
      </extLst>
    </bk>
    <bk>
      <extLst>
        <ext uri="{3e2802c4-a4d2-4d8b-9148-e3be6c30e623}">
          <xlrd:rvb i="9215"/>
        </ext>
      </extLst>
    </bk>
    <bk>
      <extLst>
        <ext uri="{3e2802c4-a4d2-4d8b-9148-e3be6c30e623}">
          <xlrd:rvb i="9216"/>
        </ext>
      </extLst>
    </bk>
    <bk>
      <extLst>
        <ext uri="{3e2802c4-a4d2-4d8b-9148-e3be6c30e623}">
          <xlrd:rvb i="9217"/>
        </ext>
      </extLst>
    </bk>
    <bk>
      <extLst>
        <ext uri="{3e2802c4-a4d2-4d8b-9148-e3be6c30e623}">
          <xlrd:rvb i="9218"/>
        </ext>
      </extLst>
    </bk>
    <bk>
      <extLst>
        <ext uri="{3e2802c4-a4d2-4d8b-9148-e3be6c30e623}">
          <xlrd:rvb i="9219"/>
        </ext>
      </extLst>
    </bk>
    <bk>
      <extLst>
        <ext uri="{3e2802c4-a4d2-4d8b-9148-e3be6c30e623}">
          <xlrd:rvb i="9220"/>
        </ext>
      </extLst>
    </bk>
    <bk>
      <extLst>
        <ext uri="{3e2802c4-a4d2-4d8b-9148-e3be6c30e623}">
          <xlrd:rvb i="9221"/>
        </ext>
      </extLst>
    </bk>
    <bk>
      <extLst>
        <ext uri="{3e2802c4-a4d2-4d8b-9148-e3be6c30e623}">
          <xlrd:rvb i="9222"/>
        </ext>
      </extLst>
    </bk>
    <bk>
      <extLst>
        <ext uri="{3e2802c4-a4d2-4d8b-9148-e3be6c30e623}">
          <xlrd:rvb i="9223"/>
        </ext>
      </extLst>
    </bk>
    <bk>
      <extLst>
        <ext uri="{3e2802c4-a4d2-4d8b-9148-e3be6c30e623}">
          <xlrd:rvb i="9224"/>
        </ext>
      </extLst>
    </bk>
    <bk>
      <extLst>
        <ext uri="{3e2802c4-a4d2-4d8b-9148-e3be6c30e623}">
          <xlrd:rvb i="9225"/>
        </ext>
      </extLst>
    </bk>
    <bk>
      <extLst>
        <ext uri="{3e2802c4-a4d2-4d8b-9148-e3be6c30e623}">
          <xlrd:rvb i="9226"/>
        </ext>
      </extLst>
    </bk>
    <bk>
      <extLst>
        <ext uri="{3e2802c4-a4d2-4d8b-9148-e3be6c30e623}">
          <xlrd:rvb i="9227"/>
        </ext>
      </extLst>
    </bk>
    <bk>
      <extLst>
        <ext uri="{3e2802c4-a4d2-4d8b-9148-e3be6c30e623}">
          <xlrd:rvb i="9228"/>
        </ext>
      </extLst>
    </bk>
    <bk>
      <extLst>
        <ext uri="{3e2802c4-a4d2-4d8b-9148-e3be6c30e623}">
          <xlrd:rvb i="9229"/>
        </ext>
      </extLst>
    </bk>
    <bk>
      <extLst>
        <ext uri="{3e2802c4-a4d2-4d8b-9148-e3be6c30e623}">
          <xlrd:rvb i="9230"/>
        </ext>
      </extLst>
    </bk>
    <bk>
      <extLst>
        <ext uri="{3e2802c4-a4d2-4d8b-9148-e3be6c30e623}">
          <xlrd:rvb i="9231"/>
        </ext>
      </extLst>
    </bk>
    <bk>
      <extLst>
        <ext uri="{3e2802c4-a4d2-4d8b-9148-e3be6c30e623}">
          <xlrd:rvb i="9232"/>
        </ext>
      </extLst>
    </bk>
    <bk>
      <extLst>
        <ext uri="{3e2802c4-a4d2-4d8b-9148-e3be6c30e623}">
          <xlrd:rvb i="9233"/>
        </ext>
      </extLst>
    </bk>
    <bk>
      <extLst>
        <ext uri="{3e2802c4-a4d2-4d8b-9148-e3be6c30e623}">
          <xlrd:rvb i="9234"/>
        </ext>
      </extLst>
    </bk>
    <bk>
      <extLst>
        <ext uri="{3e2802c4-a4d2-4d8b-9148-e3be6c30e623}">
          <xlrd:rvb i="9235"/>
        </ext>
      </extLst>
    </bk>
    <bk>
      <extLst>
        <ext uri="{3e2802c4-a4d2-4d8b-9148-e3be6c30e623}">
          <xlrd:rvb i="9236"/>
        </ext>
      </extLst>
    </bk>
    <bk>
      <extLst>
        <ext uri="{3e2802c4-a4d2-4d8b-9148-e3be6c30e623}">
          <xlrd:rvb i="9237"/>
        </ext>
      </extLst>
    </bk>
    <bk>
      <extLst>
        <ext uri="{3e2802c4-a4d2-4d8b-9148-e3be6c30e623}">
          <xlrd:rvb i="9238"/>
        </ext>
      </extLst>
    </bk>
    <bk>
      <extLst>
        <ext uri="{3e2802c4-a4d2-4d8b-9148-e3be6c30e623}">
          <xlrd:rvb i="9239"/>
        </ext>
      </extLst>
    </bk>
    <bk>
      <extLst>
        <ext uri="{3e2802c4-a4d2-4d8b-9148-e3be6c30e623}">
          <xlrd:rvb i="9240"/>
        </ext>
      </extLst>
    </bk>
    <bk>
      <extLst>
        <ext uri="{3e2802c4-a4d2-4d8b-9148-e3be6c30e623}">
          <xlrd:rvb i="9241"/>
        </ext>
      </extLst>
    </bk>
    <bk>
      <extLst>
        <ext uri="{3e2802c4-a4d2-4d8b-9148-e3be6c30e623}">
          <xlrd:rvb i="9242"/>
        </ext>
      </extLst>
    </bk>
    <bk>
      <extLst>
        <ext uri="{3e2802c4-a4d2-4d8b-9148-e3be6c30e623}">
          <xlrd:rvb i="9243"/>
        </ext>
      </extLst>
    </bk>
    <bk>
      <extLst>
        <ext uri="{3e2802c4-a4d2-4d8b-9148-e3be6c30e623}">
          <xlrd:rvb i="9244"/>
        </ext>
      </extLst>
    </bk>
    <bk>
      <extLst>
        <ext uri="{3e2802c4-a4d2-4d8b-9148-e3be6c30e623}">
          <xlrd:rvb i="9245"/>
        </ext>
      </extLst>
    </bk>
    <bk>
      <extLst>
        <ext uri="{3e2802c4-a4d2-4d8b-9148-e3be6c30e623}">
          <xlrd:rvb i="9246"/>
        </ext>
      </extLst>
    </bk>
    <bk>
      <extLst>
        <ext uri="{3e2802c4-a4d2-4d8b-9148-e3be6c30e623}">
          <xlrd:rvb i="9247"/>
        </ext>
      </extLst>
    </bk>
    <bk>
      <extLst>
        <ext uri="{3e2802c4-a4d2-4d8b-9148-e3be6c30e623}">
          <xlrd:rvb i="9248"/>
        </ext>
      </extLst>
    </bk>
    <bk>
      <extLst>
        <ext uri="{3e2802c4-a4d2-4d8b-9148-e3be6c30e623}">
          <xlrd:rvb i="9249"/>
        </ext>
      </extLst>
    </bk>
    <bk>
      <extLst>
        <ext uri="{3e2802c4-a4d2-4d8b-9148-e3be6c30e623}">
          <xlrd:rvb i="9250"/>
        </ext>
      </extLst>
    </bk>
    <bk>
      <extLst>
        <ext uri="{3e2802c4-a4d2-4d8b-9148-e3be6c30e623}">
          <xlrd:rvb i="9251"/>
        </ext>
      </extLst>
    </bk>
    <bk>
      <extLst>
        <ext uri="{3e2802c4-a4d2-4d8b-9148-e3be6c30e623}">
          <xlrd:rvb i="9252"/>
        </ext>
      </extLst>
    </bk>
    <bk>
      <extLst>
        <ext uri="{3e2802c4-a4d2-4d8b-9148-e3be6c30e623}">
          <xlrd:rvb i="9253"/>
        </ext>
      </extLst>
    </bk>
    <bk>
      <extLst>
        <ext uri="{3e2802c4-a4d2-4d8b-9148-e3be6c30e623}">
          <xlrd:rvb i="9254"/>
        </ext>
      </extLst>
    </bk>
    <bk>
      <extLst>
        <ext uri="{3e2802c4-a4d2-4d8b-9148-e3be6c30e623}">
          <xlrd:rvb i="9255"/>
        </ext>
      </extLst>
    </bk>
    <bk>
      <extLst>
        <ext uri="{3e2802c4-a4d2-4d8b-9148-e3be6c30e623}">
          <xlrd:rvb i="9256"/>
        </ext>
      </extLst>
    </bk>
    <bk>
      <extLst>
        <ext uri="{3e2802c4-a4d2-4d8b-9148-e3be6c30e623}">
          <xlrd:rvb i="9257"/>
        </ext>
      </extLst>
    </bk>
    <bk>
      <extLst>
        <ext uri="{3e2802c4-a4d2-4d8b-9148-e3be6c30e623}">
          <xlrd:rvb i="9258"/>
        </ext>
      </extLst>
    </bk>
    <bk>
      <extLst>
        <ext uri="{3e2802c4-a4d2-4d8b-9148-e3be6c30e623}">
          <xlrd:rvb i="9259"/>
        </ext>
      </extLst>
    </bk>
    <bk>
      <extLst>
        <ext uri="{3e2802c4-a4d2-4d8b-9148-e3be6c30e623}">
          <xlrd:rvb i="9260"/>
        </ext>
      </extLst>
    </bk>
    <bk>
      <extLst>
        <ext uri="{3e2802c4-a4d2-4d8b-9148-e3be6c30e623}">
          <xlrd:rvb i="9261"/>
        </ext>
      </extLst>
    </bk>
    <bk>
      <extLst>
        <ext uri="{3e2802c4-a4d2-4d8b-9148-e3be6c30e623}">
          <xlrd:rvb i="9262"/>
        </ext>
      </extLst>
    </bk>
    <bk>
      <extLst>
        <ext uri="{3e2802c4-a4d2-4d8b-9148-e3be6c30e623}">
          <xlrd:rvb i="9263"/>
        </ext>
      </extLst>
    </bk>
    <bk>
      <extLst>
        <ext uri="{3e2802c4-a4d2-4d8b-9148-e3be6c30e623}">
          <xlrd:rvb i="9264"/>
        </ext>
      </extLst>
    </bk>
    <bk>
      <extLst>
        <ext uri="{3e2802c4-a4d2-4d8b-9148-e3be6c30e623}">
          <xlrd:rvb i="9265"/>
        </ext>
      </extLst>
    </bk>
    <bk>
      <extLst>
        <ext uri="{3e2802c4-a4d2-4d8b-9148-e3be6c30e623}">
          <xlrd:rvb i="9266"/>
        </ext>
      </extLst>
    </bk>
    <bk>
      <extLst>
        <ext uri="{3e2802c4-a4d2-4d8b-9148-e3be6c30e623}">
          <xlrd:rvb i="9267"/>
        </ext>
      </extLst>
    </bk>
    <bk>
      <extLst>
        <ext uri="{3e2802c4-a4d2-4d8b-9148-e3be6c30e623}">
          <xlrd:rvb i="9268"/>
        </ext>
      </extLst>
    </bk>
    <bk>
      <extLst>
        <ext uri="{3e2802c4-a4d2-4d8b-9148-e3be6c30e623}">
          <xlrd:rvb i="9269"/>
        </ext>
      </extLst>
    </bk>
    <bk>
      <extLst>
        <ext uri="{3e2802c4-a4d2-4d8b-9148-e3be6c30e623}">
          <xlrd:rvb i="9270"/>
        </ext>
      </extLst>
    </bk>
    <bk>
      <extLst>
        <ext uri="{3e2802c4-a4d2-4d8b-9148-e3be6c30e623}">
          <xlrd:rvb i="9271"/>
        </ext>
      </extLst>
    </bk>
    <bk>
      <extLst>
        <ext uri="{3e2802c4-a4d2-4d8b-9148-e3be6c30e623}">
          <xlrd:rvb i="9272"/>
        </ext>
      </extLst>
    </bk>
    <bk>
      <extLst>
        <ext uri="{3e2802c4-a4d2-4d8b-9148-e3be6c30e623}">
          <xlrd:rvb i="9273"/>
        </ext>
      </extLst>
    </bk>
    <bk>
      <extLst>
        <ext uri="{3e2802c4-a4d2-4d8b-9148-e3be6c30e623}">
          <xlrd:rvb i="9274"/>
        </ext>
      </extLst>
    </bk>
    <bk>
      <extLst>
        <ext uri="{3e2802c4-a4d2-4d8b-9148-e3be6c30e623}">
          <xlrd:rvb i="9275"/>
        </ext>
      </extLst>
    </bk>
    <bk>
      <extLst>
        <ext uri="{3e2802c4-a4d2-4d8b-9148-e3be6c30e623}">
          <xlrd:rvb i="9276"/>
        </ext>
      </extLst>
    </bk>
    <bk>
      <extLst>
        <ext uri="{3e2802c4-a4d2-4d8b-9148-e3be6c30e623}">
          <xlrd:rvb i="9277"/>
        </ext>
      </extLst>
    </bk>
    <bk>
      <extLst>
        <ext uri="{3e2802c4-a4d2-4d8b-9148-e3be6c30e623}">
          <xlrd:rvb i="9278"/>
        </ext>
      </extLst>
    </bk>
    <bk>
      <extLst>
        <ext uri="{3e2802c4-a4d2-4d8b-9148-e3be6c30e623}">
          <xlrd:rvb i="9279"/>
        </ext>
      </extLst>
    </bk>
    <bk>
      <extLst>
        <ext uri="{3e2802c4-a4d2-4d8b-9148-e3be6c30e623}">
          <xlrd:rvb i="9280"/>
        </ext>
      </extLst>
    </bk>
    <bk>
      <extLst>
        <ext uri="{3e2802c4-a4d2-4d8b-9148-e3be6c30e623}">
          <xlrd:rvb i="9281"/>
        </ext>
      </extLst>
    </bk>
    <bk>
      <extLst>
        <ext uri="{3e2802c4-a4d2-4d8b-9148-e3be6c30e623}">
          <xlrd:rvb i="9282"/>
        </ext>
      </extLst>
    </bk>
    <bk>
      <extLst>
        <ext uri="{3e2802c4-a4d2-4d8b-9148-e3be6c30e623}">
          <xlrd:rvb i="9283"/>
        </ext>
      </extLst>
    </bk>
    <bk>
      <extLst>
        <ext uri="{3e2802c4-a4d2-4d8b-9148-e3be6c30e623}">
          <xlrd:rvb i="9284"/>
        </ext>
      </extLst>
    </bk>
    <bk>
      <extLst>
        <ext uri="{3e2802c4-a4d2-4d8b-9148-e3be6c30e623}">
          <xlrd:rvb i="9285"/>
        </ext>
      </extLst>
    </bk>
    <bk>
      <extLst>
        <ext uri="{3e2802c4-a4d2-4d8b-9148-e3be6c30e623}">
          <xlrd:rvb i="9286"/>
        </ext>
      </extLst>
    </bk>
    <bk>
      <extLst>
        <ext uri="{3e2802c4-a4d2-4d8b-9148-e3be6c30e623}">
          <xlrd:rvb i="9287"/>
        </ext>
      </extLst>
    </bk>
    <bk>
      <extLst>
        <ext uri="{3e2802c4-a4d2-4d8b-9148-e3be6c30e623}">
          <xlrd:rvb i="9288"/>
        </ext>
      </extLst>
    </bk>
    <bk>
      <extLst>
        <ext uri="{3e2802c4-a4d2-4d8b-9148-e3be6c30e623}">
          <xlrd:rvb i="9289"/>
        </ext>
      </extLst>
    </bk>
    <bk>
      <extLst>
        <ext uri="{3e2802c4-a4d2-4d8b-9148-e3be6c30e623}">
          <xlrd:rvb i="9290"/>
        </ext>
      </extLst>
    </bk>
    <bk>
      <extLst>
        <ext uri="{3e2802c4-a4d2-4d8b-9148-e3be6c30e623}">
          <xlrd:rvb i="9291"/>
        </ext>
      </extLst>
    </bk>
    <bk>
      <extLst>
        <ext uri="{3e2802c4-a4d2-4d8b-9148-e3be6c30e623}">
          <xlrd:rvb i="9292"/>
        </ext>
      </extLst>
    </bk>
    <bk>
      <extLst>
        <ext uri="{3e2802c4-a4d2-4d8b-9148-e3be6c30e623}">
          <xlrd:rvb i="9293"/>
        </ext>
      </extLst>
    </bk>
    <bk>
      <extLst>
        <ext uri="{3e2802c4-a4d2-4d8b-9148-e3be6c30e623}">
          <xlrd:rvb i="9294"/>
        </ext>
      </extLst>
    </bk>
    <bk>
      <extLst>
        <ext uri="{3e2802c4-a4d2-4d8b-9148-e3be6c30e623}">
          <xlrd:rvb i="9295"/>
        </ext>
      </extLst>
    </bk>
    <bk>
      <extLst>
        <ext uri="{3e2802c4-a4d2-4d8b-9148-e3be6c30e623}">
          <xlrd:rvb i="9296"/>
        </ext>
      </extLst>
    </bk>
    <bk>
      <extLst>
        <ext uri="{3e2802c4-a4d2-4d8b-9148-e3be6c30e623}">
          <xlrd:rvb i="9297"/>
        </ext>
      </extLst>
    </bk>
    <bk>
      <extLst>
        <ext uri="{3e2802c4-a4d2-4d8b-9148-e3be6c30e623}">
          <xlrd:rvb i="9298"/>
        </ext>
      </extLst>
    </bk>
    <bk>
      <extLst>
        <ext uri="{3e2802c4-a4d2-4d8b-9148-e3be6c30e623}">
          <xlrd:rvb i="9299"/>
        </ext>
      </extLst>
    </bk>
    <bk>
      <extLst>
        <ext uri="{3e2802c4-a4d2-4d8b-9148-e3be6c30e623}">
          <xlrd:rvb i="9300"/>
        </ext>
      </extLst>
    </bk>
    <bk>
      <extLst>
        <ext uri="{3e2802c4-a4d2-4d8b-9148-e3be6c30e623}">
          <xlrd:rvb i="9301"/>
        </ext>
      </extLst>
    </bk>
    <bk>
      <extLst>
        <ext uri="{3e2802c4-a4d2-4d8b-9148-e3be6c30e623}">
          <xlrd:rvb i="9302"/>
        </ext>
      </extLst>
    </bk>
    <bk>
      <extLst>
        <ext uri="{3e2802c4-a4d2-4d8b-9148-e3be6c30e623}">
          <xlrd:rvb i="9303"/>
        </ext>
      </extLst>
    </bk>
    <bk>
      <extLst>
        <ext uri="{3e2802c4-a4d2-4d8b-9148-e3be6c30e623}">
          <xlrd:rvb i="9304"/>
        </ext>
      </extLst>
    </bk>
    <bk>
      <extLst>
        <ext uri="{3e2802c4-a4d2-4d8b-9148-e3be6c30e623}">
          <xlrd:rvb i="9305"/>
        </ext>
      </extLst>
    </bk>
    <bk>
      <extLst>
        <ext uri="{3e2802c4-a4d2-4d8b-9148-e3be6c30e623}">
          <xlrd:rvb i="9306"/>
        </ext>
      </extLst>
    </bk>
    <bk>
      <extLst>
        <ext uri="{3e2802c4-a4d2-4d8b-9148-e3be6c30e623}">
          <xlrd:rvb i="9307"/>
        </ext>
      </extLst>
    </bk>
    <bk>
      <extLst>
        <ext uri="{3e2802c4-a4d2-4d8b-9148-e3be6c30e623}">
          <xlrd:rvb i="9308"/>
        </ext>
      </extLst>
    </bk>
    <bk>
      <extLst>
        <ext uri="{3e2802c4-a4d2-4d8b-9148-e3be6c30e623}">
          <xlrd:rvb i="9309"/>
        </ext>
      </extLst>
    </bk>
    <bk>
      <extLst>
        <ext uri="{3e2802c4-a4d2-4d8b-9148-e3be6c30e623}">
          <xlrd:rvb i="9310"/>
        </ext>
      </extLst>
    </bk>
    <bk>
      <extLst>
        <ext uri="{3e2802c4-a4d2-4d8b-9148-e3be6c30e623}">
          <xlrd:rvb i="9311"/>
        </ext>
      </extLst>
    </bk>
    <bk>
      <extLst>
        <ext uri="{3e2802c4-a4d2-4d8b-9148-e3be6c30e623}">
          <xlrd:rvb i="9312"/>
        </ext>
      </extLst>
    </bk>
    <bk>
      <extLst>
        <ext uri="{3e2802c4-a4d2-4d8b-9148-e3be6c30e623}">
          <xlrd:rvb i="9313"/>
        </ext>
      </extLst>
    </bk>
    <bk>
      <extLst>
        <ext uri="{3e2802c4-a4d2-4d8b-9148-e3be6c30e623}">
          <xlrd:rvb i="9314"/>
        </ext>
      </extLst>
    </bk>
    <bk>
      <extLst>
        <ext uri="{3e2802c4-a4d2-4d8b-9148-e3be6c30e623}">
          <xlrd:rvb i="9315"/>
        </ext>
      </extLst>
    </bk>
    <bk>
      <extLst>
        <ext uri="{3e2802c4-a4d2-4d8b-9148-e3be6c30e623}">
          <xlrd:rvb i="9316"/>
        </ext>
      </extLst>
    </bk>
    <bk>
      <extLst>
        <ext uri="{3e2802c4-a4d2-4d8b-9148-e3be6c30e623}">
          <xlrd:rvb i="9317"/>
        </ext>
      </extLst>
    </bk>
    <bk>
      <extLst>
        <ext uri="{3e2802c4-a4d2-4d8b-9148-e3be6c30e623}">
          <xlrd:rvb i="9318"/>
        </ext>
      </extLst>
    </bk>
    <bk>
      <extLst>
        <ext uri="{3e2802c4-a4d2-4d8b-9148-e3be6c30e623}">
          <xlrd:rvb i="9319"/>
        </ext>
      </extLst>
    </bk>
    <bk>
      <extLst>
        <ext uri="{3e2802c4-a4d2-4d8b-9148-e3be6c30e623}">
          <xlrd:rvb i="9320"/>
        </ext>
      </extLst>
    </bk>
    <bk>
      <extLst>
        <ext uri="{3e2802c4-a4d2-4d8b-9148-e3be6c30e623}">
          <xlrd:rvb i="9321"/>
        </ext>
      </extLst>
    </bk>
    <bk>
      <extLst>
        <ext uri="{3e2802c4-a4d2-4d8b-9148-e3be6c30e623}">
          <xlrd:rvb i="9322"/>
        </ext>
      </extLst>
    </bk>
    <bk>
      <extLst>
        <ext uri="{3e2802c4-a4d2-4d8b-9148-e3be6c30e623}">
          <xlrd:rvb i="9323"/>
        </ext>
      </extLst>
    </bk>
    <bk>
      <extLst>
        <ext uri="{3e2802c4-a4d2-4d8b-9148-e3be6c30e623}">
          <xlrd:rvb i="9324"/>
        </ext>
      </extLst>
    </bk>
    <bk>
      <extLst>
        <ext uri="{3e2802c4-a4d2-4d8b-9148-e3be6c30e623}">
          <xlrd:rvb i="9325"/>
        </ext>
      </extLst>
    </bk>
    <bk>
      <extLst>
        <ext uri="{3e2802c4-a4d2-4d8b-9148-e3be6c30e623}">
          <xlrd:rvb i="9326"/>
        </ext>
      </extLst>
    </bk>
    <bk>
      <extLst>
        <ext uri="{3e2802c4-a4d2-4d8b-9148-e3be6c30e623}">
          <xlrd:rvb i="9327"/>
        </ext>
      </extLst>
    </bk>
    <bk>
      <extLst>
        <ext uri="{3e2802c4-a4d2-4d8b-9148-e3be6c30e623}">
          <xlrd:rvb i="9328"/>
        </ext>
      </extLst>
    </bk>
    <bk>
      <extLst>
        <ext uri="{3e2802c4-a4d2-4d8b-9148-e3be6c30e623}">
          <xlrd:rvb i="9329"/>
        </ext>
      </extLst>
    </bk>
    <bk>
      <extLst>
        <ext uri="{3e2802c4-a4d2-4d8b-9148-e3be6c30e623}">
          <xlrd:rvb i="9330"/>
        </ext>
      </extLst>
    </bk>
    <bk>
      <extLst>
        <ext uri="{3e2802c4-a4d2-4d8b-9148-e3be6c30e623}">
          <xlrd:rvb i="9331"/>
        </ext>
      </extLst>
    </bk>
    <bk>
      <extLst>
        <ext uri="{3e2802c4-a4d2-4d8b-9148-e3be6c30e623}">
          <xlrd:rvb i="9332"/>
        </ext>
      </extLst>
    </bk>
    <bk>
      <extLst>
        <ext uri="{3e2802c4-a4d2-4d8b-9148-e3be6c30e623}">
          <xlrd:rvb i="9333"/>
        </ext>
      </extLst>
    </bk>
    <bk>
      <extLst>
        <ext uri="{3e2802c4-a4d2-4d8b-9148-e3be6c30e623}">
          <xlrd:rvb i="9334"/>
        </ext>
      </extLst>
    </bk>
    <bk>
      <extLst>
        <ext uri="{3e2802c4-a4d2-4d8b-9148-e3be6c30e623}">
          <xlrd:rvb i="9335"/>
        </ext>
      </extLst>
    </bk>
    <bk>
      <extLst>
        <ext uri="{3e2802c4-a4d2-4d8b-9148-e3be6c30e623}">
          <xlrd:rvb i="9336"/>
        </ext>
      </extLst>
    </bk>
    <bk>
      <extLst>
        <ext uri="{3e2802c4-a4d2-4d8b-9148-e3be6c30e623}">
          <xlrd:rvb i="9337"/>
        </ext>
      </extLst>
    </bk>
    <bk>
      <extLst>
        <ext uri="{3e2802c4-a4d2-4d8b-9148-e3be6c30e623}">
          <xlrd:rvb i="9338"/>
        </ext>
      </extLst>
    </bk>
    <bk>
      <extLst>
        <ext uri="{3e2802c4-a4d2-4d8b-9148-e3be6c30e623}">
          <xlrd:rvb i="9339"/>
        </ext>
      </extLst>
    </bk>
    <bk>
      <extLst>
        <ext uri="{3e2802c4-a4d2-4d8b-9148-e3be6c30e623}">
          <xlrd:rvb i="9340"/>
        </ext>
      </extLst>
    </bk>
    <bk>
      <extLst>
        <ext uri="{3e2802c4-a4d2-4d8b-9148-e3be6c30e623}">
          <xlrd:rvb i="9341"/>
        </ext>
      </extLst>
    </bk>
    <bk>
      <extLst>
        <ext uri="{3e2802c4-a4d2-4d8b-9148-e3be6c30e623}">
          <xlrd:rvb i="9342"/>
        </ext>
      </extLst>
    </bk>
    <bk>
      <extLst>
        <ext uri="{3e2802c4-a4d2-4d8b-9148-e3be6c30e623}">
          <xlrd:rvb i="9343"/>
        </ext>
      </extLst>
    </bk>
    <bk>
      <extLst>
        <ext uri="{3e2802c4-a4d2-4d8b-9148-e3be6c30e623}">
          <xlrd:rvb i="9344"/>
        </ext>
      </extLst>
    </bk>
    <bk>
      <extLst>
        <ext uri="{3e2802c4-a4d2-4d8b-9148-e3be6c30e623}">
          <xlrd:rvb i="9345"/>
        </ext>
      </extLst>
    </bk>
    <bk>
      <extLst>
        <ext uri="{3e2802c4-a4d2-4d8b-9148-e3be6c30e623}">
          <xlrd:rvb i="9346"/>
        </ext>
      </extLst>
    </bk>
    <bk>
      <extLst>
        <ext uri="{3e2802c4-a4d2-4d8b-9148-e3be6c30e623}">
          <xlrd:rvb i="9347"/>
        </ext>
      </extLst>
    </bk>
    <bk>
      <extLst>
        <ext uri="{3e2802c4-a4d2-4d8b-9148-e3be6c30e623}">
          <xlrd:rvb i="9348"/>
        </ext>
      </extLst>
    </bk>
    <bk>
      <extLst>
        <ext uri="{3e2802c4-a4d2-4d8b-9148-e3be6c30e623}">
          <xlrd:rvb i="9349"/>
        </ext>
      </extLst>
    </bk>
    <bk>
      <extLst>
        <ext uri="{3e2802c4-a4d2-4d8b-9148-e3be6c30e623}">
          <xlrd:rvb i="9350"/>
        </ext>
      </extLst>
    </bk>
    <bk>
      <extLst>
        <ext uri="{3e2802c4-a4d2-4d8b-9148-e3be6c30e623}">
          <xlrd:rvb i="9351"/>
        </ext>
      </extLst>
    </bk>
    <bk>
      <extLst>
        <ext uri="{3e2802c4-a4d2-4d8b-9148-e3be6c30e623}">
          <xlrd:rvb i="9352"/>
        </ext>
      </extLst>
    </bk>
    <bk>
      <extLst>
        <ext uri="{3e2802c4-a4d2-4d8b-9148-e3be6c30e623}">
          <xlrd:rvb i="9353"/>
        </ext>
      </extLst>
    </bk>
    <bk>
      <extLst>
        <ext uri="{3e2802c4-a4d2-4d8b-9148-e3be6c30e623}">
          <xlrd:rvb i="9354"/>
        </ext>
      </extLst>
    </bk>
    <bk>
      <extLst>
        <ext uri="{3e2802c4-a4d2-4d8b-9148-e3be6c30e623}">
          <xlrd:rvb i="9355"/>
        </ext>
      </extLst>
    </bk>
    <bk>
      <extLst>
        <ext uri="{3e2802c4-a4d2-4d8b-9148-e3be6c30e623}">
          <xlrd:rvb i="9356"/>
        </ext>
      </extLst>
    </bk>
    <bk>
      <extLst>
        <ext uri="{3e2802c4-a4d2-4d8b-9148-e3be6c30e623}">
          <xlrd:rvb i="9357"/>
        </ext>
      </extLst>
    </bk>
    <bk>
      <extLst>
        <ext uri="{3e2802c4-a4d2-4d8b-9148-e3be6c30e623}">
          <xlrd:rvb i="9358"/>
        </ext>
      </extLst>
    </bk>
    <bk>
      <extLst>
        <ext uri="{3e2802c4-a4d2-4d8b-9148-e3be6c30e623}">
          <xlrd:rvb i="9359"/>
        </ext>
      </extLst>
    </bk>
    <bk>
      <extLst>
        <ext uri="{3e2802c4-a4d2-4d8b-9148-e3be6c30e623}">
          <xlrd:rvb i="9360"/>
        </ext>
      </extLst>
    </bk>
    <bk>
      <extLst>
        <ext uri="{3e2802c4-a4d2-4d8b-9148-e3be6c30e623}">
          <xlrd:rvb i="9361"/>
        </ext>
      </extLst>
    </bk>
    <bk>
      <extLst>
        <ext uri="{3e2802c4-a4d2-4d8b-9148-e3be6c30e623}">
          <xlrd:rvb i="9362"/>
        </ext>
      </extLst>
    </bk>
    <bk>
      <extLst>
        <ext uri="{3e2802c4-a4d2-4d8b-9148-e3be6c30e623}">
          <xlrd:rvb i="9363"/>
        </ext>
      </extLst>
    </bk>
    <bk>
      <extLst>
        <ext uri="{3e2802c4-a4d2-4d8b-9148-e3be6c30e623}">
          <xlrd:rvb i="9364"/>
        </ext>
      </extLst>
    </bk>
    <bk>
      <extLst>
        <ext uri="{3e2802c4-a4d2-4d8b-9148-e3be6c30e623}">
          <xlrd:rvb i="9365"/>
        </ext>
      </extLst>
    </bk>
    <bk>
      <extLst>
        <ext uri="{3e2802c4-a4d2-4d8b-9148-e3be6c30e623}">
          <xlrd:rvb i="9366"/>
        </ext>
      </extLst>
    </bk>
    <bk>
      <extLst>
        <ext uri="{3e2802c4-a4d2-4d8b-9148-e3be6c30e623}">
          <xlrd:rvb i="9367"/>
        </ext>
      </extLst>
    </bk>
    <bk>
      <extLst>
        <ext uri="{3e2802c4-a4d2-4d8b-9148-e3be6c30e623}">
          <xlrd:rvb i="9368"/>
        </ext>
      </extLst>
    </bk>
    <bk>
      <extLst>
        <ext uri="{3e2802c4-a4d2-4d8b-9148-e3be6c30e623}">
          <xlrd:rvb i="9369"/>
        </ext>
      </extLst>
    </bk>
    <bk>
      <extLst>
        <ext uri="{3e2802c4-a4d2-4d8b-9148-e3be6c30e623}">
          <xlrd:rvb i="9370"/>
        </ext>
      </extLst>
    </bk>
    <bk>
      <extLst>
        <ext uri="{3e2802c4-a4d2-4d8b-9148-e3be6c30e623}">
          <xlrd:rvb i="9371"/>
        </ext>
      </extLst>
    </bk>
    <bk>
      <extLst>
        <ext uri="{3e2802c4-a4d2-4d8b-9148-e3be6c30e623}">
          <xlrd:rvb i="9372"/>
        </ext>
      </extLst>
    </bk>
    <bk>
      <extLst>
        <ext uri="{3e2802c4-a4d2-4d8b-9148-e3be6c30e623}">
          <xlrd:rvb i="9373"/>
        </ext>
      </extLst>
    </bk>
    <bk>
      <extLst>
        <ext uri="{3e2802c4-a4d2-4d8b-9148-e3be6c30e623}">
          <xlrd:rvb i="9374"/>
        </ext>
      </extLst>
    </bk>
    <bk>
      <extLst>
        <ext uri="{3e2802c4-a4d2-4d8b-9148-e3be6c30e623}">
          <xlrd:rvb i="9375"/>
        </ext>
      </extLst>
    </bk>
    <bk>
      <extLst>
        <ext uri="{3e2802c4-a4d2-4d8b-9148-e3be6c30e623}">
          <xlrd:rvb i="9376"/>
        </ext>
      </extLst>
    </bk>
    <bk>
      <extLst>
        <ext uri="{3e2802c4-a4d2-4d8b-9148-e3be6c30e623}">
          <xlrd:rvb i="9377"/>
        </ext>
      </extLst>
    </bk>
    <bk>
      <extLst>
        <ext uri="{3e2802c4-a4d2-4d8b-9148-e3be6c30e623}">
          <xlrd:rvb i="9378"/>
        </ext>
      </extLst>
    </bk>
    <bk>
      <extLst>
        <ext uri="{3e2802c4-a4d2-4d8b-9148-e3be6c30e623}">
          <xlrd:rvb i="9379"/>
        </ext>
      </extLst>
    </bk>
    <bk>
      <extLst>
        <ext uri="{3e2802c4-a4d2-4d8b-9148-e3be6c30e623}">
          <xlrd:rvb i="9380"/>
        </ext>
      </extLst>
    </bk>
    <bk>
      <extLst>
        <ext uri="{3e2802c4-a4d2-4d8b-9148-e3be6c30e623}">
          <xlrd:rvb i="9381"/>
        </ext>
      </extLst>
    </bk>
    <bk>
      <extLst>
        <ext uri="{3e2802c4-a4d2-4d8b-9148-e3be6c30e623}">
          <xlrd:rvb i="9382"/>
        </ext>
      </extLst>
    </bk>
    <bk>
      <extLst>
        <ext uri="{3e2802c4-a4d2-4d8b-9148-e3be6c30e623}">
          <xlrd:rvb i="9383"/>
        </ext>
      </extLst>
    </bk>
    <bk>
      <extLst>
        <ext uri="{3e2802c4-a4d2-4d8b-9148-e3be6c30e623}">
          <xlrd:rvb i="9384"/>
        </ext>
      </extLst>
    </bk>
    <bk>
      <extLst>
        <ext uri="{3e2802c4-a4d2-4d8b-9148-e3be6c30e623}">
          <xlrd:rvb i="9385"/>
        </ext>
      </extLst>
    </bk>
    <bk>
      <extLst>
        <ext uri="{3e2802c4-a4d2-4d8b-9148-e3be6c30e623}">
          <xlrd:rvb i="9386"/>
        </ext>
      </extLst>
    </bk>
    <bk>
      <extLst>
        <ext uri="{3e2802c4-a4d2-4d8b-9148-e3be6c30e623}">
          <xlrd:rvb i="9387"/>
        </ext>
      </extLst>
    </bk>
    <bk>
      <extLst>
        <ext uri="{3e2802c4-a4d2-4d8b-9148-e3be6c30e623}">
          <xlrd:rvb i="9388"/>
        </ext>
      </extLst>
    </bk>
    <bk>
      <extLst>
        <ext uri="{3e2802c4-a4d2-4d8b-9148-e3be6c30e623}">
          <xlrd:rvb i="9389"/>
        </ext>
      </extLst>
    </bk>
    <bk>
      <extLst>
        <ext uri="{3e2802c4-a4d2-4d8b-9148-e3be6c30e623}">
          <xlrd:rvb i="9390"/>
        </ext>
      </extLst>
    </bk>
    <bk>
      <extLst>
        <ext uri="{3e2802c4-a4d2-4d8b-9148-e3be6c30e623}">
          <xlrd:rvb i="9391"/>
        </ext>
      </extLst>
    </bk>
    <bk>
      <extLst>
        <ext uri="{3e2802c4-a4d2-4d8b-9148-e3be6c30e623}">
          <xlrd:rvb i="9392"/>
        </ext>
      </extLst>
    </bk>
    <bk>
      <extLst>
        <ext uri="{3e2802c4-a4d2-4d8b-9148-e3be6c30e623}">
          <xlrd:rvb i="9393"/>
        </ext>
      </extLst>
    </bk>
    <bk>
      <extLst>
        <ext uri="{3e2802c4-a4d2-4d8b-9148-e3be6c30e623}">
          <xlrd:rvb i="9394"/>
        </ext>
      </extLst>
    </bk>
    <bk>
      <extLst>
        <ext uri="{3e2802c4-a4d2-4d8b-9148-e3be6c30e623}">
          <xlrd:rvb i="9395"/>
        </ext>
      </extLst>
    </bk>
    <bk>
      <extLst>
        <ext uri="{3e2802c4-a4d2-4d8b-9148-e3be6c30e623}">
          <xlrd:rvb i="9396"/>
        </ext>
      </extLst>
    </bk>
    <bk>
      <extLst>
        <ext uri="{3e2802c4-a4d2-4d8b-9148-e3be6c30e623}">
          <xlrd:rvb i="9397"/>
        </ext>
      </extLst>
    </bk>
    <bk>
      <extLst>
        <ext uri="{3e2802c4-a4d2-4d8b-9148-e3be6c30e623}">
          <xlrd:rvb i="9398"/>
        </ext>
      </extLst>
    </bk>
    <bk>
      <extLst>
        <ext uri="{3e2802c4-a4d2-4d8b-9148-e3be6c30e623}">
          <xlrd:rvb i="9399"/>
        </ext>
      </extLst>
    </bk>
    <bk>
      <extLst>
        <ext uri="{3e2802c4-a4d2-4d8b-9148-e3be6c30e623}">
          <xlrd:rvb i="9400"/>
        </ext>
      </extLst>
    </bk>
    <bk>
      <extLst>
        <ext uri="{3e2802c4-a4d2-4d8b-9148-e3be6c30e623}">
          <xlrd:rvb i="9401"/>
        </ext>
      </extLst>
    </bk>
    <bk>
      <extLst>
        <ext uri="{3e2802c4-a4d2-4d8b-9148-e3be6c30e623}">
          <xlrd:rvb i="9402"/>
        </ext>
      </extLst>
    </bk>
    <bk>
      <extLst>
        <ext uri="{3e2802c4-a4d2-4d8b-9148-e3be6c30e623}">
          <xlrd:rvb i="9403"/>
        </ext>
      </extLst>
    </bk>
    <bk>
      <extLst>
        <ext uri="{3e2802c4-a4d2-4d8b-9148-e3be6c30e623}">
          <xlrd:rvb i="9404"/>
        </ext>
      </extLst>
    </bk>
    <bk>
      <extLst>
        <ext uri="{3e2802c4-a4d2-4d8b-9148-e3be6c30e623}">
          <xlrd:rvb i="9405"/>
        </ext>
      </extLst>
    </bk>
    <bk>
      <extLst>
        <ext uri="{3e2802c4-a4d2-4d8b-9148-e3be6c30e623}">
          <xlrd:rvb i="9406"/>
        </ext>
      </extLst>
    </bk>
    <bk>
      <extLst>
        <ext uri="{3e2802c4-a4d2-4d8b-9148-e3be6c30e623}">
          <xlrd:rvb i="9407"/>
        </ext>
      </extLst>
    </bk>
    <bk>
      <extLst>
        <ext uri="{3e2802c4-a4d2-4d8b-9148-e3be6c30e623}">
          <xlrd:rvb i="9408"/>
        </ext>
      </extLst>
    </bk>
    <bk>
      <extLst>
        <ext uri="{3e2802c4-a4d2-4d8b-9148-e3be6c30e623}">
          <xlrd:rvb i="9409"/>
        </ext>
      </extLst>
    </bk>
    <bk>
      <extLst>
        <ext uri="{3e2802c4-a4d2-4d8b-9148-e3be6c30e623}">
          <xlrd:rvb i="9410"/>
        </ext>
      </extLst>
    </bk>
    <bk>
      <extLst>
        <ext uri="{3e2802c4-a4d2-4d8b-9148-e3be6c30e623}">
          <xlrd:rvb i="9411"/>
        </ext>
      </extLst>
    </bk>
    <bk>
      <extLst>
        <ext uri="{3e2802c4-a4d2-4d8b-9148-e3be6c30e623}">
          <xlrd:rvb i="9412"/>
        </ext>
      </extLst>
    </bk>
    <bk>
      <extLst>
        <ext uri="{3e2802c4-a4d2-4d8b-9148-e3be6c30e623}">
          <xlrd:rvb i="9413"/>
        </ext>
      </extLst>
    </bk>
    <bk>
      <extLst>
        <ext uri="{3e2802c4-a4d2-4d8b-9148-e3be6c30e623}">
          <xlrd:rvb i="9414"/>
        </ext>
      </extLst>
    </bk>
    <bk>
      <extLst>
        <ext uri="{3e2802c4-a4d2-4d8b-9148-e3be6c30e623}">
          <xlrd:rvb i="9415"/>
        </ext>
      </extLst>
    </bk>
    <bk>
      <extLst>
        <ext uri="{3e2802c4-a4d2-4d8b-9148-e3be6c30e623}">
          <xlrd:rvb i="9416"/>
        </ext>
      </extLst>
    </bk>
    <bk>
      <extLst>
        <ext uri="{3e2802c4-a4d2-4d8b-9148-e3be6c30e623}">
          <xlrd:rvb i="9417"/>
        </ext>
      </extLst>
    </bk>
    <bk>
      <extLst>
        <ext uri="{3e2802c4-a4d2-4d8b-9148-e3be6c30e623}">
          <xlrd:rvb i="9418"/>
        </ext>
      </extLst>
    </bk>
    <bk>
      <extLst>
        <ext uri="{3e2802c4-a4d2-4d8b-9148-e3be6c30e623}">
          <xlrd:rvb i="9419"/>
        </ext>
      </extLst>
    </bk>
    <bk>
      <extLst>
        <ext uri="{3e2802c4-a4d2-4d8b-9148-e3be6c30e623}">
          <xlrd:rvb i="9420"/>
        </ext>
      </extLst>
    </bk>
    <bk>
      <extLst>
        <ext uri="{3e2802c4-a4d2-4d8b-9148-e3be6c30e623}">
          <xlrd:rvb i="9421"/>
        </ext>
      </extLst>
    </bk>
    <bk>
      <extLst>
        <ext uri="{3e2802c4-a4d2-4d8b-9148-e3be6c30e623}">
          <xlrd:rvb i="9422"/>
        </ext>
      </extLst>
    </bk>
    <bk>
      <extLst>
        <ext uri="{3e2802c4-a4d2-4d8b-9148-e3be6c30e623}">
          <xlrd:rvb i="9423"/>
        </ext>
      </extLst>
    </bk>
    <bk>
      <extLst>
        <ext uri="{3e2802c4-a4d2-4d8b-9148-e3be6c30e623}">
          <xlrd:rvb i="9424"/>
        </ext>
      </extLst>
    </bk>
    <bk>
      <extLst>
        <ext uri="{3e2802c4-a4d2-4d8b-9148-e3be6c30e623}">
          <xlrd:rvb i="9425"/>
        </ext>
      </extLst>
    </bk>
    <bk>
      <extLst>
        <ext uri="{3e2802c4-a4d2-4d8b-9148-e3be6c30e623}">
          <xlrd:rvb i="9426"/>
        </ext>
      </extLst>
    </bk>
    <bk>
      <extLst>
        <ext uri="{3e2802c4-a4d2-4d8b-9148-e3be6c30e623}">
          <xlrd:rvb i="9427"/>
        </ext>
      </extLst>
    </bk>
    <bk>
      <extLst>
        <ext uri="{3e2802c4-a4d2-4d8b-9148-e3be6c30e623}">
          <xlrd:rvb i="9428"/>
        </ext>
      </extLst>
    </bk>
    <bk>
      <extLst>
        <ext uri="{3e2802c4-a4d2-4d8b-9148-e3be6c30e623}">
          <xlrd:rvb i="9429"/>
        </ext>
      </extLst>
    </bk>
    <bk>
      <extLst>
        <ext uri="{3e2802c4-a4d2-4d8b-9148-e3be6c30e623}">
          <xlrd:rvb i="9430"/>
        </ext>
      </extLst>
    </bk>
    <bk>
      <extLst>
        <ext uri="{3e2802c4-a4d2-4d8b-9148-e3be6c30e623}">
          <xlrd:rvb i="9431"/>
        </ext>
      </extLst>
    </bk>
    <bk>
      <extLst>
        <ext uri="{3e2802c4-a4d2-4d8b-9148-e3be6c30e623}">
          <xlrd:rvb i="9432"/>
        </ext>
      </extLst>
    </bk>
    <bk>
      <extLst>
        <ext uri="{3e2802c4-a4d2-4d8b-9148-e3be6c30e623}">
          <xlrd:rvb i="9433"/>
        </ext>
      </extLst>
    </bk>
    <bk>
      <extLst>
        <ext uri="{3e2802c4-a4d2-4d8b-9148-e3be6c30e623}">
          <xlrd:rvb i="9434"/>
        </ext>
      </extLst>
    </bk>
    <bk>
      <extLst>
        <ext uri="{3e2802c4-a4d2-4d8b-9148-e3be6c30e623}">
          <xlrd:rvb i="9435"/>
        </ext>
      </extLst>
    </bk>
    <bk>
      <extLst>
        <ext uri="{3e2802c4-a4d2-4d8b-9148-e3be6c30e623}">
          <xlrd:rvb i="9436"/>
        </ext>
      </extLst>
    </bk>
    <bk>
      <extLst>
        <ext uri="{3e2802c4-a4d2-4d8b-9148-e3be6c30e623}">
          <xlrd:rvb i="9437"/>
        </ext>
      </extLst>
    </bk>
    <bk>
      <extLst>
        <ext uri="{3e2802c4-a4d2-4d8b-9148-e3be6c30e623}">
          <xlrd:rvb i="9438"/>
        </ext>
      </extLst>
    </bk>
    <bk>
      <extLst>
        <ext uri="{3e2802c4-a4d2-4d8b-9148-e3be6c30e623}">
          <xlrd:rvb i="9439"/>
        </ext>
      </extLst>
    </bk>
    <bk>
      <extLst>
        <ext uri="{3e2802c4-a4d2-4d8b-9148-e3be6c30e623}">
          <xlrd:rvb i="9440"/>
        </ext>
      </extLst>
    </bk>
    <bk>
      <extLst>
        <ext uri="{3e2802c4-a4d2-4d8b-9148-e3be6c30e623}">
          <xlrd:rvb i="9441"/>
        </ext>
      </extLst>
    </bk>
    <bk>
      <extLst>
        <ext uri="{3e2802c4-a4d2-4d8b-9148-e3be6c30e623}">
          <xlrd:rvb i="9442"/>
        </ext>
      </extLst>
    </bk>
    <bk>
      <extLst>
        <ext uri="{3e2802c4-a4d2-4d8b-9148-e3be6c30e623}">
          <xlrd:rvb i="9443"/>
        </ext>
      </extLst>
    </bk>
    <bk>
      <extLst>
        <ext uri="{3e2802c4-a4d2-4d8b-9148-e3be6c30e623}">
          <xlrd:rvb i="9444"/>
        </ext>
      </extLst>
    </bk>
    <bk>
      <extLst>
        <ext uri="{3e2802c4-a4d2-4d8b-9148-e3be6c30e623}">
          <xlrd:rvb i="9445"/>
        </ext>
      </extLst>
    </bk>
    <bk>
      <extLst>
        <ext uri="{3e2802c4-a4d2-4d8b-9148-e3be6c30e623}">
          <xlrd:rvb i="9446"/>
        </ext>
      </extLst>
    </bk>
    <bk>
      <extLst>
        <ext uri="{3e2802c4-a4d2-4d8b-9148-e3be6c30e623}">
          <xlrd:rvb i="9447"/>
        </ext>
      </extLst>
    </bk>
    <bk>
      <extLst>
        <ext uri="{3e2802c4-a4d2-4d8b-9148-e3be6c30e623}">
          <xlrd:rvb i="9448"/>
        </ext>
      </extLst>
    </bk>
    <bk>
      <extLst>
        <ext uri="{3e2802c4-a4d2-4d8b-9148-e3be6c30e623}">
          <xlrd:rvb i="9449"/>
        </ext>
      </extLst>
    </bk>
    <bk>
      <extLst>
        <ext uri="{3e2802c4-a4d2-4d8b-9148-e3be6c30e623}">
          <xlrd:rvb i="9450"/>
        </ext>
      </extLst>
    </bk>
    <bk>
      <extLst>
        <ext uri="{3e2802c4-a4d2-4d8b-9148-e3be6c30e623}">
          <xlrd:rvb i="9451"/>
        </ext>
      </extLst>
    </bk>
    <bk>
      <extLst>
        <ext uri="{3e2802c4-a4d2-4d8b-9148-e3be6c30e623}">
          <xlrd:rvb i="9452"/>
        </ext>
      </extLst>
    </bk>
    <bk>
      <extLst>
        <ext uri="{3e2802c4-a4d2-4d8b-9148-e3be6c30e623}">
          <xlrd:rvb i="9453"/>
        </ext>
      </extLst>
    </bk>
    <bk>
      <extLst>
        <ext uri="{3e2802c4-a4d2-4d8b-9148-e3be6c30e623}">
          <xlrd:rvb i="9454"/>
        </ext>
      </extLst>
    </bk>
    <bk>
      <extLst>
        <ext uri="{3e2802c4-a4d2-4d8b-9148-e3be6c30e623}">
          <xlrd:rvb i="9455"/>
        </ext>
      </extLst>
    </bk>
    <bk>
      <extLst>
        <ext uri="{3e2802c4-a4d2-4d8b-9148-e3be6c30e623}">
          <xlrd:rvb i="9456"/>
        </ext>
      </extLst>
    </bk>
    <bk>
      <extLst>
        <ext uri="{3e2802c4-a4d2-4d8b-9148-e3be6c30e623}">
          <xlrd:rvb i="9457"/>
        </ext>
      </extLst>
    </bk>
    <bk>
      <extLst>
        <ext uri="{3e2802c4-a4d2-4d8b-9148-e3be6c30e623}">
          <xlrd:rvb i="9458"/>
        </ext>
      </extLst>
    </bk>
    <bk>
      <extLst>
        <ext uri="{3e2802c4-a4d2-4d8b-9148-e3be6c30e623}">
          <xlrd:rvb i="9459"/>
        </ext>
      </extLst>
    </bk>
    <bk>
      <extLst>
        <ext uri="{3e2802c4-a4d2-4d8b-9148-e3be6c30e623}">
          <xlrd:rvb i="9460"/>
        </ext>
      </extLst>
    </bk>
    <bk>
      <extLst>
        <ext uri="{3e2802c4-a4d2-4d8b-9148-e3be6c30e623}">
          <xlrd:rvb i="9461"/>
        </ext>
      </extLst>
    </bk>
    <bk>
      <extLst>
        <ext uri="{3e2802c4-a4d2-4d8b-9148-e3be6c30e623}">
          <xlrd:rvb i="9462"/>
        </ext>
      </extLst>
    </bk>
    <bk>
      <extLst>
        <ext uri="{3e2802c4-a4d2-4d8b-9148-e3be6c30e623}">
          <xlrd:rvb i="9463"/>
        </ext>
      </extLst>
    </bk>
    <bk>
      <extLst>
        <ext uri="{3e2802c4-a4d2-4d8b-9148-e3be6c30e623}">
          <xlrd:rvb i="9464"/>
        </ext>
      </extLst>
    </bk>
    <bk>
      <extLst>
        <ext uri="{3e2802c4-a4d2-4d8b-9148-e3be6c30e623}">
          <xlrd:rvb i="9465"/>
        </ext>
      </extLst>
    </bk>
    <bk>
      <extLst>
        <ext uri="{3e2802c4-a4d2-4d8b-9148-e3be6c30e623}">
          <xlrd:rvb i="9466"/>
        </ext>
      </extLst>
    </bk>
    <bk>
      <extLst>
        <ext uri="{3e2802c4-a4d2-4d8b-9148-e3be6c30e623}">
          <xlrd:rvb i="9467"/>
        </ext>
      </extLst>
    </bk>
    <bk>
      <extLst>
        <ext uri="{3e2802c4-a4d2-4d8b-9148-e3be6c30e623}">
          <xlrd:rvb i="9468"/>
        </ext>
      </extLst>
    </bk>
    <bk>
      <extLst>
        <ext uri="{3e2802c4-a4d2-4d8b-9148-e3be6c30e623}">
          <xlrd:rvb i="9469"/>
        </ext>
      </extLst>
    </bk>
    <bk>
      <extLst>
        <ext uri="{3e2802c4-a4d2-4d8b-9148-e3be6c30e623}">
          <xlrd:rvb i="9470"/>
        </ext>
      </extLst>
    </bk>
    <bk>
      <extLst>
        <ext uri="{3e2802c4-a4d2-4d8b-9148-e3be6c30e623}">
          <xlrd:rvb i="9471"/>
        </ext>
      </extLst>
    </bk>
    <bk>
      <extLst>
        <ext uri="{3e2802c4-a4d2-4d8b-9148-e3be6c30e623}">
          <xlrd:rvb i="9472"/>
        </ext>
      </extLst>
    </bk>
    <bk>
      <extLst>
        <ext uri="{3e2802c4-a4d2-4d8b-9148-e3be6c30e623}">
          <xlrd:rvb i="9473"/>
        </ext>
      </extLst>
    </bk>
    <bk>
      <extLst>
        <ext uri="{3e2802c4-a4d2-4d8b-9148-e3be6c30e623}">
          <xlrd:rvb i="9474"/>
        </ext>
      </extLst>
    </bk>
    <bk>
      <extLst>
        <ext uri="{3e2802c4-a4d2-4d8b-9148-e3be6c30e623}">
          <xlrd:rvb i="9475"/>
        </ext>
      </extLst>
    </bk>
    <bk>
      <extLst>
        <ext uri="{3e2802c4-a4d2-4d8b-9148-e3be6c30e623}">
          <xlrd:rvb i="9476"/>
        </ext>
      </extLst>
    </bk>
    <bk>
      <extLst>
        <ext uri="{3e2802c4-a4d2-4d8b-9148-e3be6c30e623}">
          <xlrd:rvb i="9477"/>
        </ext>
      </extLst>
    </bk>
    <bk>
      <extLst>
        <ext uri="{3e2802c4-a4d2-4d8b-9148-e3be6c30e623}">
          <xlrd:rvb i="9478"/>
        </ext>
      </extLst>
    </bk>
    <bk>
      <extLst>
        <ext uri="{3e2802c4-a4d2-4d8b-9148-e3be6c30e623}">
          <xlrd:rvb i="9479"/>
        </ext>
      </extLst>
    </bk>
    <bk>
      <extLst>
        <ext uri="{3e2802c4-a4d2-4d8b-9148-e3be6c30e623}">
          <xlrd:rvb i="9480"/>
        </ext>
      </extLst>
    </bk>
    <bk>
      <extLst>
        <ext uri="{3e2802c4-a4d2-4d8b-9148-e3be6c30e623}">
          <xlrd:rvb i="9481"/>
        </ext>
      </extLst>
    </bk>
    <bk>
      <extLst>
        <ext uri="{3e2802c4-a4d2-4d8b-9148-e3be6c30e623}">
          <xlrd:rvb i="9482"/>
        </ext>
      </extLst>
    </bk>
    <bk>
      <extLst>
        <ext uri="{3e2802c4-a4d2-4d8b-9148-e3be6c30e623}">
          <xlrd:rvb i="9483"/>
        </ext>
      </extLst>
    </bk>
    <bk>
      <extLst>
        <ext uri="{3e2802c4-a4d2-4d8b-9148-e3be6c30e623}">
          <xlrd:rvb i="9484"/>
        </ext>
      </extLst>
    </bk>
    <bk>
      <extLst>
        <ext uri="{3e2802c4-a4d2-4d8b-9148-e3be6c30e623}">
          <xlrd:rvb i="9485"/>
        </ext>
      </extLst>
    </bk>
    <bk>
      <extLst>
        <ext uri="{3e2802c4-a4d2-4d8b-9148-e3be6c30e623}">
          <xlrd:rvb i="9486"/>
        </ext>
      </extLst>
    </bk>
    <bk>
      <extLst>
        <ext uri="{3e2802c4-a4d2-4d8b-9148-e3be6c30e623}">
          <xlrd:rvb i="9487"/>
        </ext>
      </extLst>
    </bk>
    <bk>
      <extLst>
        <ext uri="{3e2802c4-a4d2-4d8b-9148-e3be6c30e623}">
          <xlrd:rvb i="9488"/>
        </ext>
      </extLst>
    </bk>
    <bk>
      <extLst>
        <ext uri="{3e2802c4-a4d2-4d8b-9148-e3be6c30e623}">
          <xlrd:rvb i="9489"/>
        </ext>
      </extLst>
    </bk>
    <bk>
      <extLst>
        <ext uri="{3e2802c4-a4d2-4d8b-9148-e3be6c30e623}">
          <xlrd:rvb i="9490"/>
        </ext>
      </extLst>
    </bk>
    <bk>
      <extLst>
        <ext uri="{3e2802c4-a4d2-4d8b-9148-e3be6c30e623}">
          <xlrd:rvb i="9491"/>
        </ext>
      </extLst>
    </bk>
    <bk>
      <extLst>
        <ext uri="{3e2802c4-a4d2-4d8b-9148-e3be6c30e623}">
          <xlrd:rvb i="9492"/>
        </ext>
      </extLst>
    </bk>
    <bk>
      <extLst>
        <ext uri="{3e2802c4-a4d2-4d8b-9148-e3be6c30e623}">
          <xlrd:rvb i="9493"/>
        </ext>
      </extLst>
    </bk>
    <bk>
      <extLst>
        <ext uri="{3e2802c4-a4d2-4d8b-9148-e3be6c30e623}">
          <xlrd:rvb i="9494"/>
        </ext>
      </extLst>
    </bk>
    <bk>
      <extLst>
        <ext uri="{3e2802c4-a4d2-4d8b-9148-e3be6c30e623}">
          <xlrd:rvb i="9495"/>
        </ext>
      </extLst>
    </bk>
    <bk>
      <extLst>
        <ext uri="{3e2802c4-a4d2-4d8b-9148-e3be6c30e623}">
          <xlrd:rvb i="9496"/>
        </ext>
      </extLst>
    </bk>
    <bk>
      <extLst>
        <ext uri="{3e2802c4-a4d2-4d8b-9148-e3be6c30e623}">
          <xlrd:rvb i="9497"/>
        </ext>
      </extLst>
    </bk>
    <bk>
      <extLst>
        <ext uri="{3e2802c4-a4d2-4d8b-9148-e3be6c30e623}">
          <xlrd:rvb i="9498"/>
        </ext>
      </extLst>
    </bk>
    <bk>
      <extLst>
        <ext uri="{3e2802c4-a4d2-4d8b-9148-e3be6c30e623}">
          <xlrd:rvb i="9499"/>
        </ext>
      </extLst>
    </bk>
    <bk>
      <extLst>
        <ext uri="{3e2802c4-a4d2-4d8b-9148-e3be6c30e623}">
          <xlrd:rvb i="9500"/>
        </ext>
      </extLst>
    </bk>
    <bk>
      <extLst>
        <ext uri="{3e2802c4-a4d2-4d8b-9148-e3be6c30e623}">
          <xlrd:rvb i="9501"/>
        </ext>
      </extLst>
    </bk>
    <bk>
      <extLst>
        <ext uri="{3e2802c4-a4d2-4d8b-9148-e3be6c30e623}">
          <xlrd:rvb i="9502"/>
        </ext>
      </extLst>
    </bk>
    <bk>
      <extLst>
        <ext uri="{3e2802c4-a4d2-4d8b-9148-e3be6c30e623}">
          <xlrd:rvb i="9503"/>
        </ext>
      </extLst>
    </bk>
    <bk>
      <extLst>
        <ext uri="{3e2802c4-a4d2-4d8b-9148-e3be6c30e623}">
          <xlrd:rvb i="9504"/>
        </ext>
      </extLst>
    </bk>
    <bk>
      <extLst>
        <ext uri="{3e2802c4-a4d2-4d8b-9148-e3be6c30e623}">
          <xlrd:rvb i="9505"/>
        </ext>
      </extLst>
    </bk>
    <bk>
      <extLst>
        <ext uri="{3e2802c4-a4d2-4d8b-9148-e3be6c30e623}">
          <xlrd:rvb i="9506"/>
        </ext>
      </extLst>
    </bk>
    <bk>
      <extLst>
        <ext uri="{3e2802c4-a4d2-4d8b-9148-e3be6c30e623}">
          <xlrd:rvb i="9507"/>
        </ext>
      </extLst>
    </bk>
    <bk>
      <extLst>
        <ext uri="{3e2802c4-a4d2-4d8b-9148-e3be6c30e623}">
          <xlrd:rvb i="9508"/>
        </ext>
      </extLst>
    </bk>
    <bk>
      <extLst>
        <ext uri="{3e2802c4-a4d2-4d8b-9148-e3be6c30e623}">
          <xlrd:rvb i="9509"/>
        </ext>
      </extLst>
    </bk>
    <bk>
      <extLst>
        <ext uri="{3e2802c4-a4d2-4d8b-9148-e3be6c30e623}">
          <xlrd:rvb i="9510"/>
        </ext>
      </extLst>
    </bk>
    <bk>
      <extLst>
        <ext uri="{3e2802c4-a4d2-4d8b-9148-e3be6c30e623}">
          <xlrd:rvb i="9511"/>
        </ext>
      </extLst>
    </bk>
    <bk>
      <extLst>
        <ext uri="{3e2802c4-a4d2-4d8b-9148-e3be6c30e623}">
          <xlrd:rvb i="9512"/>
        </ext>
      </extLst>
    </bk>
    <bk>
      <extLst>
        <ext uri="{3e2802c4-a4d2-4d8b-9148-e3be6c30e623}">
          <xlrd:rvb i="9513"/>
        </ext>
      </extLst>
    </bk>
    <bk>
      <extLst>
        <ext uri="{3e2802c4-a4d2-4d8b-9148-e3be6c30e623}">
          <xlrd:rvb i="9514"/>
        </ext>
      </extLst>
    </bk>
    <bk>
      <extLst>
        <ext uri="{3e2802c4-a4d2-4d8b-9148-e3be6c30e623}">
          <xlrd:rvb i="9515"/>
        </ext>
      </extLst>
    </bk>
    <bk>
      <extLst>
        <ext uri="{3e2802c4-a4d2-4d8b-9148-e3be6c30e623}">
          <xlrd:rvb i="9516"/>
        </ext>
      </extLst>
    </bk>
    <bk>
      <extLst>
        <ext uri="{3e2802c4-a4d2-4d8b-9148-e3be6c30e623}">
          <xlrd:rvb i="9517"/>
        </ext>
      </extLst>
    </bk>
    <bk>
      <extLst>
        <ext uri="{3e2802c4-a4d2-4d8b-9148-e3be6c30e623}">
          <xlrd:rvb i="9518"/>
        </ext>
      </extLst>
    </bk>
    <bk>
      <extLst>
        <ext uri="{3e2802c4-a4d2-4d8b-9148-e3be6c30e623}">
          <xlrd:rvb i="9519"/>
        </ext>
      </extLst>
    </bk>
    <bk>
      <extLst>
        <ext uri="{3e2802c4-a4d2-4d8b-9148-e3be6c30e623}">
          <xlrd:rvb i="9520"/>
        </ext>
      </extLst>
    </bk>
    <bk>
      <extLst>
        <ext uri="{3e2802c4-a4d2-4d8b-9148-e3be6c30e623}">
          <xlrd:rvb i="9521"/>
        </ext>
      </extLst>
    </bk>
    <bk>
      <extLst>
        <ext uri="{3e2802c4-a4d2-4d8b-9148-e3be6c30e623}">
          <xlrd:rvb i="9522"/>
        </ext>
      </extLst>
    </bk>
    <bk>
      <extLst>
        <ext uri="{3e2802c4-a4d2-4d8b-9148-e3be6c30e623}">
          <xlrd:rvb i="9523"/>
        </ext>
      </extLst>
    </bk>
    <bk>
      <extLst>
        <ext uri="{3e2802c4-a4d2-4d8b-9148-e3be6c30e623}">
          <xlrd:rvb i="9524"/>
        </ext>
      </extLst>
    </bk>
    <bk>
      <extLst>
        <ext uri="{3e2802c4-a4d2-4d8b-9148-e3be6c30e623}">
          <xlrd:rvb i="9525"/>
        </ext>
      </extLst>
    </bk>
    <bk>
      <extLst>
        <ext uri="{3e2802c4-a4d2-4d8b-9148-e3be6c30e623}">
          <xlrd:rvb i="9526"/>
        </ext>
      </extLst>
    </bk>
    <bk>
      <extLst>
        <ext uri="{3e2802c4-a4d2-4d8b-9148-e3be6c30e623}">
          <xlrd:rvb i="9527"/>
        </ext>
      </extLst>
    </bk>
    <bk>
      <extLst>
        <ext uri="{3e2802c4-a4d2-4d8b-9148-e3be6c30e623}">
          <xlrd:rvb i="9528"/>
        </ext>
      </extLst>
    </bk>
    <bk>
      <extLst>
        <ext uri="{3e2802c4-a4d2-4d8b-9148-e3be6c30e623}">
          <xlrd:rvb i="9529"/>
        </ext>
      </extLst>
    </bk>
    <bk>
      <extLst>
        <ext uri="{3e2802c4-a4d2-4d8b-9148-e3be6c30e623}">
          <xlrd:rvb i="9530"/>
        </ext>
      </extLst>
    </bk>
    <bk>
      <extLst>
        <ext uri="{3e2802c4-a4d2-4d8b-9148-e3be6c30e623}">
          <xlrd:rvb i="9531"/>
        </ext>
      </extLst>
    </bk>
    <bk>
      <extLst>
        <ext uri="{3e2802c4-a4d2-4d8b-9148-e3be6c30e623}">
          <xlrd:rvb i="9532"/>
        </ext>
      </extLst>
    </bk>
    <bk>
      <extLst>
        <ext uri="{3e2802c4-a4d2-4d8b-9148-e3be6c30e623}">
          <xlrd:rvb i="9533"/>
        </ext>
      </extLst>
    </bk>
    <bk>
      <extLst>
        <ext uri="{3e2802c4-a4d2-4d8b-9148-e3be6c30e623}">
          <xlrd:rvb i="9534"/>
        </ext>
      </extLst>
    </bk>
    <bk>
      <extLst>
        <ext uri="{3e2802c4-a4d2-4d8b-9148-e3be6c30e623}">
          <xlrd:rvb i="9535"/>
        </ext>
      </extLst>
    </bk>
    <bk>
      <extLst>
        <ext uri="{3e2802c4-a4d2-4d8b-9148-e3be6c30e623}">
          <xlrd:rvb i="9536"/>
        </ext>
      </extLst>
    </bk>
    <bk>
      <extLst>
        <ext uri="{3e2802c4-a4d2-4d8b-9148-e3be6c30e623}">
          <xlrd:rvb i="9537"/>
        </ext>
      </extLst>
    </bk>
    <bk>
      <extLst>
        <ext uri="{3e2802c4-a4d2-4d8b-9148-e3be6c30e623}">
          <xlrd:rvb i="9538"/>
        </ext>
      </extLst>
    </bk>
    <bk>
      <extLst>
        <ext uri="{3e2802c4-a4d2-4d8b-9148-e3be6c30e623}">
          <xlrd:rvb i="9539"/>
        </ext>
      </extLst>
    </bk>
    <bk>
      <extLst>
        <ext uri="{3e2802c4-a4d2-4d8b-9148-e3be6c30e623}">
          <xlrd:rvb i="9540"/>
        </ext>
      </extLst>
    </bk>
    <bk>
      <extLst>
        <ext uri="{3e2802c4-a4d2-4d8b-9148-e3be6c30e623}">
          <xlrd:rvb i="9541"/>
        </ext>
      </extLst>
    </bk>
    <bk>
      <extLst>
        <ext uri="{3e2802c4-a4d2-4d8b-9148-e3be6c30e623}">
          <xlrd:rvb i="9542"/>
        </ext>
      </extLst>
    </bk>
    <bk>
      <extLst>
        <ext uri="{3e2802c4-a4d2-4d8b-9148-e3be6c30e623}">
          <xlrd:rvb i="9543"/>
        </ext>
      </extLst>
    </bk>
    <bk>
      <extLst>
        <ext uri="{3e2802c4-a4d2-4d8b-9148-e3be6c30e623}">
          <xlrd:rvb i="9544"/>
        </ext>
      </extLst>
    </bk>
    <bk>
      <extLst>
        <ext uri="{3e2802c4-a4d2-4d8b-9148-e3be6c30e623}">
          <xlrd:rvb i="9545"/>
        </ext>
      </extLst>
    </bk>
    <bk>
      <extLst>
        <ext uri="{3e2802c4-a4d2-4d8b-9148-e3be6c30e623}">
          <xlrd:rvb i="9546"/>
        </ext>
      </extLst>
    </bk>
    <bk>
      <extLst>
        <ext uri="{3e2802c4-a4d2-4d8b-9148-e3be6c30e623}">
          <xlrd:rvb i="9547"/>
        </ext>
      </extLst>
    </bk>
    <bk>
      <extLst>
        <ext uri="{3e2802c4-a4d2-4d8b-9148-e3be6c30e623}">
          <xlrd:rvb i="9548"/>
        </ext>
      </extLst>
    </bk>
    <bk>
      <extLst>
        <ext uri="{3e2802c4-a4d2-4d8b-9148-e3be6c30e623}">
          <xlrd:rvb i="9549"/>
        </ext>
      </extLst>
    </bk>
    <bk>
      <extLst>
        <ext uri="{3e2802c4-a4d2-4d8b-9148-e3be6c30e623}">
          <xlrd:rvb i="9550"/>
        </ext>
      </extLst>
    </bk>
    <bk>
      <extLst>
        <ext uri="{3e2802c4-a4d2-4d8b-9148-e3be6c30e623}">
          <xlrd:rvb i="9551"/>
        </ext>
      </extLst>
    </bk>
    <bk>
      <extLst>
        <ext uri="{3e2802c4-a4d2-4d8b-9148-e3be6c30e623}">
          <xlrd:rvb i="9552"/>
        </ext>
      </extLst>
    </bk>
    <bk>
      <extLst>
        <ext uri="{3e2802c4-a4d2-4d8b-9148-e3be6c30e623}">
          <xlrd:rvb i="9553"/>
        </ext>
      </extLst>
    </bk>
    <bk>
      <extLst>
        <ext uri="{3e2802c4-a4d2-4d8b-9148-e3be6c30e623}">
          <xlrd:rvb i="9554"/>
        </ext>
      </extLst>
    </bk>
    <bk>
      <extLst>
        <ext uri="{3e2802c4-a4d2-4d8b-9148-e3be6c30e623}">
          <xlrd:rvb i="9555"/>
        </ext>
      </extLst>
    </bk>
    <bk>
      <extLst>
        <ext uri="{3e2802c4-a4d2-4d8b-9148-e3be6c30e623}">
          <xlrd:rvb i="9556"/>
        </ext>
      </extLst>
    </bk>
    <bk>
      <extLst>
        <ext uri="{3e2802c4-a4d2-4d8b-9148-e3be6c30e623}">
          <xlrd:rvb i="9557"/>
        </ext>
      </extLst>
    </bk>
    <bk>
      <extLst>
        <ext uri="{3e2802c4-a4d2-4d8b-9148-e3be6c30e623}">
          <xlrd:rvb i="9558"/>
        </ext>
      </extLst>
    </bk>
    <bk>
      <extLst>
        <ext uri="{3e2802c4-a4d2-4d8b-9148-e3be6c30e623}">
          <xlrd:rvb i="9559"/>
        </ext>
      </extLst>
    </bk>
    <bk>
      <extLst>
        <ext uri="{3e2802c4-a4d2-4d8b-9148-e3be6c30e623}">
          <xlrd:rvb i="9560"/>
        </ext>
      </extLst>
    </bk>
    <bk>
      <extLst>
        <ext uri="{3e2802c4-a4d2-4d8b-9148-e3be6c30e623}">
          <xlrd:rvb i="9561"/>
        </ext>
      </extLst>
    </bk>
    <bk>
      <extLst>
        <ext uri="{3e2802c4-a4d2-4d8b-9148-e3be6c30e623}">
          <xlrd:rvb i="9562"/>
        </ext>
      </extLst>
    </bk>
    <bk>
      <extLst>
        <ext uri="{3e2802c4-a4d2-4d8b-9148-e3be6c30e623}">
          <xlrd:rvb i="9563"/>
        </ext>
      </extLst>
    </bk>
    <bk>
      <extLst>
        <ext uri="{3e2802c4-a4d2-4d8b-9148-e3be6c30e623}">
          <xlrd:rvb i="9564"/>
        </ext>
      </extLst>
    </bk>
    <bk>
      <extLst>
        <ext uri="{3e2802c4-a4d2-4d8b-9148-e3be6c30e623}">
          <xlrd:rvb i="9565"/>
        </ext>
      </extLst>
    </bk>
    <bk>
      <extLst>
        <ext uri="{3e2802c4-a4d2-4d8b-9148-e3be6c30e623}">
          <xlrd:rvb i="9566"/>
        </ext>
      </extLst>
    </bk>
    <bk>
      <extLst>
        <ext uri="{3e2802c4-a4d2-4d8b-9148-e3be6c30e623}">
          <xlrd:rvb i="9567"/>
        </ext>
      </extLst>
    </bk>
    <bk>
      <extLst>
        <ext uri="{3e2802c4-a4d2-4d8b-9148-e3be6c30e623}">
          <xlrd:rvb i="9568"/>
        </ext>
      </extLst>
    </bk>
    <bk>
      <extLst>
        <ext uri="{3e2802c4-a4d2-4d8b-9148-e3be6c30e623}">
          <xlrd:rvb i="9569"/>
        </ext>
      </extLst>
    </bk>
    <bk>
      <extLst>
        <ext uri="{3e2802c4-a4d2-4d8b-9148-e3be6c30e623}">
          <xlrd:rvb i="9570"/>
        </ext>
      </extLst>
    </bk>
    <bk>
      <extLst>
        <ext uri="{3e2802c4-a4d2-4d8b-9148-e3be6c30e623}">
          <xlrd:rvb i="9571"/>
        </ext>
      </extLst>
    </bk>
    <bk>
      <extLst>
        <ext uri="{3e2802c4-a4d2-4d8b-9148-e3be6c30e623}">
          <xlrd:rvb i="9572"/>
        </ext>
      </extLst>
    </bk>
    <bk>
      <extLst>
        <ext uri="{3e2802c4-a4d2-4d8b-9148-e3be6c30e623}">
          <xlrd:rvb i="9573"/>
        </ext>
      </extLst>
    </bk>
    <bk>
      <extLst>
        <ext uri="{3e2802c4-a4d2-4d8b-9148-e3be6c30e623}">
          <xlrd:rvb i="9574"/>
        </ext>
      </extLst>
    </bk>
    <bk>
      <extLst>
        <ext uri="{3e2802c4-a4d2-4d8b-9148-e3be6c30e623}">
          <xlrd:rvb i="9575"/>
        </ext>
      </extLst>
    </bk>
    <bk>
      <extLst>
        <ext uri="{3e2802c4-a4d2-4d8b-9148-e3be6c30e623}">
          <xlrd:rvb i="9576"/>
        </ext>
      </extLst>
    </bk>
    <bk>
      <extLst>
        <ext uri="{3e2802c4-a4d2-4d8b-9148-e3be6c30e623}">
          <xlrd:rvb i="9577"/>
        </ext>
      </extLst>
    </bk>
    <bk>
      <extLst>
        <ext uri="{3e2802c4-a4d2-4d8b-9148-e3be6c30e623}">
          <xlrd:rvb i="9578"/>
        </ext>
      </extLst>
    </bk>
    <bk>
      <extLst>
        <ext uri="{3e2802c4-a4d2-4d8b-9148-e3be6c30e623}">
          <xlrd:rvb i="9579"/>
        </ext>
      </extLst>
    </bk>
    <bk>
      <extLst>
        <ext uri="{3e2802c4-a4d2-4d8b-9148-e3be6c30e623}">
          <xlrd:rvb i="9580"/>
        </ext>
      </extLst>
    </bk>
    <bk>
      <extLst>
        <ext uri="{3e2802c4-a4d2-4d8b-9148-e3be6c30e623}">
          <xlrd:rvb i="9581"/>
        </ext>
      </extLst>
    </bk>
    <bk>
      <extLst>
        <ext uri="{3e2802c4-a4d2-4d8b-9148-e3be6c30e623}">
          <xlrd:rvb i="9582"/>
        </ext>
      </extLst>
    </bk>
    <bk>
      <extLst>
        <ext uri="{3e2802c4-a4d2-4d8b-9148-e3be6c30e623}">
          <xlrd:rvb i="9583"/>
        </ext>
      </extLst>
    </bk>
    <bk>
      <extLst>
        <ext uri="{3e2802c4-a4d2-4d8b-9148-e3be6c30e623}">
          <xlrd:rvb i="9584"/>
        </ext>
      </extLst>
    </bk>
    <bk>
      <extLst>
        <ext uri="{3e2802c4-a4d2-4d8b-9148-e3be6c30e623}">
          <xlrd:rvb i="9585"/>
        </ext>
      </extLst>
    </bk>
    <bk>
      <extLst>
        <ext uri="{3e2802c4-a4d2-4d8b-9148-e3be6c30e623}">
          <xlrd:rvb i="9586"/>
        </ext>
      </extLst>
    </bk>
    <bk>
      <extLst>
        <ext uri="{3e2802c4-a4d2-4d8b-9148-e3be6c30e623}">
          <xlrd:rvb i="9587"/>
        </ext>
      </extLst>
    </bk>
    <bk>
      <extLst>
        <ext uri="{3e2802c4-a4d2-4d8b-9148-e3be6c30e623}">
          <xlrd:rvb i="9588"/>
        </ext>
      </extLst>
    </bk>
    <bk>
      <extLst>
        <ext uri="{3e2802c4-a4d2-4d8b-9148-e3be6c30e623}">
          <xlrd:rvb i="9589"/>
        </ext>
      </extLst>
    </bk>
    <bk>
      <extLst>
        <ext uri="{3e2802c4-a4d2-4d8b-9148-e3be6c30e623}">
          <xlrd:rvb i="9590"/>
        </ext>
      </extLst>
    </bk>
    <bk>
      <extLst>
        <ext uri="{3e2802c4-a4d2-4d8b-9148-e3be6c30e623}">
          <xlrd:rvb i="9591"/>
        </ext>
      </extLst>
    </bk>
    <bk>
      <extLst>
        <ext uri="{3e2802c4-a4d2-4d8b-9148-e3be6c30e623}">
          <xlrd:rvb i="9592"/>
        </ext>
      </extLst>
    </bk>
    <bk>
      <extLst>
        <ext uri="{3e2802c4-a4d2-4d8b-9148-e3be6c30e623}">
          <xlrd:rvb i="9593"/>
        </ext>
      </extLst>
    </bk>
    <bk>
      <extLst>
        <ext uri="{3e2802c4-a4d2-4d8b-9148-e3be6c30e623}">
          <xlrd:rvb i="9594"/>
        </ext>
      </extLst>
    </bk>
    <bk>
      <extLst>
        <ext uri="{3e2802c4-a4d2-4d8b-9148-e3be6c30e623}">
          <xlrd:rvb i="9595"/>
        </ext>
      </extLst>
    </bk>
    <bk>
      <extLst>
        <ext uri="{3e2802c4-a4d2-4d8b-9148-e3be6c30e623}">
          <xlrd:rvb i="9596"/>
        </ext>
      </extLst>
    </bk>
    <bk>
      <extLst>
        <ext uri="{3e2802c4-a4d2-4d8b-9148-e3be6c30e623}">
          <xlrd:rvb i="9597"/>
        </ext>
      </extLst>
    </bk>
    <bk>
      <extLst>
        <ext uri="{3e2802c4-a4d2-4d8b-9148-e3be6c30e623}">
          <xlrd:rvb i="9598"/>
        </ext>
      </extLst>
    </bk>
    <bk>
      <extLst>
        <ext uri="{3e2802c4-a4d2-4d8b-9148-e3be6c30e623}">
          <xlrd:rvb i="9599"/>
        </ext>
      </extLst>
    </bk>
    <bk>
      <extLst>
        <ext uri="{3e2802c4-a4d2-4d8b-9148-e3be6c30e623}">
          <xlrd:rvb i="9600"/>
        </ext>
      </extLst>
    </bk>
    <bk>
      <extLst>
        <ext uri="{3e2802c4-a4d2-4d8b-9148-e3be6c30e623}">
          <xlrd:rvb i="9601"/>
        </ext>
      </extLst>
    </bk>
    <bk>
      <extLst>
        <ext uri="{3e2802c4-a4d2-4d8b-9148-e3be6c30e623}">
          <xlrd:rvb i="9602"/>
        </ext>
      </extLst>
    </bk>
    <bk>
      <extLst>
        <ext uri="{3e2802c4-a4d2-4d8b-9148-e3be6c30e623}">
          <xlrd:rvb i="9603"/>
        </ext>
      </extLst>
    </bk>
    <bk>
      <extLst>
        <ext uri="{3e2802c4-a4d2-4d8b-9148-e3be6c30e623}">
          <xlrd:rvb i="9604"/>
        </ext>
      </extLst>
    </bk>
    <bk>
      <extLst>
        <ext uri="{3e2802c4-a4d2-4d8b-9148-e3be6c30e623}">
          <xlrd:rvb i="9605"/>
        </ext>
      </extLst>
    </bk>
    <bk>
      <extLst>
        <ext uri="{3e2802c4-a4d2-4d8b-9148-e3be6c30e623}">
          <xlrd:rvb i="9606"/>
        </ext>
      </extLst>
    </bk>
    <bk>
      <extLst>
        <ext uri="{3e2802c4-a4d2-4d8b-9148-e3be6c30e623}">
          <xlrd:rvb i="9607"/>
        </ext>
      </extLst>
    </bk>
    <bk>
      <extLst>
        <ext uri="{3e2802c4-a4d2-4d8b-9148-e3be6c30e623}">
          <xlrd:rvb i="9608"/>
        </ext>
      </extLst>
    </bk>
    <bk>
      <extLst>
        <ext uri="{3e2802c4-a4d2-4d8b-9148-e3be6c30e623}">
          <xlrd:rvb i="9609"/>
        </ext>
      </extLst>
    </bk>
    <bk>
      <extLst>
        <ext uri="{3e2802c4-a4d2-4d8b-9148-e3be6c30e623}">
          <xlrd:rvb i="9610"/>
        </ext>
      </extLst>
    </bk>
    <bk>
      <extLst>
        <ext uri="{3e2802c4-a4d2-4d8b-9148-e3be6c30e623}">
          <xlrd:rvb i="9611"/>
        </ext>
      </extLst>
    </bk>
    <bk>
      <extLst>
        <ext uri="{3e2802c4-a4d2-4d8b-9148-e3be6c30e623}">
          <xlrd:rvb i="9612"/>
        </ext>
      </extLst>
    </bk>
    <bk>
      <extLst>
        <ext uri="{3e2802c4-a4d2-4d8b-9148-e3be6c30e623}">
          <xlrd:rvb i="9613"/>
        </ext>
      </extLst>
    </bk>
    <bk>
      <extLst>
        <ext uri="{3e2802c4-a4d2-4d8b-9148-e3be6c30e623}">
          <xlrd:rvb i="9614"/>
        </ext>
      </extLst>
    </bk>
    <bk>
      <extLst>
        <ext uri="{3e2802c4-a4d2-4d8b-9148-e3be6c30e623}">
          <xlrd:rvb i="9615"/>
        </ext>
      </extLst>
    </bk>
    <bk>
      <extLst>
        <ext uri="{3e2802c4-a4d2-4d8b-9148-e3be6c30e623}">
          <xlrd:rvb i="9616"/>
        </ext>
      </extLst>
    </bk>
    <bk>
      <extLst>
        <ext uri="{3e2802c4-a4d2-4d8b-9148-e3be6c30e623}">
          <xlrd:rvb i="9617"/>
        </ext>
      </extLst>
    </bk>
    <bk>
      <extLst>
        <ext uri="{3e2802c4-a4d2-4d8b-9148-e3be6c30e623}">
          <xlrd:rvb i="9618"/>
        </ext>
      </extLst>
    </bk>
    <bk>
      <extLst>
        <ext uri="{3e2802c4-a4d2-4d8b-9148-e3be6c30e623}">
          <xlrd:rvb i="9619"/>
        </ext>
      </extLst>
    </bk>
    <bk>
      <extLst>
        <ext uri="{3e2802c4-a4d2-4d8b-9148-e3be6c30e623}">
          <xlrd:rvb i="9620"/>
        </ext>
      </extLst>
    </bk>
    <bk>
      <extLst>
        <ext uri="{3e2802c4-a4d2-4d8b-9148-e3be6c30e623}">
          <xlrd:rvb i="9621"/>
        </ext>
      </extLst>
    </bk>
    <bk>
      <extLst>
        <ext uri="{3e2802c4-a4d2-4d8b-9148-e3be6c30e623}">
          <xlrd:rvb i="9622"/>
        </ext>
      </extLst>
    </bk>
    <bk>
      <extLst>
        <ext uri="{3e2802c4-a4d2-4d8b-9148-e3be6c30e623}">
          <xlrd:rvb i="9623"/>
        </ext>
      </extLst>
    </bk>
    <bk>
      <extLst>
        <ext uri="{3e2802c4-a4d2-4d8b-9148-e3be6c30e623}">
          <xlrd:rvb i="9624"/>
        </ext>
      </extLst>
    </bk>
    <bk>
      <extLst>
        <ext uri="{3e2802c4-a4d2-4d8b-9148-e3be6c30e623}">
          <xlrd:rvb i="9625"/>
        </ext>
      </extLst>
    </bk>
    <bk>
      <extLst>
        <ext uri="{3e2802c4-a4d2-4d8b-9148-e3be6c30e623}">
          <xlrd:rvb i="9626"/>
        </ext>
      </extLst>
    </bk>
    <bk>
      <extLst>
        <ext uri="{3e2802c4-a4d2-4d8b-9148-e3be6c30e623}">
          <xlrd:rvb i="9627"/>
        </ext>
      </extLst>
    </bk>
    <bk>
      <extLst>
        <ext uri="{3e2802c4-a4d2-4d8b-9148-e3be6c30e623}">
          <xlrd:rvb i="9628"/>
        </ext>
      </extLst>
    </bk>
    <bk>
      <extLst>
        <ext uri="{3e2802c4-a4d2-4d8b-9148-e3be6c30e623}">
          <xlrd:rvb i="9629"/>
        </ext>
      </extLst>
    </bk>
    <bk>
      <extLst>
        <ext uri="{3e2802c4-a4d2-4d8b-9148-e3be6c30e623}">
          <xlrd:rvb i="9630"/>
        </ext>
      </extLst>
    </bk>
    <bk>
      <extLst>
        <ext uri="{3e2802c4-a4d2-4d8b-9148-e3be6c30e623}">
          <xlrd:rvb i="9631"/>
        </ext>
      </extLst>
    </bk>
    <bk>
      <extLst>
        <ext uri="{3e2802c4-a4d2-4d8b-9148-e3be6c30e623}">
          <xlrd:rvb i="9632"/>
        </ext>
      </extLst>
    </bk>
    <bk>
      <extLst>
        <ext uri="{3e2802c4-a4d2-4d8b-9148-e3be6c30e623}">
          <xlrd:rvb i="9633"/>
        </ext>
      </extLst>
    </bk>
    <bk>
      <extLst>
        <ext uri="{3e2802c4-a4d2-4d8b-9148-e3be6c30e623}">
          <xlrd:rvb i="9634"/>
        </ext>
      </extLst>
    </bk>
    <bk>
      <extLst>
        <ext uri="{3e2802c4-a4d2-4d8b-9148-e3be6c30e623}">
          <xlrd:rvb i="9635"/>
        </ext>
      </extLst>
    </bk>
    <bk>
      <extLst>
        <ext uri="{3e2802c4-a4d2-4d8b-9148-e3be6c30e623}">
          <xlrd:rvb i="9636"/>
        </ext>
      </extLst>
    </bk>
    <bk>
      <extLst>
        <ext uri="{3e2802c4-a4d2-4d8b-9148-e3be6c30e623}">
          <xlrd:rvb i="9637"/>
        </ext>
      </extLst>
    </bk>
    <bk>
      <extLst>
        <ext uri="{3e2802c4-a4d2-4d8b-9148-e3be6c30e623}">
          <xlrd:rvb i="9638"/>
        </ext>
      </extLst>
    </bk>
    <bk>
      <extLst>
        <ext uri="{3e2802c4-a4d2-4d8b-9148-e3be6c30e623}">
          <xlrd:rvb i="9639"/>
        </ext>
      </extLst>
    </bk>
    <bk>
      <extLst>
        <ext uri="{3e2802c4-a4d2-4d8b-9148-e3be6c30e623}">
          <xlrd:rvb i="9640"/>
        </ext>
      </extLst>
    </bk>
    <bk>
      <extLst>
        <ext uri="{3e2802c4-a4d2-4d8b-9148-e3be6c30e623}">
          <xlrd:rvb i="9641"/>
        </ext>
      </extLst>
    </bk>
    <bk>
      <extLst>
        <ext uri="{3e2802c4-a4d2-4d8b-9148-e3be6c30e623}">
          <xlrd:rvb i="9642"/>
        </ext>
      </extLst>
    </bk>
    <bk>
      <extLst>
        <ext uri="{3e2802c4-a4d2-4d8b-9148-e3be6c30e623}">
          <xlrd:rvb i="9643"/>
        </ext>
      </extLst>
    </bk>
    <bk>
      <extLst>
        <ext uri="{3e2802c4-a4d2-4d8b-9148-e3be6c30e623}">
          <xlrd:rvb i="9644"/>
        </ext>
      </extLst>
    </bk>
    <bk>
      <extLst>
        <ext uri="{3e2802c4-a4d2-4d8b-9148-e3be6c30e623}">
          <xlrd:rvb i="9645"/>
        </ext>
      </extLst>
    </bk>
    <bk>
      <extLst>
        <ext uri="{3e2802c4-a4d2-4d8b-9148-e3be6c30e623}">
          <xlrd:rvb i="9646"/>
        </ext>
      </extLst>
    </bk>
    <bk>
      <extLst>
        <ext uri="{3e2802c4-a4d2-4d8b-9148-e3be6c30e623}">
          <xlrd:rvb i="9647"/>
        </ext>
      </extLst>
    </bk>
    <bk>
      <extLst>
        <ext uri="{3e2802c4-a4d2-4d8b-9148-e3be6c30e623}">
          <xlrd:rvb i="9648"/>
        </ext>
      </extLst>
    </bk>
    <bk>
      <extLst>
        <ext uri="{3e2802c4-a4d2-4d8b-9148-e3be6c30e623}">
          <xlrd:rvb i="9649"/>
        </ext>
      </extLst>
    </bk>
    <bk>
      <extLst>
        <ext uri="{3e2802c4-a4d2-4d8b-9148-e3be6c30e623}">
          <xlrd:rvb i="9650"/>
        </ext>
      </extLst>
    </bk>
    <bk>
      <extLst>
        <ext uri="{3e2802c4-a4d2-4d8b-9148-e3be6c30e623}">
          <xlrd:rvb i="9651"/>
        </ext>
      </extLst>
    </bk>
    <bk>
      <extLst>
        <ext uri="{3e2802c4-a4d2-4d8b-9148-e3be6c30e623}">
          <xlrd:rvb i="9652"/>
        </ext>
      </extLst>
    </bk>
    <bk>
      <extLst>
        <ext uri="{3e2802c4-a4d2-4d8b-9148-e3be6c30e623}">
          <xlrd:rvb i="9653"/>
        </ext>
      </extLst>
    </bk>
    <bk>
      <extLst>
        <ext uri="{3e2802c4-a4d2-4d8b-9148-e3be6c30e623}">
          <xlrd:rvb i="9654"/>
        </ext>
      </extLst>
    </bk>
    <bk>
      <extLst>
        <ext uri="{3e2802c4-a4d2-4d8b-9148-e3be6c30e623}">
          <xlrd:rvb i="9655"/>
        </ext>
      </extLst>
    </bk>
    <bk>
      <extLst>
        <ext uri="{3e2802c4-a4d2-4d8b-9148-e3be6c30e623}">
          <xlrd:rvb i="9656"/>
        </ext>
      </extLst>
    </bk>
    <bk>
      <extLst>
        <ext uri="{3e2802c4-a4d2-4d8b-9148-e3be6c30e623}">
          <xlrd:rvb i="9657"/>
        </ext>
      </extLst>
    </bk>
    <bk>
      <extLst>
        <ext uri="{3e2802c4-a4d2-4d8b-9148-e3be6c30e623}">
          <xlrd:rvb i="9658"/>
        </ext>
      </extLst>
    </bk>
    <bk>
      <extLst>
        <ext uri="{3e2802c4-a4d2-4d8b-9148-e3be6c30e623}">
          <xlrd:rvb i="9659"/>
        </ext>
      </extLst>
    </bk>
    <bk>
      <extLst>
        <ext uri="{3e2802c4-a4d2-4d8b-9148-e3be6c30e623}">
          <xlrd:rvb i="9660"/>
        </ext>
      </extLst>
    </bk>
    <bk>
      <extLst>
        <ext uri="{3e2802c4-a4d2-4d8b-9148-e3be6c30e623}">
          <xlrd:rvb i="9661"/>
        </ext>
      </extLst>
    </bk>
    <bk>
      <extLst>
        <ext uri="{3e2802c4-a4d2-4d8b-9148-e3be6c30e623}">
          <xlrd:rvb i="9662"/>
        </ext>
      </extLst>
    </bk>
    <bk>
      <extLst>
        <ext uri="{3e2802c4-a4d2-4d8b-9148-e3be6c30e623}">
          <xlrd:rvb i="9663"/>
        </ext>
      </extLst>
    </bk>
    <bk>
      <extLst>
        <ext uri="{3e2802c4-a4d2-4d8b-9148-e3be6c30e623}">
          <xlrd:rvb i="9664"/>
        </ext>
      </extLst>
    </bk>
    <bk>
      <extLst>
        <ext uri="{3e2802c4-a4d2-4d8b-9148-e3be6c30e623}">
          <xlrd:rvb i="9665"/>
        </ext>
      </extLst>
    </bk>
    <bk>
      <extLst>
        <ext uri="{3e2802c4-a4d2-4d8b-9148-e3be6c30e623}">
          <xlrd:rvb i="9666"/>
        </ext>
      </extLst>
    </bk>
    <bk>
      <extLst>
        <ext uri="{3e2802c4-a4d2-4d8b-9148-e3be6c30e623}">
          <xlrd:rvb i="9667"/>
        </ext>
      </extLst>
    </bk>
    <bk>
      <extLst>
        <ext uri="{3e2802c4-a4d2-4d8b-9148-e3be6c30e623}">
          <xlrd:rvb i="9668"/>
        </ext>
      </extLst>
    </bk>
    <bk>
      <extLst>
        <ext uri="{3e2802c4-a4d2-4d8b-9148-e3be6c30e623}">
          <xlrd:rvb i="9669"/>
        </ext>
      </extLst>
    </bk>
    <bk>
      <extLst>
        <ext uri="{3e2802c4-a4d2-4d8b-9148-e3be6c30e623}">
          <xlrd:rvb i="9670"/>
        </ext>
      </extLst>
    </bk>
    <bk>
      <extLst>
        <ext uri="{3e2802c4-a4d2-4d8b-9148-e3be6c30e623}">
          <xlrd:rvb i="9671"/>
        </ext>
      </extLst>
    </bk>
    <bk>
      <extLst>
        <ext uri="{3e2802c4-a4d2-4d8b-9148-e3be6c30e623}">
          <xlrd:rvb i="9672"/>
        </ext>
      </extLst>
    </bk>
    <bk>
      <extLst>
        <ext uri="{3e2802c4-a4d2-4d8b-9148-e3be6c30e623}">
          <xlrd:rvb i="9673"/>
        </ext>
      </extLst>
    </bk>
    <bk>
      <extLst>
        <ext uri="{3e2802c4-a4d2-4d8b-9148-e3be6c30e623}">
          <xlrd:rvb i="9674"/>
        </ext>
      </extLst>
    </bk>
    <bk>
      <extLst>
        <ext uri="{3e2802c4-a4d2-4d8b-9148-e3be6c30e623}">
          <xlrd:rvb i="9675"/>
        </ext>
      </extLst>
    </bk>
    <bk>
      <extLst>
        <ext uri="{3e2802c4-a4d2-4d8b-9148-e3be6c30e623}">
          <xlrd:rvb i="9676"/>
        </ext>
      </extLst>
    </bk>
    <bk>
      <extLst>
        <ext uri="{3e2802c4-a4d2-4d8b-9148-e3be6c30e623}">
          <xlrd:rvb i="9677"/>
        </ext>
      </extLst>
    </bk>
    <bk>
      <extLst>
        <ext uri="{3e2802c4-a4d2-4d8b-9148-e3be6c30e623}">
          <xlrd:rvb i="9678"/>
        </ext>
      </extLst>
    </bk>
    <bk>
      <extLst>
        <ext uri="{3e2802c4-a4d2-4d8b-9148-e3be6c30e623}">
          <xlrd:rvb i="9679"/>
        </ext>
      </extLst>
    </bk>
    <bk>
      <extLst>
        <ext uri="{3e2802c4-a4d2-4d8b-9148-e3be6c30e623}">
          <xlrd:rvb i="9680"/>
        </ext>
      </extLst>
    </bk>
    <bk>
      <extLst>
        <ext uri="{3e2802c4-a4d2-4d8b-9148-e3be6c30e623}">
          <xlrd:rvb i="9681"/>
        </ext>
      </extLst>
    </bk>
    <bk>
      <extLst>
        <ext uri="{3e2802c4-a4d2-4d8b-9148-e3be6c30e623}">
          <xlrd:rvb i="9682"/>
        </ext>
      </extLst>
    </bk>
    <bk>
      <extLst>
        <ext uri="{3e2802c4-a4d2-4d8b-9148-e3be6c30e623}">
          <xlrd:rvb i="9683"/>
        </ext>
      </extLst>
    </bk>
    <bk>
      <extLst>
        <ext uri="{3e2802c4-a4d2-4d8b-9148-e3be6c30e623}">
          <xlrd:rvb i="9684"/>
        </ext>
      </extLst>
    </bk>
    <bk>
      <extLst>
        <ext uri="{3e2802c4-a4d2-4d8b-9148-e3be6c30e623}">
          <xlrd:rvb i="9685"/>
        </ext>
      </extLst>
    </bk>
    <bk>
      <extLst>
        <ext uri="{3e2802c4-a4d2-4d8b-9148-e3be6c30e623}">
          <xlrd:rvb i="9686"/>
        </ext>
      </extLst>
    </bk>
    <bk>
      <extLst>
        <ext uri="{3e2802c4-a4d2-4d8b-9148-e3be6c30e623}">
          <xlrd:rvb i="9687"/>
        </ext>
      </extLst>
    </bk>
    <bk>
      <extLst>
        <ext uri="{3e2802c4-a4d2-4d8b-9148-e3be6c30e623}">
          <xlrd:rvb i="9688"/>
        </ext>
      </extLst>
    </bk>
    <bk>
      <extLst>
        <ext uri="{3e2802c4-a4d2-4d8b-9148-e3be6c30e623}">
          <xlrd:rvb i="9689"/>
        </ext>
      </extLst>
    </bk>
    <bk>
      <extLst>
        <ext uri="{3e2802c4-a4d2-4d8b-9148-e3be6c30e623}">
          <xlrd:rvb i="9690"/>
        </ext>
      </extLst>
    </bk>
    <bk>
      <extLst>
        <ext uri="{3e2802c4-a4d2-4d8b-9148-e3be6c30e623}">
          <xlrd:rvb i="9691"/>
        </ext>
      </extLst>
    </bk>
    <bk>
      <extLst>
        <ext uri="{3e2802c4-a4d2-4d8b-9148-e3be6c30e623}">
          <xlrd:rvb i="9692"/>
        </ext>
      </extLst>
    </bk>
    <bk>
      <extLst>
        <ext uri="{3e2802c4-a4d2-4d8b-9148-e3be6c30e623}">
          <xlrd:rvb i="9693"/>
        </ext>
      </extLst>
    </bk>
    <bk>
      <extLst>
        <ext uri="{3e2802c4-a4d2-4d8b-9148-e3be6c30e623}">
          <xlrd:rvb i="9694"/>
        </ext>
      </extLst>
    </bk>
    <bk>
      <extLst>
        <ext uri="{3e2802c4-a4d2-4d8b-9148-e3be6c30e623}">
          <xlrd:rvb i="9695"/>
        </ext>
      </extLst>
    </bk>
    <bk>
      <extLst>
        <ext uri="{3e2802c4-a4d2-4d8b-9148-e3be6c30e623}">
          <xlrd:rvb i="9696"/>
        </ext>
      </extLst>
    </bk>
    <bk>
      <extLst>
        <ext uri="{3e2802c4-a4d2-4d8b-9148-e3be6c30e623}">
          <xlrd:rvb i="9697"/>
        </ext>
      </extLst>
    </bk>
    <bk>
      <extLst>
        <ext uri="{3e2802c4-a4d2-4d8b-9148-e3be6c30e623}">
          <xlrd:rvb i="9698"/>
        </ext>
      </extLst>
    </bk>
    <bk>
      <extLst>
        <ext uri="{3e2802c4-a4d2-4d8b-9148-e3be6c30e623}">
          <xlrd:rvb i="9699"/>
        </ext>
      </extLst>
    </bk>
    <bk>
      <extLst>
        <ext uri="{3e2802c4-a4d2-4d8b-9148-e3be6c30e623}">
          <xlrd:rvb i="9700"/>
        </ext>
      </extLst>
    </bk>
    <bk>
      <extLst>
        <ext uri="{3e2802c4-a4d2-4d8b-9148-e3be6c30e623}">
          <xlrd:rvb i="9701"/>
        </ext>
      </extLst>
    </bk>
    <bk>
      <extLst>
        <ext uri="{3e2802c4-a4d2-4d8b-9148-e3be6c30e623}">
          <xlrd:rvb i="9702"/>
        </ext>
      </extLst>
    </bk>
    <bk>
      <extLst>
        <ext uri="{3e2802c4-a4d2-4d8b-9148-e3be6c30e623}">
          <xlrd:rvb i="9703"/>
        </ext>
      </extLst>
    </bk>
    <bk>
      <extLst>
        <ext uri="{3e2802c4-a4d2-4d8b-9148-e3be6c30e623}">
          <xlrd:rvb i="9704"/>
        </ext>
      </extLst>
    </bk>
    <bk>
      <extLst>
        <ext uri="{3e2802c4-a4d2-4d8b-9148-e3be6c30e623}">
          <xlrd:rvb i="9705"/>
        </ext>
      </extLst>
    </bk>
    <bk>
      <extLst>
        <ext uri="{3e2802c4-a4d2-4d8b-9148-e3be6c30e623}">
          <xlrd:rvb i="9706"/>
        </ext>
      </extLst>
    </bk>
    <bk>
      <extLst>
        <ext uri="{3e2802c4-a4d2-4d8b-9148-e3be6c30e623}">
          <xlrd:rvb i="9707"/>
        </ext>
      </extLst>
    </bk>
    <bk>
      <extLst>
        <ext uri="{3e2802c4-a4d2-4d8b-9148-e3be6c30e623}">
          <xlrd:rvb i="9708"/>
        </ext>
      </extLst>
    </bk>
    <bk>
      <extLst>
        <ext uri="{3e2802c4-a4d2-4d8b-9148-e3be6c30e623}">
          <xlrd:rvb i="9709"/>
        </ext>
      </extLst>
    </bk>
    <bk>
      <extLst>
        <ext uri="{3e2802c4-a4d2-4d8b-9148-e3be6c30e623}">
          <xlrd:rvb i="9710"/>
        </ext>
      </extLst>
    </bk>
    <bk>
      <extLst>
        <ext uri="{3e2802c4-a4d2-4d8b-9148-e3be6c30e623}">
          <xlrd:rvb i="9711"/>
        </ext>
      </extLst>
    </bk>
    <bk>
      <extLst>
        <ext uri="{3e2802c4-a4d2-4d8b-9148-e3be6c30e623}">
          <xlrd:rvb i="9712"/>
        </ext>
      </extLst>
    </bk>
    <bk>
      <extLst>
        <ext uri="{3e2802c4-a4d2-4d8b-9148-e3be6c30e623}">
          <xlrd:rvb i="9713"/>
        </ext>
      </extLst>
    </bk>
    <bk>
      <extLst>
        <ext uri="{3e2802c4-a4d2-4d8b-9148-e3be6c30e623}">
          <xlrd:rvb i="9714"/>
        </ext>
      </extLst>
    </bk>
    <bk>
      <extLst>
        <ext uri="{3e2802c4-a4d2-4d8b-9148-e3be6c30e623}">
          <xlrd:rvb i="9715"/>
        </ext>
      </extLst>
    </bk>
    <bk>
      <extLst>
        <ext uri="{3e2802c4-a4d2-4d8b-9148-e3be6c30e623}">
          <xlrd:rvb i="9716"/>
        </ext>
      </extLst>
    </bk>
    <bk>
      <extLst>
        <ext uri="{3e2802c4-a4d2-4d8b-9148-e3be6c30e623}">
          <xlrd:rvb i="9717"/>
        </ext>
      </extLst>
    </bk>
    <bk>
      <extLst>
        <ext uri="{3e2802c4-a4d2-4d8b-9148-e3be6c30e623}">
          <xlrd:rvb i="9718"/>
        </ext>
      </extLst>
    </bk>
    <bk>
      <extLst>
        <ext uri="{3e2802c4-a4d2-4d8b-9148-e3be6c30e623}">
          <xlrd:rvb i="9719"/>
        </ext>
      </extLst>
    </bk>
    <bk>
      <extLst>
        <ext uri="{3e2802c4-a4d2-4d8b-9148-e3be6c30e623}">
          <xlrd:rvb i="9720"/>
        </ext>
      </extLst>
    </bk>
    <bk>
      <extLst>
        <ext uri="{3e2802c4-a4d2-4d8b-9148-e3be6c30e623}">
          <xlrd:rvb i="9721"/>
        </ext>
      </extLst>
    </bk>
    <bk>
      <extLst>
        <ext uri="{3e2802c4-a4d2-4d8b-9148-e3be6c30e623}">
          <xlrd:rvb i="9722"/>
        </ext>
      </extLst>
    </bk>
    <bk>
      <extLst>
        <ext uri="{3e2802c4-a4d2-4d8b-9148-e3be6c30e623}">
          <xlrd:rvb i="9723"/>
        </ext>
      </extLst>
    </bk>
    <bk>
      <extLst>
        <ext uri="{3e2802c4-a4d2-4d8b-9148-e3be6c30e623}">
          <xlrd:rvb i="9724"/>
        </ext>
      </extLst>
    </bk>
    <bk>
      <extLst>
        <ext uri="{3e2802c4-a4d2-4d8b-9148-e3be6c30e623}">
          <xlrd:rvb i="9725"/>
        </ext>
      </extLst>
    </bk>
    <bk>
      <extLst>
        <ext uri="{3e2802c4-a4d2-4d8b-9148-e3be6c30e623}">
          <xlrd:rvb i="9726"/>
        </ext>
      </extLst>
    </bk>
    <bk>
      <extLst>
        <ext uri="{3e2802c4-a4d2-4d8b-9148-e3be6c30e623}">
          <xlrd:rvb i="9727"/>
        </ext>
      </extLst>
    </bk>
    <bk>
      <extLst>
        <ext uri="{3e2802c4-a4d2-4d8b-9148-e3be6c30e623}">
          <xlrd:rvb i="9728"/>
        </ext>
      </extLst>
    </bk>
    <bk>
      <extLst>
        <ext uri="{3e2802c4-a4d2-4d8b-9148-e3be6c30e623}">
          <xlrd:rvb i="9729"/>
        </ext>
      </extLst>
    </bk>
    <bk>
      <extLst>
        <ext uri="{3e2802c4-a4d2-4d8b-9148-e3be6c30e623}">
          <xlrd:rvb i="9730"/>
        </ext>
      </extLst>
    </bk>
    <bk>
      <extLst>
        <ext uri="{3e2802c4-a4d2-4d8b-9148-e3be6c30e623}">
          <xlrd:rvb i="9731"/>
        </ext>
      </extLst>
    </bk>
    <bk>
      <extLst>
        <ext uri="{3e2802c4-a4d2-4d8b-9148-e3be6c30e623}">
          <xlrd:rvb i="9732"/>
        </ext>
      </extLst>
    </bk>
    <bk>
      <extLst>
        <ext uri="{3e2802c4-a4d2-4d8b-9148-e3be6c30e623}">
          <xlrd:rvb i="9733"/>
        </ext>
      </extLst>
    </bk>
    <bk>
      <extLst>
        <ext uri="{3e2802c4-a4d2-4d8b-9148-e3be6c30e623}">
          <xlrd:rvb i="9734"/>
        </ext>
      </extLst>
    </bk>
    <bk>
      <extLst>
        <ext uri="{3e2802c4-a4d2-4d8b-9148-e3be6c30e623}">
          <xlrd:rvb i="9735"/>
        </ext>
      </extLst>
    </bk>
    <bk>
      <extLst>
        <ext uri="{3e2802c4-a4d2-4d8b-9148-e3be6c30e623}">
          <xlrd:rvb i="9736"/>
        </ext>
      </extLst>
    </bk>
    <bk>
      <extLst>
        <ext uri="{3e2802c4-a4d2-4d8b-9148-e3be6c30e623}">
          <xlrd:rvb i="9737"/>
        </ext>
      </extLst>
    </bk>
    <bk>
      <extLst>
        <ext uri="{3e2802c4-a4d2-4d8b-9148-e3be6c30e623}">
          <xlrd:rvb i="9738"/>
        </ext>
      </extLst>
    </bk>
    <bk>
      <extLst>
        <ext uri="{3e2802c4-a4d2-4d8b-9148-e3be6c30e623}">
          <xlrd:rvb i="9739"/>
        </ext>
      </extLst>
    </bk>
    <bk>
      <extLst>
        <ext uri="{3e2802c4-a4d2-4d8b-9148-e3be6c30e623}">
          <xlrd:rvb i="9740"/>
        </ext>
      </extLst>
    </bk>
    <bk>
      <extLst>
        <ext uri="{3e2802c4-a4d2-4d8b-9148-e3be6c30e623}">
          <xlrd:rvb i="9741"/>
        </ext>
      </extLst>
    </bk>
    <bk>
      <extLst>
        <ext uri="{3e2802c4-a4d2-4d8b-9148-e3be6c30e623}">
          <xlrd:rvb i="9742"/>
        </ext>
      </extLst>
    </bk>
    <bk>
      <extLst>
        <ext uri="{3e2802c4-a4d2-4d8b-9148-e3be6c30e623}">
          <xlrd:rvb i="9743"/>
        </ext>
      </extLst>
    </bk>
    <bk>
      <extLst>
        <ext uri="{3e2802c4-a4d2-4d8b-9148-e3be6c30e623}">
          <xlrd:rvb i="9744"/>
        </ext>
      </extLst>
    </bk>
    <bk>
      <extLst>
        <ext uri="{3e2802c4-a4d2-4d8b-9148-e3be6c30e623}">
          <xlrd:rvb i="9745"/>
        </ext>
      </extLst>
    </bk>
    <bk>
      <extLst>
        <ext uri="{3e2802c4-a4d2-4d8b-9148-e3be6c30e623}">
          <xlrd:rvb i="9746"/>
        </ext>
      </extLst>
    </bk>
    <bk>
      <extLst>
        <ext uri="{3e2802c4-a4d2-4d8b-9148-e3be6c30e623}">
          <xlrd:rvb i="9747"/>
        </ext>
      </extLst>
    </bk>
    <bk>
      <extLst>
        <ext uri="{3e2802c4-a4d2-4d8b-9148-e3be6c30e623}">
          <xlrd:rvb i="9748"/>
        </ext>
      </extLst>
    </bk>
    <bk>
      <extLst>
        <ext uri="{3e2802c4-a4d2-4d8b-9148-e3be6c30e623}">
          <xlrd:rvb i="9749"/>
        </ext>
      </extLst>
    </bk>
    <bk>
      <extLst>
        <ext uri="{3e2802c4-a4d2-4d8b-9148-e3be6c30e623}">
          <xlrd:rvb i="9750"/>
        </ext>
      </extLst>
    </bk>
    <bk>
      <extLst>
        <ext uri="{3e2802c4-a4d2-4d8b-9148-e3be6c30e623}">
          <xlrd:rvb i="9751"/>
        </ext>
      </extLst>
    </bk>
    <bk>
      <extLst>
        <ext uri="{3e2802c4-a4d2-4d8b-9148-e3be6c30e623}">
          <xlrd:rvb i="9752"/>
        </ext>
      </extLst>
    </bk>
    <bk>
      <extLst>
        <ext uri="{3e2802c4-a4d2-4d8b-9148-e3be6c30e623}">
          <xlrd:rvb i="9753"/>
        </ext>
      </extLst>
    </bk>
    <bk>
      <extLst>
        <ext uri="{3e2802c4-a4d2-4d8b-9148-e3be6c30e623}">
          <xlrd:rvb i="9754"/>
        </ext>
      </extLst>
    </bk>
    <bk>
      <extLst>
        <ext uri="{3e2802c4-a4d2-4d8b-9148-e3be6c30e623}">
          <xlrd:rvb i="9755"/>
        </ext>
      </extLst>
    </bk>
    <bk>
      <extLst>
        <ext uri="{3e2802c4-a4d2-4d8b-9148-e3be6c30e623}">
          <xlrd:rvb i="9756"/>
        </ext>
      </extLst>
    </bk>
    <bk>
      <extLst>
        <ext uri="{3e2802c4-a4d2-4d8b-9148-e3be6c30e623}">
          <xlrd:rvb i="9757"/>
        </ext>
      </extLst>
    </bk>
    <bk>
      <extLst>
        <ext uri="{3e2802c4-a4d2-4d8b-9148-e3be6c30e623}">
          <xlrd:rvb i="9758"/>
        </ext>
      </extLst>
    </bk>
    <bk>
      <extLst>
        <ext uri="{3e2802c4-a4d2-4d8b-9148-e3be6c30e623}">
          <xlrd:rvb i="9759"/>
        </ext>
      </extLst>
    </bk>
    <bk>
      <extLst>
        <ext uri="{3e2802c4-a4d2-4d8b-9148-e3be6c30e623}">
          <xlrd:rvb i="9760"/>
        </ext>
      </extLst>
    </bk>
    <bk>
      <extLst>
        <ext uri="{3e2802c4-a4d2-4d8b-9148-e3be6c30e623}">
          <xlrd:rvb i="9761"/>
        </ext>
      </extLst>
    </bk>
    <bk>
      <extLst>
        <ext uri="{3e2802c4-a4d2-4d8b-9148-e3be6c30e623}">
          <xlrd:rvb i="9762"/>
        </ext>
      </extLst>
    </bk>
    <bk>
      <extLst>
        <ext uri="{3e2802c4-a4d2-4d8b-9148-e3be6c30e623}">
          <xlrd:rvb i="9763"/>
        </ext>
      </extLst>
    </bk>
    <bk>
      <extLst>
        <ext uri="{3e2802c4-a4d2-4d8b-9148-e3be6c30e623}">
          <xlrd:rvb i="9764"/>
        </ext>
      </extLst>
    </bk>
    <bk>
      <extLst>
        <ext uri="{3e2802c4-a4d2-4d8b-9148-e3be6c30e623}">
          <xlrd:rvb i="9765"/>
        </ext>
      </extLst>
    </bk>
    <bk>
      <extLst>
        <ext uri="{3e2802c4-a4d2-4d8b-9148-e3be6c30e623}">
          <xlrd:rvb i="9766"/>
        </ext>
      </extLst>
    </bk>
    <bk>
      <extLst>
        <ext uri="{3e2802c4-a4d2-4d8b-9148-e3be6c30e623}">
          <xlrd:rvb i="9767"/>
        </ext>
      </extLst>
    </bk>
    <bk>
      <extLst>
        <ext uri="{3e2802c4-a4d2-4d8b-9148-e3be6c30e623}">
          <xlrd:rvb i="9768"/>
        </ext>
      </extLst>
    </bk>
    <bk>
      <extLst>
        <ext uri="{3e2802c4-a4d2-4d8b-9148-e3be6c30e623}">
          <xlrd:rvb i="9769"/>
        </ext>
      </extLst>
    </bk>
    <bk>
      <extLst>
        <ext uri="{3e2802c4-a4d2-4d8b-9148-e3be6c30e623}">
          <xlrd:rvb i="9770"/>
        </ext>
      </extLst>
    </bk>
    <bk>
      <extLst>
        <ext uri="{3e2802c4-a4d2-4d8b-9148-e3be6c30e623}">
          <xlrd:rvb i="9771"/>
        </ext>
      </extLst>
    </bk>
    <bk>
      <extLst>
        <ext uri="{3e2802c4-a4d2-4d8b-9148-e3be6c30e623}">
          <xlrd:rvb i="9772"/>
        </ext>
      </extLst>
    </bk>
    <bk>
      <extLst>
        <ext uri="{3e2802c4-a4d2-4d8b-9148-e3be6c30e623}">
          <xlrd:rvb i="9773"/>
        </ext>
      </extLst>
    </bk>
    <bk>
      <extLst>
        <ext uri="{3e2802c4-a4d2-4d8b-9148-e3be6c30e623}">
          <xlrd:rvb i="9774"/>
        </ext>
      </extLst>
    </bk>
    <bk>
      <extLst>
        <ext uri="{3e2802c4-a4d2-4d8b-9148-e3be6c30e623}">
          <xlrd:rvb i="9775"/>
        </ext>
      </extLst>
    </bk>
    <bk>
      <extLst>
        <ext uri="{3e2802c4-a4d2-4d8b-9148-e3be6c30e623}">
          <xlrd:rvb i="9776"/>
        </ext>
      </extLst>
    </bk>
    <bk>
      <extLst>
        <ext uri="{3e2802c4-a4d2-4d8b-9148-e3be6c30e623}">
          <xlrd:rvb i="9777"/>
        </ext>
      </extLst>
    </bk>
    <bk>
      <extLst>
        <ext uri="{3e2802c4-a4d2-4d8b-9148-e3be6c30e623}">
          <xlrd:rvb i="9778"/>
        </ext>
      </extLst>
    </bk>
    <bk>
      <extLst>
        <ext uri="{3e2802c4-a4d2-4d8b-9148-e3be6c30e623}">
          <xlrd:rvb i="9779"/>
        </ext>
      </extLst>
    </bk>
    <bk>
      <extLst>
        <ext uri="{3e2802c4-a4d2-4d8b-9148-e3be6c30e623}">
          <xlrd:rvb i="9780"/>
        </ext>
      </extLst>
    </bk>
    <bk>
      <extLst>
        <ext uri="{3e2802c4-a4d2-4d8b-9148-e3be6c30e623}">
          <xlrd:rvb i="9781"/>
        </ext>
      </extLst>
    </bk>
    <bk>
      <extLst>
        <ext uri="{3e2802c4-a4d2-4d8b-9148-e3be6c30e623}">
          <xlrd:rvb i="9782"/>
        </ext>
      </extLst>
    </bk>
    <bk>
      <extLst>
        <ext uri="{3e2802c4-a4d2-4d8b-9148-e3be6c30e623}">
          <xlrd:rvb i="9783"/>
        </ext>
      </extLst>
    </bk>
    <bk>
      <extLst>
        <ext uri="{3e2802c4-a4d2-4d8b-9148-e3be6c30e623}">
          <xlrd:rvb i="9784"/>
        </ext>
      </extLst>
    </bk>
    <bk>
      <extLst>
        <ext uri="{3e2802c4-a4d2-4d8b-9148-e3be6c30e623}">
          <xlrd:rvb i="9785"/>
        </ext>
      </extLst>
    </bk>
    <bk>
      <extLst>
        <ext uri="{3e2802c4-a4d2-4d8b-9148-e3be6c30e623}">
          <xlrd:rvb i="9786"/>
        </ext>
      </extLst>
    </bk>
    <bk>
      <extLst>
        <ext uri="{3e2802c4-a4d2-4d8b-9148-e3be6c30e623}">
          <xlrd:rvb i="9787"/>
        </ext>
      </extLst>
    </bk>
    <bk>
      <extLst>
        <ext uri="{3e2802c4-a4d2-4d8b-9148-e3be6c30e623}">
          <xlrd:rvb i="9788"/>
        </ext>
      </extLst>
    </bk>
    <bk>
      <extLst>
        <ext uri="{3e2802c4-a4d2-4d8b-9148-e3be6c30e623}">
          <xlrd:rvb i="9789"/>
        </ext>
      </extLst>
    </bk>
    <bk>
      <extLst>
        <ext uri="{3e2802c4-a4d2-4d8b-9148-e3be6c30e623}">
          <xlrd:rvb i="9790"/>
        </ext>
      </extLst>
    </bk>
    <bk>
      <extLst>
        <ext uri="{3e2802c4-a4d2-4d8b-9148-e3be6c30e623}">
          <xlrd:rvb i="9791"/>
        </ext>
      </extLst>
    </bk>
    <bk>
      <extLst>
        <ext uri="{3e2802c4-a4d2-4d8b-9148-e3be6c30e623}">
          <xlrd:rvb i="9792"/>
        </ext>
      </extLst>
    </bk>
    <bk>
      <extLst>
        <ext uri="{3e2802c4-a4d2-4d8b-9148-e3be6c30e623}">
          <xlrd:rvb i="9793"/>
        </ext>
      </extLst>
    </bk>
    <bk>
      <extLst>
        <ext uri="{3e2802c4-a4d2-4d8b-9148-e3be6c30e623}">
          <xlrd:rvb i="9794"/>
        </ext>
      </extLst>
    </bk>
    <bk>
      <extLst>
        <ext uri="{3e2802c4-a4d2-4d8b-9148-e3be6c30e623}">
          <xlrd:rvb i="9795"/>
        </ext>
      </extLst>
    </bk>
    <bk>
      <extLst>
        <ext uri="{3e2802c4-a4d2-4d8b-9148-e3be6c30e623}">
          <xlrd:rvb i="9796"/>
        </ext>
      </extLst>
    </bk>
    <bk>
      <extLst>
        <ext uri="{3e2802c4-a4d2-4d8b-9148-e3be6c30e623}">
          <xlrd:rvb i="9797"/>
        </ext>
      </extLst>
    </bk>
    <bk>
      <extLst>
        <ext uri="{3e2802c4-a4d2-4d8b-9148-e3be6c30e623}">
          <xlrd:rvb i="9798"/>
        </ext>
      </extLst>
    </bk>
    <bk>
      <extLst>
        <ext uri="{3e2802c4-a4d2-4d8b-9148-e3be6c30e623}">
          <xlrd:rvb i="9799"/>
        </ext>
      </extLst>
    </bk>
    <bk>
      <extLst>
        <ext uri="{3e2802c4-a4d2-4d8b-9148-e3be6c30e623}">
          <xlrd:rvb i="9800"/>
        </ext>
      </extLst>
    </bk>
    <bk>
      <extLst>
        <ext uri="{3e2802c4-a4d2-4d8b-9148-e3be6c30e623}">
          <xlrd:rvb i="9801"/>
        </ext>
      </extLst>
    </bk>
    <bk>
      <extLst>
        <ext uri="{3e2802c4-a4d2-4d8b-9148-e3be6c30e623}">
          <xlrd:rvb i="9802"/>
        </ext>
      </extLst>
    </bk>
    <bk>
      <extLst>
        <ext uri="{3e2802c4-a4d2-4d8b-9148-e3be6c30e623}">
          <xlrd:rvb i="9803"/>
        </ext>
      </extLst>
    </bk>
    <bk>
      <extLst>
        <ext uri="{3e2802c4-a4d2-4d8b-9148-e3be6c30e623}">
          <xlrd:rvb i="9804"/>
        </ext>
      </extLst>
    </bk>
    <bk>
      <extLst>
        <ext uri="{3e2802c4-a4d2-4d8b-9148-e3be6c30e623}">
          <xlrd:rvb i="9805"/>
        </ext>
      </extLst>
    </bk>
    <bk>
      <extLst>
        <ext uri="{3e2802c4-a4d2-4d8b-9148-e3be6c30e623}">
          <xlrd:rvb i="9806"/>
        </ext>
      </extLst>
    </bk>
    <bk>
      <extLst>
        <ext uri="{3e2802c4-a4d2-4d8b-9148-e3be6c30e623}">
          <xlrd:rvb i="9807"/>
        </ext>
      </extLst>
    </bk>
    <bk>
      <extLst>
        <ext uri="{3e2802c4-a4d2-4d8b-9148-e3be6c30e623}">
          <xlrd:rvb i="9808"/>
        </ext>
      </extLst>
    </bk>
    <bk>
      <extLst>
        <ext uri="{3e2802c4-a4d2-4d8b-9148-e3be6c30e623}">
          <xlrd:rvb i="9809"/>
        </ext>
      </extLst>
    </bk>
    <bk>
      <extLst>
        <ext uri="{3e2802c4-a4d2-4d8b-9148-e3be6c30e623}">
          <xlrd:rvb i="9810"/>
        </ext>
      </extLst>
    </bk>
    <bk>
      <extLst>
        <ext uri="{3e2802c4-a4d2-4d8b-9148-e3be6c30e623}">
          <xlrd:rvb i="9811"/>
        </ext>
      </extLst>
    </bk>
    <bk>
      <extLst>
        <ext uri="{3e2802c4-a4d2-4d8b-9148-e3be6c30e623}">
          <xlrd:rvb i="9812"/>
        </ext>
      </extLst>
    </bk>
    <bk>
      <extLst>
        <ext uri="{3e2802c4-a4d2-4d8b-9148-e3be6c30e623}">
          <xlrd:rvb i="9813"/>
        </ext>
      </extLst>
    </bk>
    <bk>
      <extLst>
        <ext uri="{3e2802c4-a4d2-4d8b-9148-e3be6c30e623}">
          <xlrd:rvb i="9814"/>
        </ext>
      </extLst>
    </bk>
    <bk>
      <extLst>
        <ext uri="{3e2802c4-a4d2-4d8b-9148-e3be6c30e623}">
          <xlrd:rvb i="9815"/>
        </ext>
      </extLst>
    </bk>
    <bk>
      <extLst>
        <ext uri="{3e2802c4-a4d2-4d8b-9148-e3be6c30e623}">
          <xlrd:rvb i="9816"/>
        </ext>
      </extLst>
    </bk>
    <bk>
      <extLst>
        <ext uri="{3e2802c4-a4d2-4d8b-9148-e3be6c30e623}">
          <xlrd:rvb i="9817"/>
        </ext>
      </extLst>
    </bk>
    <bk>
      <extLst>
        <ext uri="{3e2802c4-a4d2-4d8b-9148-e3be6c30e623}">
          <xlrd:rvb i="9818"/>
        </ext>
      </extLst>
    </bk>
    <bk>
      <extLst>
        <ext uri="{3e2802c4-a4d2-4d8b-9148-e3be6c30e623}">
          <xlrd:rvb i="9819"/>
        </ext>
      </extLst>
    </bk>
    <bk>
      <extLst>
        <ext uri="{3e2802c4-a4d2-4d8b-9148-e3be6c30e623}">
          <xlrd:rvb i="9820"/>
        </ext>
      </extLst>
    </bk>
    <bk>
      <extLst>
        <ext uri="{3e2802c4-a4d2-4d8b-9148-e3be6c30e623}">
          <xlrd:rvb i="9821"/>
        </ext>
      </extLst>
    </bk>
    <bk>
      <extLst>
        <ext uri="{3e2802c4-a4d2-4d8b-9148-e3be6c30e623}">
          <xlrd:rvb i="9822"/>
        </ext>
      </extLst>
    </bk>
    <bk>
      <extLst>
        <ext uri="{3e2802c4-a4d2-4d8b-9148-e3be6c30e623}">
          <xlrd:rvb i="9823"/>
        </ext>
      </extLst>
    </bk>
    <bk>
      <extLst>
        <ext uri="{3e2802c4-a4d2-4d8b-9148-e3be6c30e623}">
          <xlrd:rvb i="9824"/>
        </ext>
      </extLst>
    </bk>
    <bk>
      <extLst>
        <ext uri="{3e2802c4-a4d2-4d8b-9148-e3be6c30e623}">
          <xlrd:rvb i="9825"/>
        </ext>
      </extLst>
    </bk>
    <bk>
      <extLst>
        <ext uri="{3e2802c4-a4d2-4d8b-9148-e3be6c30e623}">
          <xlrd:rvb i="9826"/>
        </ext>
      </extLst>
    </bk>
    <bk>
      <extLst>
        <ext uri="{3e2802c4-a4d2-4d8b-9148-e3be6c30e623}">
          <xlrd:rvb i="9827"/>
        </ext>
      </extLst>
    </bk>
    <bk>
      <extLst>
        <ext uri="{3e2802c4-a4d2-4d8b-9148-e3be6c30e623}">
          <xlrd:rvb i="9828"/>
        </ext>
      </extLst>
    </bk>
    <bk>
      <extLst>
        <ext uri="{3e2802c4-a4d2-4d8b-9148-e3be6c30e623}">
          <xlrd:rvb i="9829"/>
        </ext>
      </extLst>
    </bk>
    <bk>
      <extLst>
        <ext uri="{3e2802c4-a4d2-4d8b-9148-e3be6c30e623}">
          <xlrd:rvb i="9830"/>
        </ext>
      </extLst>
    </bk>
    <bk>
      <extLst>
        <ext uri="{3e2802c4-a4d2-4d8b-9148-e3be6c30e623}">
          <xlrd:rvb i="9831"/>
        </ext>
      </extLst>
    </bk>
    <bk>
      <extLst>
        <ext uri="{3e2802c4-a4d2-4d8b-9148-e3be6c30e623}">
          <xlrd:rvb i="9832"/>
        </ext>
      </extLst>
    </bk>
    <bk>
      <extLst>
        <ext uri="{3e2802c4-a4d2-4d8b-9148-e3be6c30e623}">
          <xlrd:rvb i="9833"/>
        </ext>
      </extLst>
    </bk>
    <bk>
      <extLst>
        <ext uri="{3e2802c4-a4d2-4d8b-9148-e3be6c30e623}">
          <xlrd:rvb i="9834"/>
        </ext>
      </extLst>
    </bk>
    <bk>
      <extLst>
        <ext uri="{3e2802c4-a4d2-4d8b-9148-e3be6c30e623}">
          <xlrd:rvb i="9835"/>
        </ext>
      </extLst>
    </bk>
    <bk>
      <extLst>
        <ext uri="{3e2802c4-a4d2-4d8b-9148-e3be6c30e623}">
          <xlrd:rvb i="9836"/>
        </ext>
      </extLst>
    </bk>
    <bk>
      <extLst>
        <ext uri="{3e2802c4-a4d2-4d8b-9148-e3be6c30e623}">
          <xlrd:rvb i="9837"/>
        </ext>
      </extLst>
    </bk>
    <bk>
      <extLst>
        <ext uri="{3e2802c4-a4d2-4d8b-9148-e3be6c30e623}">
          <xlrd:rvb i="9838"/>
        </ext>
      </extLst>
    </bk>
    <bk>
      <extLst>
        <ext uri="{3e2802c4-a4d2-4d8b-9148-e3be6c30e623}">
          <xlrd:rvb i="9839"/>
        </ext>
      </extLst>
    </bk>
    <bk>
      <extLst>
        <ext uri="{3e2802c4-a4d2-4d8b-9148-e3be6c30e623}">
          <xlrd:rvb i="9840"/>
        </ext>
      </extLst>
    </bk>
    <bk>
      <extLst>
        <ext uri="{3e2802c4-a4d2-4d8b-9148-e3be6c30e623}">
          <xlrd:rvb i="9841"/>
        </ext>
      </extLst>
    </bk>
    <bk>
      <extLst>
        <ext uri="{3e2802c4-a4d2-4d8b-9148-e3be6c30e623}">
          <xlrd:rvb i="9842"/>
        </ext>
      </extLst>
    </bk>
    <bk>
      <extLst>
        <ext uri="{3e2802c4-a4d2-4d8b-9148-e3be6c30e623}">
          <xlrd:rvb i="9843"/>
        </ext>
      </extLst>
    </bk>
    <bk>
      <extLst>
        <ext uri="{3e2802c4-a4d2-4d8b-9148-e3be6c30e623}">
          <xlrd:rvb i="9844"/>
        </ext>
      </extLst>
    </bk>
    <bk>
      <extLst>
        <ext uri="{3e2802c4-a4d2-4d8b-9148-e3be6c30e623}">
          <xlrd:rvb i="9845"/>
        </ext>
      </extLst>
    </bk>
    <bk>
      <extLst>
        <ext uri="{3e2802c4-a4d2-4d8b-9148-e3be6c30e623}">
          <xlrd:rvb i="9846"/>
        </ext>
      </extLst>
    </bk>
    <bk>
      <extLst>
        <ext uri="{3e2802c4-a4d2-4d8b-9148-e3be6c30e623}">
          <xlrd:rvb i="9847"/>
        </ext>
      </extLst>
    </bk>
    <bk>
      <extLst>
        <ext uri="{3e2802c4-a4d2-4d8b-9148-e3be6c30e623}">
          <xlrd:rvb i="9848"/>
        </ext>
      </extLst>
    </bk>
    <bk>
      <extLst>
        <ext uri="{3e2802c4-a4d2-4d8b-9148-e3be6c30e623}">
          <xlrd:rvb i="9849"/>
        </ext>
      </extLst>
    </bk>
    <bk>
      <extLst>
        <ext uri="{3e2802c4-a4d2-4d8b-9148-e3be6c30e623}">
          <xlrd:rvb i="9850"/>
        </ext>
      </extLst>
    </bk>
    <bk>
      <extLst>
        <ext uri="{3e2802c4-a4d2-4d8b-9148-e3be6c30e623}">
          <xlrd:rvb i="9851"/>
        </ext>
      </extLst>
    </bk>
    <bk>
      <extLst>
        <ext uri="{3e2802c4-a4d2-4d8b-9148-e3be6c30e623}">
          <xlrd:rvb i="9852"/>
        </ext>
      </extLst>
    </bk>
    <bk>
      <extLst>
        <ext uri="{3e2802c4-a4d2-4d8b-9148-e3be6c30e623}">
          <xlrd:rvb i="9853"/>
        </ext>
      </extLst>
    </bk>
    <bk>
      <extLst>
        <ext uri="{3e2802c4-a4d2-4d8b-9148-e3be6c30e623}">
          <xlrd:rvb i="9854"/>
        </ext>
      </extLst>
    </bk>
    <bk>
      <extLst>
        <ext uri="{3e2802c4-a4d2-4d8b-9148-e3be6c30e623}">
          <xlrd:rvb i="9855"/>
        </ext>
      </extLst>
    </bk>
    <bk>
      <extLst>
        <ext uri="{3e2802c4-a4d2-4d8b-9148-e3be6c30e623}">
          <xlrd:rvb i="9856"/>
        </ext>
      </extLst>
    </bk>
    <bk>
      <extLst>
        <ext uri="{3e2802c4-a4d2-4d8b-9148-e3be6c30e623}">
          <xlrd:rvb i="9857"/>
        </ext>
      </extLst>
    </bk>
    <bk>
      <extLst>
        <ext uri="{3e2802c4-a4d2-4d8b-9148-e3be6c30e623}">
          <xlrd:rvb i="9858"/>
        </ext>
      </extLst>
    </bk>
    <bk>
      <extLst>
        <ext uri="{3e2802c4-a4d2-4d8b-9148-e3be6c30e623}">
          <xlrd:rvb i="9859"/>
        </ext>
      </extLst>
    </bk>
    <bk>
      <extLst>
        <ext uri="{3e2802c4-a4d2-4d8b-9148-e3be6c30e623}">
          <xlrd:rvb i="9860"/>
        </ext>
      </extLst>
    </bk>
    <bk>
      <extLst>
        <ext uri="{3e2802c4-a4d2-4d8b-9148-e3be6c30e623}">
          <xlrd:rvb i="9861"/>
        </ext>
      </extLst>
    </bk>
    <bk>
      <extLst>
        <ext uri="{3e2802c4-a4d2-4d8b-9148-e3be6c30e623}">
          <xlrd:rvb i="9862"/>
        </ext>
      </extLst>
    </bk>
    <bk>
      <extLst>
        <ext uri="{3e2802c4-a4d2-4d8b-9148-e3be6c30e623}">
          <xlrd:rvb i="9863"/>
        </ext>
      </extLst>
    </bk>
    <bk>
      <extLst>
        <ext uri="{3e2802c4-a4d2-4d8b-9148-e3be6c30e623}">
          <xlrd:rvb i="9864"/>
        </ext>
      </extLst>
    </bk>
    <bk>
      <extLst>
        <ext uri="{3e2802c4-a4d2-4d8b-9148-e3be6c30e623}">
          <xlrd:rvb i="9865"/>
        </ext>
      </extLst>
    </bk>
    <bk>
      <extLst>
        <ext uri="{3e2802c4-a4d2-4d8b-9148-e3be6c30e623}">
          <xlrd:rvb i="9866"/>
        </ext>
      </extLst>
    </bk>
    <bk>
      <extLst>
        <ext uri="{3e2802c4-a4d2-4d8b-9148-e3be6c30e623}">
          <xlrd:rvb i="9867"/>
        </ext>
      </extLst>
    </bk>
    <bk>
      <extLst>
        <ext uri="{3e2802c4-a4d2-4d8b-9148-e3be6c30e623}">
          <xlrd:rvb i="9868"/>
        </ext>
      </extLst>
    </bk>
    <bk>
      <extLst>
        <ext uri="{3e2802c4-a4d2-4d8b-9148-e3be6c30e623}">
          <xlrd:rvb i="9869"/>
        </ext>
      </extLst>
    </bk>
    <bk>
      <extLst>
        <ext uri="{3e2802c4-a4d2-4d8b-9148-e3be6c30e623}">
          <xlrd:rvb i="9870"/>
        </ext>
      </extLst>
    </bk>
    <bk>
      <extLst>
        <ext uri="{3e2802c4-a4d2-4d8b-9148-e3be6c30e623}">
          <xlrd:rvb i="9871"/>
        </ext>
      </extLst>
    </bk>
    <bk>
      <extLst>
        <ext uri="{3e2802c4-a4d2-4d8b-9148-e3be6c30e623}">
          <xlrd:rvb i="9872"/>
        </ext>
      </extLst>
    </bk>
    <bk>
      <extLst>
        <ext uri="{3e2802c4-a4d2-4d8b-9148-e3be6c30e623}">
          <xlrd:rvb i="9873"/>
        </ext>
      </extLst>
    </bk>
    <bk>
      <extLst>
        <ext uri="{3e2802c4-a4d2-4d8b-9148-e3be6c30e623}">
          <xlrd:rvb i="9874"/>
        </ext>
      </extLst>
    </bk>
    <bk>
      <extLst>
        <ext uri="{3e2802c4-a4d2-4d8b-9148-e3be6c30e623}">
          <xlrd:rvb i="9875"/>
        </ext>
      </extLst>
    </bk>
    <bk>
      <extLst>
        <ext uri="{3e2802c4-a4d2-4d8b-9148-e3be6c30e623}">
          <xlrd:rvb i="9876"/>
        </ext>
      </extLst>
    </bk>
    <bk>
      <extLst>
        <ext uri="{3e2802c4-a4d2-4d8b-9148-e3be6c30e623}">
          <xlrd:rvb i="9877"/>
        </ext>
      </extLst>
    </bk>
    <bk>
      <extLst>
        <ext uri="{3e2802c4-a4d2-4d8b-9148-e3be6c30e623}">
          <xlrd:rvb i="9878"/>
        </ext>
      </extLst>
    </bk>
    <bk>
      <extLst>
        <ext uri="{3e2802c4-a4d2-4d8b-9148-e3be6c30e623}">
          <xlrd:rvb i="9879"/>
        </ext>
      </extLst>
    </bk>
    <bk>
      <extLst>
        <ext uri="{3e2802c4-a4d2-4d8b-9148-e3be6c30e623}">
          <xlrd:rvb i="9880"/>
        </ext>
      </extLst>
    </bk>
    <bk>
      <extLst>
        <ext uri="{3e2802c4-a4d2-4d8b-9148-e3be6c30e623}">
          <xlrd:rvb i="9881"/>
        </ext>
      </extLst>
    </bk>
    <bk>
      <extLst>
        <ext uri="{3e2802c4-a4d2-4d8b-9148-e3be6c30e623}">
          <xlrd:rvb i="9882"/>
        </ext>
      </extLst>
    </bk>
    <bk>
      <extLst>
        <ext uri="{3e2802c4-a4d2-4d8b-9148-e3be6c30e623}">
          <xlrd:rvb i="9883"/>
        </ext>
      </extLst>
    </bk>
    <bk>
      <extLst>
        <ext uri="{3e2802c4-a4d2-4d8b-9148-e3be6c30e623}">
          <xlrd:rvb i="9884"/>
        </ext>
      </extLst>
    </bk>
    <bk>
      <extLst>
        <ext uri="{3e2802c4-a4d2-4d8b-9148-e3be6c30e623}">
          <xlrd:rvb i="9885"/>
        </ext>
      </extLst>
    </bk>
    <bk>
      <extLst>
        <ext uri="{3e2802c4-a4d2-4d8b-9148-e3be6c30e623}">
          <xlrd:rvb i="9886"/>
        </ext>
      </extLst>
    </bk>
    <bk>
      <extLst>
        <ext uri="{3e2802c4-a4d2-4d8b-9148-e3be6c30e623}">
          <xlrd:rvb i="9887"/>
        </ext>
      </extLst>
    </bk>
    <bk>
      <extLst>
        <ext uri="{3e2802c4-a4d2-4d8b-9148-e3be6c30e623}">
          <xlrd:rvb i="9888"/>
        </ext>
      </extLst>
    </bk>
    <bk>
      <extLst>
        <ext uri="{3e2802c4-a4d2-4d8b-9148-e3be6c30e623}">
          <xlrd:rvb i="9889"/>
        </ext>
      </extLst>
    </bk>
    <bk>
      <extLst>
        <ext uri="{3e2802c4-a4d2-4d8b-9148-e3be6c30e623}">
          <xlrd:rvb i="9890"/>
        </ext>
      </extLst>
    </bk>
    <bk>
      <extLst>
        <ext uri="{3e2802c4-a4d2-4d8b-9148-e3be6c30e623}">
          <xlrd:rvb i="9891"/>
        </ext>
      </extLst>
    </bk>
    <bk>
      <extLst>
        <ext uri="{3e2802c4-a4d2-4d8b-9148-e3be6c30e623}">
          <xlrd:rvb i="9892"/>
        </ext>
      </extLst>
    </bk>
    <bk>
      <extLst>
        <ext uri="{3e2802c4-a4d2-4d8b-9148-e3be6c30e623}">
          <xlrd:rvb i="9893"/>
        </ext>
      </extLst>
    </bk>
    <bk>
      <extLst>
        <ext uri="{3e2802c4-a4d2-4d8b-9148-e3be6c30e623}">
          <xlrd:rvb i="9894"/>
        </ext>
      </extLst>
    </bk>
    <bk>
      <extLst>
        <ext uri="{3e2802c4-a4d2-4d8b-9148-e3be6c30e623}">
          <xlrd:rvb i="9895"/>
        </ext>
      </extLst>
    </bk>
    <bk>
      <extLst>
        <ext uri="{3e2802c4-a4d2-4d8b-9148-e3be6c30e623}">
          <xlrd:rvb i="9896"/>
        </ext>
      </extLst>
    </bk>
    <bk>
      <extLst>
        <ext uri="{3e2802c4-a4d2-4d8b-9148-e3be6c30e623}">
          <xlrd:rvb i="9897"/>
        </ext>
      </extLst>
    </bk>
    <bk>
      <extLst>
        <ext uri="{3e2802c4-a4d2-4d8b-9148-e3be6c30e623}">
          <xlrd:rvb i="9898"/>
        </ext>
      </extLst>
    </bk>
    <bk>
      <extLst>
        <ext uri="{3e2802c4-a4d2-4d8b-9148-e3be6c30e623}">
          <xlrd:rvb i="9899"/>
        </ext>
      </extLst>
    </bk>
    <bk>
      <extLst>
        <ext uri="{3e2802c4-a4d2-4d8b-9148-e3be6c30e623}">
          <xlrd:rvb i="9900"/>
        </ext>
      </extLst>
    </bk>
    <bk>
      <extLst>
        <ext uri="{3e2802c4-a4d2-4d8b-9148-e3be6c30e623}">
          <xlrd:rvb i="9901"/>
        </ext>
      </extLst>
    </bk>
    <bk>
      <extLst>
        <ext uri="{3e2802c4-a4d2-4d8b-9148-e3be6c30e623}">
          <xlrd:rvb i="9902"/>
        </ext>
      </extLst>
    </bk>
    <bk>
      <extLst>
        <ext uri="{3e2802c4-a4d2-4d8b-9148-e3be6c30e623}">
          <xlrd:rvb i="9903"/>
        </ext>
      </extLst>
    </bk>
    <bk>
      <extLst>
        <ext uri="{3e2802c4-a4d2-4d8b-9148-e3be6c30e623}">
          <xlrd:rvb i="9904"/>
        </ext>
      </extLst>
    </bk>
    <bk>
      <extLst>
        <ext uri="{3e2802c4-a4d2-4d8b-9148-e3be6c30e623}">
          <xlrd:rvb i="9905"/>
        </ext>
      </extLst>
    </bk>
    <bk>
      <extLst>
        <ext uri="{3e2802c4-a4d2-4d8b-9148-e3be6c30e623}">
          <xlrd:rvb i="9906"/>
        </ext>
      </extLst>
    </bk>
    <bk>
      <extLst>
        <ext uri="{3e2802c4-a4d2-4d8b-9148-e3be6c30e623}">
          <xlrd:rvb i="9907"/>
        </ext>
      </extLst>
    </bk>
    <bk>
      <extLst>
        <ext uri="{3e2802c4-a4d2-4d8b-9148-e3be6c30e623}">
          <xlrd:rvb i="9908"/>
        </ext>
      </extLst>
    </bk>
    <bk>
      <extLst>
        <ext uri="{3e2802c4-a4d2-4d8b-9148-e3be6c30e623}">
          <xlrd:rvb i="9909"/>
        </ext>
      </extLst>
    </bk>
    <bk>
      <extLst>
        <ext uri="{3e2802c4-a4d2-4d8b-9148-e3be6c30e623}">
          <xlrd:rvb i="9910"/>
        </ext>
      </extLst>
    </bk>
    <bk>
      <extLst>
        <ext uri="{3e2802c4-a4d2-4d8b-9148-e3be6c30e623}">
          <xlrd:rvb i="9911"/>
        </ext>
      </extLst>
    </bk>
    <bk>
      <extLst>
        <ext uri="{3e2802c4-a4d2-4d8b-9148-e3be6c30e623}">
          <xlrd:rvb i="9912"/>
        </ext>
      </extLst>
    </bk>
    <bk>
      <extLst>
        <ext uri="{3e2802c4-a4d2-4d8b-9148-e3be6c30e623}">
          <xlrd:rvb i="9913"/>
        </ext>
      </extLst>
    </bk>
    <bk>
      <extLst>
        <ext uri="{3e2802c4-a4d2-4d8b-9148-e3be6c30e623}">
          <xlrd:rvb i="9914"/>
        </ext>
      </extLst>
    </bk>
    <bk>
      <extLst>
        <ext uri="{3e2802c4-a4d2-4d8b-9148-e3be6c30e623}">
          <xlrd:rvb i="9915"/>
        </ext>
      </extLst>
    </bk>
    <bk>
      <extLst>
        <ext uri="{3e2802c4-a4d2-4d8b-9148-e3be6c30e623}">
          <xlrd:rvb i="9916"/>
        </ext>
      </extLst>
    </bk>
    <bk>
      <extLst>
        <ext uri="{3e2802c4-a4d2-4d8b-9148-e3be6c30e623}">
          <xlrd:rvb i="9917"/>
        </ext>
      </extLst>
    </bk>
    <bk>
      <extLst>
        <ext uri="{3e2802c4-a4d2-4d8b-9148-e3be6c30e623}">
          <xlrd:rvb i="9918"/>
        </ext>
      </extLst>
    </bk>
    <bk>
      <extLst>
        <ext uri="{3e2802c4-a4d2-4d8b-9148-e3be6c30e623}">
          <xlrd:rvb i="9919"/>
        </ext>
      </extLst>
    </bk>
    <bk>
      <extLst>
        <ext uri="{3e2802c4-a4d2-4d8b-9148-e3be6c30e623}">
          <xlrd:rvb i="9920"/>
        </ext>
      </extLst>
    </bk>
    <bk>
      <extLst>
        <ext uri="{3e2802c4-a4d2-4d8b-9148-e3be6c30e623}">
          <xlrd:rvb i="9921"/>
        </ext>
      </extLst>
    </bk>
    <bk>
      <extLst>
        <ext uri="{3e2802c4-a4d2-4d8b-9148-e3be6c30e623}">
          <xlrd:rvb i="9922"/>
        </ext>
      </extLst>
    </bk>
    <bk>
      <extLst>
        <ext uri="{3e2802c4-a4d2-4d8b-9148-e3be6c30e623}">
          <xlrd:rvb i="9923"/>
        </ext>
      </extLst>
    </bk>
    <bk>
      <extLst>
        <ext uri="{3e2802c4-a4d2-4d8b-9148-e3be6c30e623}">
          <xlrd:rvb i="9924"/>
        </ext>
      </extLst>
    </bk>
    <bk>
      <extLst>
        <ext uri="{3e2802c4-a4d2-4d8b-9148-e3be6c30e623}">
          <xlrd:rvb i="9925"/>
        </ext>
      </extLst>
    </bk>
    <bk>
      <extLst>
        <ext uri="{3e2802c4-a4d2-4d8b-9148-e3be6c30e623}">
          <xlrd:rvb i="9926"/>
        </ext>
      </extLst>
    </bk>
    <bk>
      <extLst>
        <ext uri="{3e2802c4-a4d2-4d8b-9148-e3be6c30e623}">
          <xlrd:rvb i="9927"/>
        </ext>
      </extLst>
    </bk>
    <bk>
      <extLst>
        <ext uri="{3e2802c4-a4d2-4d8b-9148-e3be6c30e623}">
          <xlrd:rvb i="9928"/>
        </ext>
      </extLst>
    </bk>
    <bk>
      <extLst>
        <ext uri="{3e2802c4-a4d2-4d8b-9148-e3be6c30e623}">
          <xlrd:rvb i="9929"/>
        </ext>
      </extLst>
    </bk>
    <bk>
      <extLst>
        <ext uri="{3e2802c4-a4d2-4d8b-9148-e3be6c30e623}">
          <xlrd:rvb i="9930"/>
        </ext>
      </extLst>
    </bk>
    <bk>
      <extLst>
        <ext uri="{3e2802c4-a4d2-4d8b-9148-e3be6c30e623}">
          <xlrd:rvb i="9931"/>
        </ext>
      </extLst>
    </bk>
    <bk>
      <extLst>
        <ext uri="{3e2802c4-a4d2-4d8b-9148-e3be6c30e623}">
          <xlrd:rvb i="9932"/>
        </ext>
      </extLst>
    </bk>
    <bk>
      <extLst>
        <ext uri="{3e2802c4-a4d2-4d8b-9148-e3be6c30e623}">
          <xlrd:rvb i="9933"/>
        </ext>
      </extLst>
    </bk>
    <bk>
      <extLst>
        <ext uri="{3e2802c4-a4d2-4d8b-9148-e3be6c30e623}">
          <xlrd:rvb i="9934"/>
        </ext>
      </extLst>
    </bk>
    <bk>
      <extLst>
        <ext uri="{3e2802c4-a4d2-4d8b-9148-e3be6c30e623}">
          <xlrd:rvb i="9935"/>
        </ext>
      </extLst>
    </bk>
    <bk>
      <extLst>
        <ext uri="{3e2802c4-a4d2-4d8b-9148-e3be6c30e623}">
          <xlrd:rvb i="9936"/>
        </ext>
      </extLst>
    </bk>
    <bk>
      <extLst>
        <ext uri="{3e2802c4-a4d2-4d8b-9148-e3be6c30e623}">
          <xlrd:rvb i="9937"/>
        </ext>
      </extLst>
    </bk>
    <bk>
      <extLst>
        <ext uri="{3e2802c4-a4d2-4d8b-9148-e3be6c30e623}">
          <xlrd:rvb i="9938"/>
        </ext>
      </extLst>
    </bk>
    <bk>
      <extLst>
        <ext uri="{3e2802c4-a4d2-4d8b-9148-e3be6c30e623}">
          <xlrd:rvb i="9939"/>
        </ext>
      </extLst>
    </bk>
    <bk>
      <extLst>
        <ext uri="{3e2802c4-a4d2-4d8b-9148-e3be6c30e623}">
          <xlrd:rvb i="9940"/>
        </ext>
      </extLst>
    </bk>
    <bk>
      <extLst>
        <ext uri="{3e2802c4-a4d2-4d8b-9148-e3be6c30e623}">
          <xlrd:rvb i="9941"/>
        </ext>
      </extLst>
    </bk>
    <bk>
      <extLst>
        <ext uri="{3e2802c4-a4d2-4d8b-9148-e3be6c30e623}">
          <xlrd:rvb i="9942"/>
        </ext>
      </extLst>
    </bk>
    <bk>
      <extLst>
        <ext uri="{3e2802c4-a4d2-4d8b-9148-e3be6c30e623}">
          <xlrd:rvb i="9943"/>
        </ext>
      </extLst>
    </bk>
    <bk>
      <extLst>
        <ext uri="{3e2802c4-a4d2-4d8b-9148-e3be6c30e623}">
          <xlrd:rvb i="9944"/>
        </ext>
      </extLst>
    </bk>
    <bk>
      <extLst>
        <ext uri="{3e2802c4-a4d2-4d8b-9148-e3be6c30e623}">
          <xlrd:rvb i="9945"/>
        </ext>
      </extLst>
    </bk>
    <bk>
      <extLst>
        <ext uri="{3e2802c4-a4d2-4d8b-9148-e3be6c30e623}">
          <xlrd:rvb i="9946"/>
        </ext>
      </extLst>
    </bk>
    <bk>
      <extLst>
        <ext uri="{3e2802c4-a4d2-4d8b-9148-e3be6c30e623}">
          <xlrd:rvb i="9947"/>
        </ext>
      </extLst>
    </bk>
    <bk>
      <extLst>
        <ext uri="{3e2802c4-a4d2-4d8b-9148-e3be6c30e623}">
          <xlrd:rvb i="9948"/>
        </ext>
      </extLst>
    </bk>
    <bk>
      <extLst>
        <ext uri="{3e2802c4-a4d2-4d8b-9148-e3be6c30e623}">
          <xlrd:rvb i="9949"/>
        </ext>
      </extLst>
    </bk>
    <bk>
      <extLst>
        <ext uri="{3e2802c4-a4d2-4d8b-9148-e3be6c30e623}">
          <xlrd:rvb i="9950"/>
        </ext>
      </extLst>
    </bk>
    <bk>
      <extLst>
        <ext uri="{3e2802c4-a4d2-4d8b-9148-e3be6c30e623}">
          <xlrd:rvb i="9951"/>
        </ext>
      </extLst>
    </bk>
    <bk>
      <extLst>
        <ext uri="{3e2802c4-a4d2-4d8b-9148-e3be6c30e623}">
          <xlrd:rvb i="9952"/>
        </ext>
      </extLst>
    </bk>
    <bk>
      <extLst>
        <ext uri="{3e2802c4-a4d2-4d8b-9148-e3be6c30e623}">
          <xlrd:rvb i="9953"/>
        </ext>
      </extLst>
    </bk>
    <bk>
      <extLst>
        <ext uri="{3e2802c4-a4d2-4d8b-9148-e3be6c30e623}">
          <xlrd:rvb i="9954"/>
        </ext>
      </extLst>
    </bk>
    <bk>
      <extLst>
        <ext uri="{3e2802c4-a4d2-4d8b-9148-e3be6c30e623}">
          <xlrd:rvb i="9955"/>
        </ext>
      </extLst>
    </bk>
    <bk>
      <extLst>
        <ext uri="{3e2802c4-a4d2-4d8b-9148-e3be6c30e623}">
          <xlrd:rvb i="9956"/>
        </ext>
      </extLst>
    </bk>
    <bk>
      <extLst>
        <ext uri="{3e2802c4-a4d2-4d8b-9148-e3be6c30e623}">
          <xlrd:rvb i="9957"/>
        </ext>
      </extLst>
    </bk>
    <bk>
      <extLst>
        <ext uri="{3e2802c4-a4d2-4d8b-9148-e3be6c30e623}">
          <xlrd:rvb i="9958"/>
        </ext>
      </extLst>
    </bk>
    <bk>
      <extLst>
        <ext uri="{3e2802c4-a4d2-4d8b-9148-e3be6c30e623}">
          <xlrd:rvb i="9959"/>
        </ext>
      </extLst>
    </bk>
    <bk>
      <extLst>
        <ext uri="{3e2802c4-a4d2-4d8b-9148-e3be6c30e623}">
          <xlrd:rvb i="9960"/>
        </ext>
      </extLst>
    </bk>
    <bk>
      <extLst>
        <ext uri="{3e2802c4-a4d2-4d8b-9148-e3be6c30e623}">
          <xlrd:rvb i="9961"/>
        </ext>
      </extLst>
    </bk>
    <bk>
      <extLst>
        <ext uri="{3e2802c4-a4d2-4d8b-9148-e3be6c30e623}">
          <xlrd:rvb i="9962"/>
        </ext>
      </extLst>
    </bk>
    <bk>
      <extLst>
        <ext uri="{3e2802c4-a4d2-4d8b-9148-e3be6c30e623}">
          <xlrd:rvb i="9963"/>
        </ext>
      </extLst>
    </bk>
    <bk>
      <extLst>
        <ext uri="{3e2802c4-a4d2-4d8b-9148-e3be6c30e623}">
          <xlrd:rvb i="9964"/>
        </ext>
      </extLst>
    </bk>
    <bk>
      <extLst>
        <ext uri="{3e2802c4-a4d2-4d8b-9148-e3be6c30e623}">
          <xlrd:rvb i="9965"/>
        </ext>
      </extLst>
    </bk>
    <bk>
      <extLst>
        <ext uri="{3e2802c4-a4d2-4d8b-9148-e3be6c30e623}">
          <xlrd:rvb i="9966"/>
        </ext>
      </extLst>
    </bk>
    <bk>
      <extLst>
        <ext uri="{3e2802c4-a4d2-4d8b-9148-e3be6c30e623}">
          <xlrd:rvb i="9967"/>
        </ext>
      </extLst>
    </bk>
    <bk>
      <extLst>
        <ext uri="{3e2802c4-a4d2-4d8b-9148-e3be6c30e623}">
          <xlrd:rvb i="9968"/>
        </ext>
      </extLst>
    </bk>
    <bk>
      <extLst>
        <ext uri="{3e2802c4-a4d2-4d8b-9148-e3be6c30e623}">
          <xlrd:rvb i="9969"/>
        </ext>
      </extLst>
    </bk>
    <bk>
      <extLst>
        <ext uri="{3e2802c4-a4d2-4d8b-9148-e3be6c30e623}">
          <xlrd:rvb i="9970"/>
        </ext>
      </extLst>
    </bk>
    <bk>
      <extLst>
        <ext uri="{3e2802c4-a4d2-4d8b-9148-e3be6c30e623}">
          <xlrd:rvb i="9971"/>
        </ext>
      </extLst>
    </bk>
    <bk>
      <extLst>
        <ext uri="{3e2802c4-a4d2-4d8b-9148-e3be6c30e623}">
          <xlrd:rvb i="9972"/>
        </ext>
      </extLst>
    </bk>
    <bk>
      <extLst>
        <ext uri="{3e2802c4-a4d2-4d8b-9148-e3be6c30e623}">
          <xlrd:rvb i="9973"/>
        </ext>
      </extLst>
    </bk>
    <bk>
      <extLst>
        <ext uri="{3e2802c4-a4d2-4d8b-9148-e3be6c30e623}">
          <xlrd:rvb i="9974"/>
        </ext>
      </extLst>
    </bk>
    <bk>
      <extLst>
        <ext uri="{3e2802c4-a4d2-4d8b-9148-e3be6c30e623}">
          <xlrd:rvb i="9975"/>
        </ext>
      </extLst>
    </bk>
    <bk>
      <extLst>
        <ext uri="{3e2802c4-a4d2-4d8b-9148-e3be6c30e623}">
          <xlrd:rvb i="9976"/>
        </ext>
      </extLst>
    </bk>
    <bk>
      <extLst>
        <ext uri="{3e2802c4-a4d2-4d8b-9148-e3be6c30e623}">
          <xlrd:rvb i="9977"/>
        </ext>
      </extLst>
    </bk>
    <bk>
      <extLst>
        <ext uri="{3e2802c4-a4d2-4d8b-9148-e3be6c30e623}">
          <xlrd:rvb i="9978"/>
        </ext>
      </extLst>
    </bk>
    <bk>
      <extLst>
        <ext uri="{3e2802c4-a4d2-4d8b-9148-e3be6c30e623}">
          <xlrd:rvb i="9979"/>
        </ext>
      </extLst>
    </bk>
    <bk>
      <extLst>
        <ext uri="{3e2802c4-a4d2-4d8b-9148-e3be6c30e623}">
          <xlrd:rvb i="9980"/>
        </ext>
      </extLst>
    </bk>
    <bk>
      <extLst>
        <ext uri="{3e2802c4-a4d2-4d8b-9148-e3be6c30e623}">
          <xlrd:rvb i="9981"/>
        </ext>
      </extLst>
    </bk>
    <bk>
      <extLst>
        <ext uri="{3e2802c4-a4d2-4d8b-9148-e3be6c30e623}">
          <xlrd:rvb i="9982"/>
        </ext>
      </extLst>
    </bk>
    <bk>
      <extLst>
        <ext uri="{3e2802c4-a4d2-4d8b-9148-e3be6c30e623}">
          <xlrd:rvb i="9983"/>
        </ext>
      </extLst>
    </bk>
    <bk>
      <extLst>
        <ext uri="{3e2802c4-a4d2-4d8b-9148-e3be6c30e623}">
          <xlrd:rvb i="9984"/>
        </ext>
      </extLst>
    </bk>
    <bk>
      <extLst>
        <ext uri="{3e2802c4-a4d2-4d8b-9148-e3be6c30e623}">
          <xlrd:rvb i="9985"/>
        </ext>
      </extLst>
    </bk>
    <bk>
      <extLst>
        <ext uri="{3e2802c4-a4d2-4d8b-9148-e3be6c30e623}">
          <xlrd:rvb i="9986"/>
        </ext>
      </extLst>
    </bk>
    <bk>
      <extLst>
        <ext uri="{3e2802c4-a4d2-4d8b-9148-e3be6c30e623}">
          <xlrd:rvb i="9987"/>
        </ext>
      </extLst>
    </bk>
    <bk>
      <extLst>
        <ext uri="{3e2802c4-a4d2-4d8b-9148-e3be6c30e623}">
          <xlrd:rvb i="9988"/>
        </ext>
      </extLst>
    </bk>
    <bk>
      <extLst>
        <ext uri="{3e2802c4-a4d2-4d8b-9148-e3be6c30e623}">
          <xlrd:rvb i="9989"/>
        </ext>
      </extLst>
    </bk>
    <bk>
      <extLst>
        <ext uri="{3e2802c4-a4d2-4d8b-9148-e3be6c30e623}">
          <xlrd:rvb i="9990"/>
        </ext>
      </extLst>
    </bk>
    <bk>
      <extLst>
        <ext uri="{3e2802c4-a4d2-4d8b-9148-e3be6c30e623}">
          <xlrd:rvb i="9991"/>
        </ext>
      </extLst>
    </bk>
    <bk>
      <extLst>
        <ext uri="{3e2802c4-a4d2-4d8b-9148-e3be6c30e623}">
          <xlrd:rvb i="9992"/>
        </ext>
      </extLst>
    </bk>
    <bk>
      <extLst>
        <ext uri="{3e2802c4-a4d2-4d8b-9148-e3be6c30e623}">
          <xlrd:rvb i="9993"/>
        </ext>
      </extLst>
    </bk>
    <bk>
      <extLst>
        <ext uri="{3e2802c4-a4d2-4d8b-9148-e3be6c30e623}">
          <xlrd:rvb i="9994"/>
        </ext>
      </extLst>
    </bk>
    <bk>
      <extLst>
        <ext uri="{3e2802c4-a4d2-4d8b-9148-e3be6c30e623}">
          <xlrd:rvb i="9995"/>
        </ext>
      </extLst>
    </bk>
    <bk>
      <extLst>
        <ext uri="{3e2802c4-a4d2-4d8b-9148-e3be6c30e623}">
          <xlrd:rvb i="9996"/>
        </ext>
      </extLst>
    </bk>
    <bk>
      <extLst>
        <ext uri="{3e2802c4-a4d2-4d8b-9148-e3be6c30e623}">
          <xlrd:rvb i="9997"/>
        </ext>
      </extLst>
    </bk>
    <bk>
      <extLst>
        <ext uri="{3e2802c4-a4d2-4d8b-9148-e3be6c30e623}">
          <xlrd:rvb i="9998"/>
        </ext>
      </extLst>
    </bk>
    <bk>
      <extLst>
        <ext uri="{3e2802c4-a4d2-4d8b-9148-e3be6c30e623}">
          <xlrd:rvb i="9999"/>
        </ext>
      </extLst>
    </bk>
    <bk>
      <extLst>
        <ext uri="{3e2802c4-a4d2-4d8b-9148-e3be6c30e623}">
          <xlrd:rvb i="10000"/>
        </ext>
      </extLst>
    </bk>
    <bk>
      <extLst>
        <ext uri="{3e2802c4-a4d2-4d8b-9148-e3be6c30e623}">
          <xlrd:rvb i="10001"/>
        </ext>
      </extLst>
    </bk>
    <bk>
      <extLst>
        <ext uri="{3e2802c4-a4d2-4d8b-9148-e3be6c30e623}">
          <xlrd:rvb i="10002"/>
        </ext>
      </extLst>
    </bk>
    <bk>
      <extLst>
        <ext uri="{3e2802c4-a4d2-4d8b-9148-e3be6c30e623}">
          <xlrd:rvb i="10003"/>
        </ext>
      </extLst>
    </bk>
    <bk>
      <extLst>
        <ext uri="{3e2802c4-a4d2-4d8b-9148-e3be6c30e623}">
          <xlrd:rvb i="10004"/>
        </ext>
      </extLst>
    </bk>
    <bk>
      <extLst>
        <ext uri="{3e2802c4-a4d2-4d8b-9148-e3be6c30e623}">
          <xlrd:rvb i="10005"/>
        </ext>
      </extLst>
    </bk>
    <bk>
      <extLst>
        <ext uri="{3e2802c4-a4d2-4d8b-9148-e3be6c30e623}">
          <xlrd:rvb i="10006"/>
        </ext>
      </extLst>
    </bk>
    <bk>
      <extLst>
        <ext uri="{3e2802c4-a4d2-4d8b-9148-e3be6c30e623}">
          <xlrd:rvb i="10007"/>
        </ext>
      </extLst>
    </bk>
    <bk>
      <extLst>
        <ext uri="{3e2802c4-a4d2-4d8b-9148-e3be6c30e623}">
          <xlrd:rvb i="10008"/>
        </ext>
      </extLst>
    </bk>
    <bk>
      <extLst>
        <ext uri="{3e2802c4-a4d2-4d8b-9148-e3be6c30e623}">
          <xlrd:rvb i="10009"/>
        </ext>
      </extLst>
    </bk>
    <bk>
      <extLst>
        <ext uri="{3e2802c4-a4d2-4d8b-9148-e3be6c30e623}">
          <xlrd:rvb i="10010"/>
        </ext>
      </extLst>
    </bk>
    <bk>
      <extLst>
        <ext uri="{3e2802c4-a4d2-4d8b-9148-e3be6c30e623}">
          <xlrd:rvb i="10011"/>
        </ext>
      </extLst>
    </bk>
    <bk>
      <extLst>
        <ext uri="{3e2802c4-a4d2-4d8b-9148-e3be6c30e623}">
          <xlrd:rvb i="10012"/>
        </ext>
      </extLst>
    </bk>
    <bk>
      <extLst>
        <ext uri="{3e2802c4-a4d2-4d8b-9148-e3be6c30e623}">
          <xlrd:rvb i="10013"/>
        </ext>
      </extLst>
    </bk>
    <bk>
      <extLst>
        <ext uri="{3e2802c4-a4d2-4d8b-9148-e3be6c30e623}">
          <xlrd:rvb i="10014"/>
        </ext>
      </extLst>
    </bk>
    <bk>
      <extLst>
        <ext uri="{3e2802c4-a4d2-4d8b-9148-e3be6c30e623}">
          <xlrd:rvb i="10015"/>
        </ext>
      </extLst>
    </bk>
    <bk>
      <extLst>
        <ext uri="{3e2802c4-a4d2-4d8b-9148-e3be6c30e623}">
          <xlrd:rvb i="10016"/>
        </ext>
      </extLst>
    </bk>
    <bk>
      <extLst>
        <ext uri="{3e2802c4-a4d2-4d8b-9148-e3be6c30e623}">
          <xlrd:rvb i="10017"/>
        </ext>
      </extLst>
    </bk>
    <bk>
      <extLst>
        <ext uri="{3e2802c4-a4d2-4d8b-9148-e3be6c30e623}">
          <xlrd:rvb i="10018"/>
        </ext>
      </extLst>
    </bk>
    <bk>
      <extLst>
        <ext uri="{3e2802c4-a4d2-4d8b-9148-e3be6c30e623}">
          <xlrd:rvb i="10019"/>
        </ext>
      </extLst>
    </bk>
    <bk>
      <extLst>
        <ext uri="{3e2802c4-a4d2-4d8b-9148-e3be6c30e623}">
          <xlrd:rvb i="10020"/>
        </ext>
      </extLst>
    </bk>
    <bk>
      <extLst>
        <ext uri="{3e2802c4-a4d2-4d8b-9148-e3be6c30e623}">
          <xlrd:rvb i="10021"/>
        </ext>
      </extLst>
    </bk>
    <bk>
      <extLst>
        <ext uri="{3e2802c4-a4d2-4d8b-9148-e3be6c30e623}">
          <xlrd:rvb i="10022"/>
        </ext>
      </extLst>
    </bk>
    <bk>
      <extLst>
        <ext uri="{3e2802c4-a4d2-4d8b-9148-e3be6c30e623}">
          <xlrd:rvb i="10023"/>
        </ext>
      </extLst>
    </bk>
    <bk>
      <extLst>
        <ext uri="{3e2802c4-a4d2-4d8b-9148-e3be6c30e623}">
          <xlrd:rvb i="10024"/>
        </ext>
      </extLst>
    </bk>
    <bk>
      <extLst>
        <ext uri="{3e2802c4-a4d2-4d8b-9148-e3be6c30e623}">
          <xlrd:rvb i="10025"/>
        </ext>
      </extLst>
    </bk>
    <bk>
      <extLst>
        <ext uri="{3e2802c4-a4d2-4d8b-9148-e3be6c30e623}">
          <xlrd:rvb i="10026"/>
        </ext>
      </extLst>
    </bk>
    <bk>
      <extLst>
        <ext uri="{3e2802c4-a4d2-4d8b-9148-e3be6c30e623}">
          <xlrd:rvb i="10027"/>
        </ext>
      </extLst>
    </bk>
    <bk>
      <extLst>
        <ext uri="{3e2802c4-a4d2-4d8b-9148-e3be6c30e623}">
          <xlrd:rvb i="10028"/>
        </ext>
      </extLst>
    </bk>
    <bk>
      <extLst>
        <ext uri="{3e2802c4-a4d2-4d8b-9148-e3be6c30e623}">
          <xlrd:rvb i="10029"/>
        </ext>
      </extLst>
    </bk>
    <bk>
      <extLst>
        <ext uri="{3e2802c4-a4d2-4d8b-9148-e3be6c30e623}">
          <xlrd:rvb i="10030"/>
        </ext>
      </extLst>
    </bk>
    <bk>
      <extLst>
        <ext uri="{3e2802c4-a4d2-4d8b-9148-e3be6c30e623}">
          <xlrd:rvb i="10031"/>
        </ext>
      </extLst>
    </bk>
    <bk>
      <extLst>
        <ext uri="{3e2802c4-a4d2-4d8b-9148-e3be6c30e623}">
          <xlrd:rvb i="10032"/>
        </ext>
      </extLst>
    </bk>
    <bk>
      <extLst>
        <ext uri="{3e2802c4-a4d2-4d8b-9148-e3be6c30e623}">
          <xlrd:rvb i="10033"/>
        </ext>
      </extLst>
    </bk>
    <bk>
      <extLst>
        <ext uri="{3e2802c4-a4d2-4d8b-9148-e3be6c30e623}">
          <xlrd:rvb i="10034"/>
        </ext>
      </extLst>
    </bk>
    <bk>
      <extLst>
        <ext uri="{3e2802c4-a4d2-4d8b-9148-e3be6c30e623}">
          <xlrd:rvb i="10035"/>
        </ext>
      </extLst>
    </bk>
    <bk>
      <extLst>
        <ext uri="{3e2802c4-a4d2-4d8b-9148-e3be6c30e623}">
          <xlrd:rvb i="10036"/>
        </ext>
      </extLst>
    </bk>
    <bk>
      <extLst>
        <ext uri="{3e2802c4-a4d2-4d8b-9148-e3be6c30e623}">
          <xlrd:rvb i="10037"/>
        </ext>
      </extLst>
    </bk>
    <bk>
      <extLst>
        <ext uri="{3e2802c4-a4d2-4d8b-9148-e3be6c30e623}">
          <xlrd:rvb i="10038"/>
        </ext>
      </extLst>
    </bk>
    <bk>
      <extLst>
        <ext uri="{3e2802c4-a4d2-4d8b-9148-e3be6c30e623}">
          <xlrd:rvb i="10039"/>
        </ext>
      </extLst>
    </bk>
    <bk>
      <extLst>
        <ext uri="{3e2802c4-a4d2-4d8b-9148-e3be6c30e623}">
          <xlrd:rvb i="10040"/>
        </ext>
      </extLst>
    </bk>
    <bk>
      <extLst>
        <ext uri="{3e2802c4-a4d2-4d8b-9148-e3be6c30e623}">
          <xlrd:rvb i="10041"/>
        </ext>
      </extLst>
    </bk>
    <bk>
      <extLst>
        <ext uri="{3e2802c4-a4d2-4d8b-9148-e3be6c30e623}">
          <xlrd:rvb i="10042"/>
        </ext>
      </extLst>
    </bk>
    <bk>
      <extLst>
        <ext uri="{3e2802c4-a4d2-4d8b-9148-e3be6c30e623}">
          <xlrd:rvb i="10043"/>
        </ext>
      </extLst>
    </bk>
    <bk>
      <extLst>
        <ext uri="{3e2802c4-a4d2-4d8b-9148-e3be6c30e623}">
          <xlrd:rvb i="10044"/>
        </ext>
      </extLst>
    </bk>
    <bk>
      <extLst>
        <ext uri="{3e2802c4-a4d2-4d8b-9148-e3be6c30e623}">
          <xlrd:rvb i="10045"/>
        </ext>
      </extLst>
    </bk>
    <bk>
      <extLst>
        <ext uri="{3e2802c4-a4d2-4d8b-9148-e3be6c30e623}">
          <xlrd:rvb i="10046"/>
        </ext>
      </extLst>
    </bk>
    <bk>
      <extLst>
        <ext uri="{3e2802c4-a4d2-4d8b-9148-e3be6c30e623}">
          <xlrd:rvb i="10047"/>
        </ext>
      </extLst>
    </bk>
    <bk>
      <extLst>
        <ext uri="{3e2802c4-a4d2-4d8b-9148-e3be6c30e623}">
          <xlrd:rvb i="10048"/>
        </ext>
      </extLst>
    </bk>
    <bk>
      <extLst>
        <ext uri="{3e2802c4-a4d2-4d8b-9148-e3be6c30e623}">
          <xlrd:rvb i="10049"/>
        </ext>
      </extLst>
    </bk>
    <bk>
      <extLst>
        <ext uri="{3e2802c4-a4d2-4d8b-9148-e3be6c30e623}">
          <xlrd:rvb i="10050"/>
        </ext>
      </extLst>
    </bk>
    <bk>
      <extLst>
        <ext uri="{3e2802c4-a4d2-4d8b-9148-e3be6c30e623}">
          <xlrd:rvb i="10051"/>
        </ext>
      </extLst>
    </bk>
    <bk>
      <extLst>
        <ext uri="{3e2802c4-a4d2-4d8b-9148-e3be6c30e623}">
          <xlrd:rvb i="10052"/>
        </ext>
      </extLst>
    </bk>
    <bk>
      <extLst>
        <ext uri="{3e2802c4-a4d2-4d8b-9148-e3be6c30e623}">
          <xlrd:rvb i="10053"/>
        </ext>
      </extLst>
    </bk>
    <bk>
      <extLst>
        <ext uri="{3e2802c4-a4d2-4d8b-9148-e3be6c30e623}">
          <xlrd:rvb i="10054"/>
        </ext>
      </extLst>
    </bk>
    <bk>
      <extLst>
        <ext uri="{3e2802c4-a4d2-4d8b-9148-e3be6c30e623}">
          <xlrd:rvb i="10055"/>
        </ext>
      </extLst>
    </bk>
    <bk>
      <extLst>
        <ext uri="{3e2802c4-a4d2-4d8b-9148-e3be6c30e623}">
          <xlrd:rvb i="10056"/>
        </ext>
      </extLst>
    </bk>
    <bk>
      <extLst>
        <ext uri="{3e2802c4-a4d2-4d8b-9148-e3be6c30e623}">
          <xlrd:rvb i="10057"/>
        </ext>
      </extLst>
    </bk>
    <bk>
      <extLst>
        <ext uri="{3e2802c4-a4d2-4d8b-9148-e3be6c30e623}">
          <xlrd:rvb i="10058"/>
        </ext>
      </extLst>
    </bk>
    <bk>
      <extLst>
        <ext uri="{3e2802c4-a4d2-4d8b-9148-e3be6c30e623}">
          <xlrd:rvb i="10059"/>
        </ext>
      </extLst>
    </bk>
    <bk>
      <extLst>
        <ext uri="{3e2802c4-a4d2-4d8b-9148-e3be6c30e623}">
          <xlrd:rvb i="10060"/>
        </ext>
      </extLst>
    </bk>
    <bk>
      <extLst>
        <ext uri="{3e2802c4-a4d2-4d8b-9148-e3be6c30e623}">
          <xlrd:rvb i="10061"/>
        </ext>
      </extLst>
    </bk>
    <bk>
      <extLst>
        <ext uri="{3e2802c4-a4d2-4d8b-9148-e3be6c30e623}">
          <xlrd:rvb i="10062"/>
        </ext>
      </extLst>
    </bk>
    <bk>
      <extLst>
        <ext uri="{3e2802c4-a4d2-4d8b-9148-e3be6c30e623}">
          <xlrd:rvb i="10063"/>
        </ext>
      </extLst>
    </bk>
    <bk>
      <extLst>
        <ext uri="{3e2802c4-a4d2-4d8b-9148-e3be6c30e623}">
          <xlrd:rvb i="10064"/>
        </ext>
      </extLst>
    </bk>
    <bk>
      <extLst>
        <ext uri="{3e2802c4-a4d2-4d8b-9148-e3be6c30e623}">
          <xlrd:rvb i="10065"/>
        </ext>
      </extLst>
    </bk>
    <bk>
      <extLst>
        <ext uri="{3e2802c4-a4d2-4d8b-9148-e3be6c30e623}">
          <xlrd:rvb i="10066"/>
        </ext>
      </extLst>
    </bk>
    <bk>
      <extLst>
        <ext uri="{3e2802c4-a4d2-4d8b-9148-e3be6c30e623}">
          <xlrd:rvb i="10067"/>
        </ext>
      </extLst>
    </bk>
    <bk>
      <extLst>
        <ext uri="{3e2802c4-a4d2-4d8b-9148-e3be6c30e623}">
          <xlrd:rvb i="10068"/>
        </ext>
      </extLst>
    </bk>
    <bk>
      <extLst>
        <ext uri="{3e2802c4-a4d2-4d8b-9148-e3be6c30e623}">
          <xlrd:rvb i="10069"/>
        </ext>
      </extLst>
    </bk>
    <bk>
      <extLst>
        <ext uri="{3e2802c4-a4d2-4d8b-9148-e3be6c30e623}">
          <xlrd:rvb i="10070"/>
        </ext>
      </extLst>
    </bk>
    <bk>
      <extLst>
        <ext uri="{3e2802c4-a4d2-4d8b-9148-e3be6c30e623}">
          <xlrd:rvb i="10071"/>
        </ext>
      </extLst>
    </bk>
    <bk>
      <extLst>
        <ext uri="{3e2802c4-a4d2-4d8b-9148-e3be6c30e623}">
          <xlrd:rvb i="10072"/>
        </ext>
      </extLst>
    </bk>
    <bk>
      <extLst>
        <ext uri="{3e2802c4-a4d2-4d8b-9148-e3be6c30e623}">
          <xlrd:rvb i="10073"/>
        </ext>
      </extLst>
    </bk>
    <bk>
      <extLst>
        <ext uri="{3e2802c4-a4d2-4d8b-9148-e3be6c30e623}">
          <xlrd:rvb i="10074"/>
        </ext>
      </extLst>
    </bk>
    <bk>
      <extLst>
        <ext uri="{3e2802c4-a4d2-4d8b-9148-e3be6c30e623}">
          <xlrd:rvb i="10075"/>
        </ext>
      </extLst>
    </bk>
    <bk>
      <extLst>
        <ext uri="{3e2802c4-a4d2-4d8b-9148-e3be6c30e623}">
          <xlrd:rvb i="10076"/>
        </ext>
      </extLst>
    </bk>
    <bk>
      <extLst>
        <ext uri="{3e2802c4-a4d2-4d8b-9148-e3be6c30e623}">
          <xlrd:rvb i="10077"/>
        </ext>
      </extLst>
    </bk>
    <bk>
      <extLst>
        <ext uri="{3e2802c4-a4d2-4d8b-9148-e3be6c30e623}">
          <xlrd:rvb i="10078"/>
        </ext>
      </extLst>
    </bk>
    <bk>
      <extLst>
        <ext uri="{3e2802c4-a4d2-4d8b-9148-e3be6c30e623}">
          <xlrd:rvb i="10079"/>
        </ext>
      </extLst>
    </bk>
    <bk>
      <extLst>
        <ext uri="{3e2802c4-a4d2-4d8b-9148-e3be6c30e623}">
          <xlrd:rvb i="10080"/>
        </ext>
      </extLst>
    </bk>
    <bk>
      <extLst>
        <ext uri="{3e2802c4-a4d2-4d8b-9148-e3be6c30e623}">
          <xlrd:rvb i="10081"/>
        </ext>
      </extLst>
    </bk>
    <bk>
      <extLst>
        <ext uri="{3e2802c4-a4d2-4d8b-9148-e3be6c30e623}">
          <xlrd:rvb i="10082"/>
        </ext>
      </extLst>
    </bk>
    <bk>
      <extLst>
        <ext uri="{3e2802c4-a4d2-4d8b-9148-e3be6c30e623}">
          <xlrd:rvb i="10083"/>
        </ext>
      </extLst>
    </bk>
    <bk>
      <extLst>
        <ext uri="{3e2802c4-a4d2-4d8b-9148-e3be6c30e623}">
          <xlrd:rvb i="10084"/>
        </ext>
      </extLst>
    </bk>
    <bk>
      <extLst>
        <ext uri="{3e2802c4-a4d2-4d8b-9148-e3be6c30e623}">
          <xlrd:rvb i="10085"/>
        </ext>
      </extLst>
    </bk>
    <bk>
      <extLst>
        <ext uri="{3e2802c4-a4d2-4d8b-9148-e3be6c30e623}">
          <xlrd:rvb i="10086"/>
        </ext>
      </extLst>
    </bk>
    <bk>
      <extLst>
        <ext uri="{3e2802c4-a4d2-4d8b-9148-e3be6c30e623}">
          <xlrd:rvb i="10087"/>
        </ext>
      </extLst>
    </bk>
    <bk>
      <extLst>
        <ext uri="{3e2802c4-a4d2-4d8b-9148-e3be6c30e623}">
          <xlrd:rvb i="10088"/>
        </ext>
      </extLst>
    </bk>
    <bk>
      <extLst>
        <ext uri="{3e2802c4-a4d2-4d8b-9148-e3be6c30e623}">
          <xlrd:rvb i="10089"/>
        </ext>
      </extLst>
    </bk>
    <bk>
      <extLst>
        <ext uri="{3e2802c4-a4d2-4d8b-9148-e3be6c30e623}">
          <xlrd:rvb i="10090"/>
        </ext>
      </extLst>
    </bk>
    <bk>
      <extLst>
        <ext uri="{3e2802c4-a4d2-4d8b-9148-e3be6c30e623}">
          <xlrd:rvb i="10091"/>
        </ext>
      </extLst>
    </bk>
    <bk>
      <extLst>
        <ext uri="{3e2802c4-a4d2-4d8b-9148-e3be6c30e623}">
          <xlrd:rvb i="10092"/>
        </ext>
      </extLst>
    </bk>
    <bk>
      <extLst>
        <ext uri="{3e2802c4-a4d2-4d8b-9148-e3be6c30e623}">
          <xlrd:rvb i="10093"/>
        </ext>
      </extLst>
    </bk>
    <bk>
      <extLst>
        <ext uri="{3e2802c4-a4d2-4d8b-9148-e3be6c30e623}">
          <xlrd:rvb i="10094"/>
        </ext>
      </extLst>
    </bk>
    <bk>
      <extLst>
        <ext uri="{3e2802c4-a4d2-4d8b-9148-e3be6c30e623}">
          <xlrd:rvb i="10095"/>
        </ext>
      </extLst>
    </bk>
    <bk>
      <extLst>
        <ext uri="{3e2802c4-a4d2-4d8b-9148-e3be6c30e623}">
          <xlrd:rvb i="10096"/>
        </ext>
      </extLst>
    </bk>
    <bk>
      <extLst>
        <ext uri="{3e2802c4-a4d2-4d8b-9148-e3be6c30e623}">
          <xlrd:rvb i="10097"/>
        </ext>
      </extLst>
    </bk>
    <bk>
      <extLst>
        <ext uri="{3e2802c4-a4d2-4d8b-9148-e3be6c30e623}">
          <xlrd:rvb i="10098"/>
        </ext>
      </extLst>
    </bk>
    <bk>
      <extLst>
        <ext uri="{3e2802c4-a4d2-4d8b-9148-e3be6c30e623}">
          <xlrd:rvb i="10099"/>
        </ext>
      </extLst>
    </bk>
    <bk>
      <extLst>
        <ext uri="{3e2802c4-a4d2-4d8b-9148-e3be6c30e623}">
          <xlrd:rvb i="10100"/>
        </ext>
      </extLst>
    </bk>
    <bk>
      <extLst>
        <ext uri="{3e2802c4-a4d2-4d8b-9148-e3be6c30e623}">
          <xlrd:rvb i="10101"/>
        </ext>
      </extLst>
    </bk>
    <bk>
      <extLst>
        <ext uri="{3e2802c4-a4d2-4d8b-9148-e3be6c30e623}">
          <xlrd:rvb i="10102"/>
        </ext>
      </extLst>
    </bk>
    <bk>
      <extLst>
        <ext uri="{3e2802c4-a4d2-4d8b-9148-e3be6c30e623}">
          <xlrd:rvb i="10103"/>
        </ext>
      </extLst>
    </bk>
    <bk>
      <extLst>
        <ext uri="{3e2802c4-a4d2-4d8b-9148-e3be6c30e623}">
          <xlrd:rvb i="10104"/>
        </ext>
      </extLst>
    </bk>
    <bk>
      <extLst>
        <ext uri="{3e2802c4-a4d2-4d8b-9148-e3be6c30e623}">
          <xlrd:rvb i="10105"/>
        </ext>
      </extLst>
    </bk>
    <bk>
      <extLst>
        <ext uri="{3e2802c4-a4d2-4d8b-9148-e3be6c30e623}">
          <xlrd:rvb i="10106"/>
        </ext>
      </extLst>
    </bk>
    <bk>
      <extLst>
        <ext uri="{3e2802c4-a4d2-4d8b-9148-e3be6c30e623}">
          <xlrd:rvb i="10107"/>
        </ext>
      </extLst>
    </bk>
    <bk>
      <extLst>
        <ext uri="{3e2802c4-a4d2-4d8b-9148-e3be6c30e623}">
          <xlrd:rvb i="10108"/>
        </ext>
      </extLst>
    </bk>
    <bk>
      <extLst>
        <ext uri="{3e2802c4-a4d2-4d8b-9148-e3be6c30e623}">
          <xlrd:rvb i="10109"/>
        </ext>
      </extLst>
    </bk>
    <bk>
      <extLst>
        <ext uri="{3e2802c4-a4d2-4d8b-9148-e3be6c30e623}">
          <xlrd:rvb i="10110"/>
        </ext>
      </extLst>
    </bk>
    <bk>
      <extLst>
        <ext uri="{3e2802c4-a4d2-4d8b-9148-e3be6c30e623}">
          <xlrd:rvb i="10111"/>
        </ext>
      </extLst>
    </bk>
    <bk>
      <extLst>
        <ext uri="{3e2802c4-a4d2-4d8b-9148-e3be6c30e623}">
          <xlrd:rvb i="10112"/>
        </ext>
      </extLst>
    </bk>
    <bk>
      <extLst>
        <ext uri="{3e2802c4-a4d2-4d8b-9148-e3be6c30e623}">
          <xlrd:rvb i="10113"/>
        </ext>
      </extLst>
    </bk>
    <bk>
      <extLst>
        <ext uri="{3e2802c4-a4d2-4d8b-9148-e3be6c30e623}">
          <xlrd:rvb i="10114"/>
        </ext>
      </extLst>
    </bk>
    <bk>
      <extLst>
        <ext uri="{3e2802c4-a4d2-4d8b-9148-e3be6c30e623}">
          <xlrd:rvb i="10115"/>
        </ext>
      </extLst>
    </bk>
    <bk>
      <extLst>
        <ext uri="{3e2802c4-a4d2-4d8b-9148-e3be6c30e623}">
          <xlrd:rvb i="10116"/>
        </ext>
      </extLst>
    </bk>
    <bk>
      <extLst>
        <ext uri="{3e2802c4-a4d2-4d8b-9148-e3be6c30e623}">
          <xlrd:rvb i="10117"/>
        </ext>
      </extLst>
    </bk>
    <bk>
      <extLst>
        <ext uri="{3e2802c4-a4d2-4d8b-9148-e3be6c30e623}">
          <xlrd:rvb i="10118"/>
        </ext>
      </extLst>
    </bk>
    <bk>
      <extLst>
        <ext uri="{3e2802c4-a4d2-4d8b-9148-e3be6c30e623}">
          <xlrd:rvb i="10119"/>
        </ext>
      </extLst>
    </bk>
    <bk>
      <extLst>
        <ext uri="{3e2802c4-a4d2-4d8b-9148-e3be6c30e623}">
          <xlrd:rvb i="10120"/>
        </ext>
      </extLst>
    </bk>
    <bk>
      <extLst>
        <ext uri="{3e2802c4-a4d2-4d8b-9148-e3be6c30e623}">
          <xlrd:rvb i="10121"/>
        </ext>
      </extLst>
    </bk>
    <bk>
      <extLst>
        <ext uri="{3e2802c4-a4d2-4d8b-9148-e3be6c30e623}">
          <xlrd:rvb i="10122"/>
        </ext>
      </extLst>
    </bk>
    <bk>
      <extLst>
        <ext uri="{3e2802c4-a4d2-4d8b-9148-e3be6c30e623}">
          <xlrd:rvb i="10123"/>
        </ext>
      </extLst>
    </bk>
    <bk>
      <extLst>
        <ext uri="{3e2802c4-a4d2-4d8b-9148-e3be6c30e623}">
          <xlrd:rvb i="10124"/>
        </ext>
      </extLst>
    </bk>
    <bk>
      <extLst>
        <ext uri="{3e2802c4-a4d2-4d8b-9148-e3be6c30e623}">
          <xlrd:rvb i="10125"/>
        </ext>
      </extLst>
    </bk>
    <bk>
      <extLst>
        <ext uri="{3e2802c4-a4d2-4d8b-9148-e3be6c30e623}">
          <xlrd:rvb i="10126"/>
        </ext>
      </extLst>
    </bk>
    <bk>
      <extLst>
        <ext uri="{3e2802c4-a4d2-4d8b-9148-e3be6c30e623}">
          <xlrd:rvb i="10127"/>
        </ext>
      </extLst>
    </bk>
    <bk>
      <extLst>
        <ext uri="{3e2802c4-a4d2-4d8b-9148-e3be6c30e623}">
          <xlrd:rvb i="10128"/>
        </ext>
      </extLst>
    </bk>
    <bk>
      <extLst>
        <ext uri="{3e2802c4-a4d2-4d8b-9148-e3be6c30e623}">
          <xlrd:rvb i="10129"/>
        </ext>
      </extLst>
    </bk>
    <bk>
      <extLst>
        <ext uri="{3e2802c4-a4d2-4d8b-9148-e3be6c30e623}">
          <xlrd:rvb i="10130"/>
        </ext>
      </extLst>
    </bk>
    <bk>
      <extLst>
        <ext uri="{3e2802c4-a4d2-4d8b-9148-e3be6c30e623}">
          <xlrd:rvb i="10131"/>
        </ext>
      </extLst>
    </bk>
    <bk>
      <extLst>
        <ext uri="{3e2802c4-a4d2-4d8b-9148-e3be6c30e623}">
          <xlrd:rvb i="10132"/>
        </ext>
      </extLst>
    </bk>
    <bk>
      <extLst>
        <ext uri="{3e2802c4-a4d2-4d8b-9148-e3be6c30e623}">
          <xlrd:rvb i="10133"/>
        </ext>
      </extLst>
    </bk>
    <bk>
      <extLst>
        <ext uri="{3e2802c4-a4d2-4d8b-9148-e3be6c30e623}">
          <xlrd:rvb i="10134"/>
        </ext>
      </extLst>
    </bk>
    <bk>
      <extLst>
        <ext uri="{3e2802c4-a4d2-4d8b-9148-e3be6c30e623}">
          <xlrd:rvb i="10135"/>
        </ext>
      </extLst>
    </bk>
    <bk>
      <extLst>
        <ext uri="{3e2802c4-a4d2-4d8b-9148-e3be6c30e623}">
          <xlrd:rvb i="10136"/>
        </ext>
      </extLst>
    </bk>
    <bk>
      <extLst>
        <ext uri="{3e2802c4-a4d2-4d8b-9148-e3be6c30e623}">
          <xlrd:rvb i="10137"/>
        </ext>
      </extLst>
    </bk>
    <bk>
      <extLst>
        <ext uri="{3e2802c4-a4d2-4d8b-9148-e3be6c30e623}">
          <xlrd:rvb i="10138"/>
        </ext>
      </extLst>
    </bk>
    <bk>
      <extLst>
        <ext uri="{3e2802c4-a4d2-4d8b-9148-e3be6c30e623}">
          <xlrd:rvb i="10139"/>
        </ext>
      </extLst>
    </bk>
    <bk>
      <extLst>
        <ext uri="{3e2802c4-a4d2-4d8b-9148-e3be6c30e623}">
          <xlrd:rvb i="10140"/>
        </ext>
      </extLst>
    </bk>
    <bk>
      <extLst>
        <ext uri="{3e2802c4-a4d2-4d8b-9148-e3be6c30e623}">
          <xlrd:rvb i="10141"/>
        </ext>
      </extLst>
    </bk>
    <bk>
      <extLst>
        <ext uri="{3e2802c4-a4d2-4d8b-9148-e3be6c30e623}">
          <xlrd:rvb i="10142"/>
        </ext>
      </extLst>
    </bk>
    <bk>
      <extLst>
        <ext uri="{3e2802c4-a4d2-4d8b-9148-e3be6c30e623}">
          <xlrd:rvb i="10143"/>
        </ext>
      </extLst>
    </bk>
    <bk>
      <extLst>
        <ext uri="{3e2802c4-a4d2-4d8b-9148-e3be6c30e623}">
          <xlrd:rvb i="10144"/>
        </ext>
      </extLst>
    </bk>
    <bk>
      <extLst>
        <ext uri="{3e2802c4-a4d2-4d8b-9148-e3be6c30e623}">
          <xlrd:rvb i="10145"/>
        </ext>
      </extLst>
    </bk>
    <bk>
      <extLst>
        <ext uri="{3e2802c4-a4d2-4d8b-9148-e3be6c30e623}">
          <xlrd:rvb i="10146"/>
        </ext>
      </extLst>
    </bk>
    <bk>
      <extLst>
        <ext uri="{3e2802c4-a4d2-4d8b-9148-e3be6c30e623}">
          <xlrd:rvb i="10147"/>
        </ext>
      </extLst>
    </bk>
    <bk>
      <extLst>
        <ext uri="{3e2802c4-a4d2-4d8b-9148-e3be6c30e623}">
          <xlrd:rvb i="10148"/>
        </ext>
      </extLst>
    </bk>
    <bk>
      <extLst>
        <ext uri="{3e2802c4-a4d2-4d8b-9148-e3be6c30e623}">
          <xlrd:rvb i="10149"/>
        </ext>
      </extLst>
    </bk>
    <bk>
      <extLst>
        <ext uri="{3e2802c4-a4d2-4d8b-9148-e3be6c30e623}">
          <xlrd:rvb i="10150"/>
        </ext>
      </extLst>
    </bk>
    <bk>
      <extLst>
        <ext uri="{3e2802c4-a4d2-4d8b-9148-e3be6c30e623}">
          <xlrd:rvb i="10151"/>
        </ext>
      </extLst>
    </bk>
    <bk>
      <extLst>
        <ext uri="{3e2802c4-a4d2-4d8b-9148-e3be6c30e623}">
          <xlrd:rvb i="10152"/>
        </ext>
      </extLst>
    </bk>
    <bk>
      <extLst>
        <ext uri="{3e2802c4-a4d2-4d8b-9148-e3be6c30e623}">
          <xlrd:rvb i="10153"/>
        </ext>
      </extLst>
    </bk>
    <bk>
      <extLst>
        <ext uri="{3e2802c4-a4d2-4d8b-9148-e3be6c30e623}">
          <xlrd:rvb i="10154"/>
        </ext>
      </extLst>
    </bk>
    <bk>
      <extLst>
        <ext uri="{3e2802c4-a4d2-4d8b-9148-e3be6c30e623}">
          <xlrd:rvb i="10155"/>
        </ext>
      </extLst>
    </bk>
    <bk>
      <extLst>
        <ext uri="{3e2802c4-a4d2-4d8b-9148-e3be6c30e623}">
          <xlrd:rvb i="10156"/>
        </ext>
      </extLst>
    </bk>
    <bk>
      <extLst>
        <ext uri="{3e2802c4-a4d2-4d8b-9148-e3be6c30e623}">
          <xlrd:rvb i="10157"/>
        </ext>
      </extLst>
    </bk>
    <bk>
      <extLst>
        <ext uri="{3e2802c4-a4d2-4d8b-9148-e3be6c30e623}">
          <xlrd:rvb i="10158"/>
        </ext>
      </extLst>
    </bk>
    <bk>
      <extLst>
        <ext uri="{3e2802c4-a4d2-4d8b-9148-e3be6c30e623}">
          <xlrd:rvb i="10159"/>
        </ext>
      </extLst>
    </bk>
    <bk>
      <extLst>
        <ext uri="{3e2802c4-a4d2-4d8b-9148-e3be6c30e623}">
          <xlrd:rvb i="10160"/>
        </ext>
      </extLst>
    </bk>
    <bk>
      <extLst>
        <ext uri="{3e2802c4-a4d2-4d8b-9148-e3be6c30e623}">
          <xlrd:rvb i="10161"/>
        </ext>
      </extLst>
    </bk>
    <bk>
      <extLst>
        <ext uri="{3e2802c4-a4d2-4d8b-9148-e3be6c30e623}">
          <xlrd:rvb i="10162"/>
        </ext>
      </extLst>
    </bk>
    <bk>
      <extLst>
        <ext uri="{3e2802c4-a4d2-4d8b-9148-e3be6c30e623}">
          <xlrd:rvb i="10163"/>
        </ext>
      </extLst>
    </bk>
    <bk>
      <extLst>
        <ext uri="{3e2802c4-a4d2-4d8b-9148-e3be6c30e623}">
          <xlrd:rvb i="10164"/>
        </ext>
      </extLst>
    </bk>
    <bk>
      <extLst>
        <ext uri="{3e2802c4-a4d2-4d8b-9148-e3be6c30e623}">
          <xlrd:rvb i="10165"/>
        </ext>
      </extLst>
    </bk>
    <bk>
      <extLst>
        <ext uri="{3e2802c4-a4d2-4d8b-9148-e3be6c30e623}">
          <xlrd:rvb i="10166"/>
        </ext>
      </extLst>
    </bk>
    <bk>
      <extLst>
        <ext uri="{3e2802c4-a4d2-4d8b-9148-e3be6c30e623}">
          <xlrd:rvb i="10167"/>
        </ext>
      </extLst>
    </bk>
    <bk>
      <extLst>
        <ext uri="{3e2802c4-a4d2-4d8b-9148-e3be6c30e623}">
          <xlrd:rvb i="10168"/>
        </ext>
      </extLst>
    </bk>
    <bk>
      <extLst>
        <ext uri="{3e2802c4-a4d2-4d8b-9148-e3be6c30e623}">
          <xlrd:rvb i="10169"/>
        </ext>
      </extLst>
    </bk>
    <bk>
      <extLst>
        <ext uri="{3e2802c4-a4d2-4d8b-9148-e3be6c30e623}">
          <xlrd:rvb i="10170"/>
        </ext>
      </extLst>
    </bk>
    <bk>
      <extLst>
        <ext uri="{3e2802c4-a4d2-4d8b-9148-e3be6c30e623}">
          <xlrd:rvb i="10171"/>
        </ext>
      </extLst>
    </bk>
    <bk>
      <extLst>
        <ext uri="{3e2802c4-a4d2-4d8b-9148-e3be6c30e623}">
          <xlrd:rvb i="10172"/>
        </ext>
      </extLst>
    </bk>
    <bk>
      <extLst>
        <ext uri="{3e2802c4-a4d2-4d8b-9148-e3be6c30e623}">
          <xlrd:rvb i="10173"/>
        </ext>
      </extLst>
    </bk>
    <bk>
      <extLst>
        <ext uri="{3e2802c4-a4d2-4d8b-9148-e3be6c30e623}">
          <xlrd:rvb i="10174"/>
        </ext>
      </extLst>
    </bk>
    <bk>
      <extLst>
        <ext uri="{3e2802c4-a4d2-4d8b-9148-e3be6c30e623}">
          <xlrd:rvb i="10175"/>
        </ext>
      </extLst>
    </bk>
    <bk>
      <extLst>
        <ext uri="{3e2802c4-a4d2-4d8b-9148-e3be6c30e623}">
          <xlrd:rvb i="10176"/>
        </ext>
      </extLst>
    </bk>
    <bk>
      <extLst>
        <ext uri="{3e2802c4-a4d2-4d8b-9148-e3be6c30e623}">
          <xlrd:rvb i="10177"/>
        </ext>
      </extLst>
    </bk>
    <bk>
      <extLst>
        <ext uri="{3e2802c4-a4d2-4d8b-9148-e3be6c30e623}">
          <xlrd:rvb i="10178"/>
        </ext>
      </extLst>
    </bk>
    <bk>
      <extLst>
        <ext uri="{3e2802c4-a4d2-4d8b-9148-e3be6c30e623}">
          <xlrd:rvb i="10179"/>
        </ext>
      </extLst>
    </bk>
    <bk>
      <extLst>
        <ext uri="{3e2802c4-a4d2-4d8b-9148-e3be6c30e623}">
          <xlrd:rvb i="10180"/>
        </ext>
      </extLst>
    </bk>
    <bk>
      <extLst>
        <ext uri="{3e2802c4-a4d2-4d8b-9148-e3be6c30e623}">
          <xlrd:rvb i="10181"/>
        </ext>
      </extLst>
    </bk>
    <bk>
      <extLst>
        <ext uri="{3e2802c4-a4d2-4d8b-9148-e3be6c30e623}">
          <xlrd:rvb i="10182"/>
        </ext>
      </extLst>
    </bk>
    <bk>
      <extLst>
        <ext uri="{3e2802c4-a4d2-4d8b-9148-e3be6c30e623}">
          <xlrd:rvb i="10183"/>
        </ext>
      </extLst>
    </bk>
    <bk>
      <extLst>
        <ext uri="{3e2802c4-a4d2-4d8b-9148-e3be6c30e623}">
          <xlrd:rvb i="10184"/>
        </ext>
      </extLst>
    </bk>
    <bk>
      <extLst>
        <ext uri="{3e2802c4-a4d2-4d8b-9148-e3be6c30e623}">
          <xlrd:rvb i="10185"/>
        </ext>
      </extLst>
    </bk>
    <bk>
      <extLst>
        <ext uri="{3e2802c4-a4d2-4d8b-9148-e3be6c30e623}">
          <xlrd:rvb i="10186"/>
        </ext>
      </extLst>
    </bk>
    <bk>
      <extLst>
        <ext uri="{3e2802c4-a4d2-4d8b-9148-e3be6c30e623}">
          <xlrd:rvb i="10187"/>
        </ext>
      </extLst>
    </bk>
    <bk>
      <extLst>
        <ext uri="{3e2802c4-a4d2-4d8b-9148-e3be6c30e623}">
          <xlrd:rvb i="10188"/>
        </ext>
      </extLst>
    </bk>
    <bk>
      <extLst>
        <ext uri="{3e2802c4-a4d2-4d8b-9148-e3be6c30e623}">
          <xlrd:rvb i="10189"/>
        </ext>
      </extLst>
    </bk>
    <bk>
      <extLst>
        <ext uri="{3e2802c4-a4d2-4d8b-9148-e3be6c30e623}">
          <xlrd:rvb i="10190"/>
        </ext>
      </extLst>
    </bk>
    <bk>
      <extLst>
        <ext uri="{3e2802c4-a4d2-4d8b-9148-e3be6c30e623}">
          <xlrd:rvb i="10191"/>
        </ext>
      </extLst>
    </bk>
    <bk>
      <extLst>
        <ext uri="{3e2802c4-a4d2-4d8b-9148-e3be6c30e623}">
          <xlrd:rvb i="10192"/>
        </ext>
      </extLst>
    </bk>
    <bk>
      <extLst>
        <ext uri="{3e2802c4-a4d2-4d8b-9148-e3be6c30e623}">
          <xlrd:rvb i="10193"/>
        </ext>
      </extLst>
    </bk>
    <bk>
      <extLst>
        <ext uri="{3e2802c4-a4d2-4d8b-9148-e3be6c30e623}">
          <xlrd:rvb i="10194"/>
        </ext>
      </extLst>
    </bk>
    <bk>
      <extLst>
        <ext uri="{3e2802c4-a4d2-4d8b-9148-e3be6c30e623}">
          <xlrd:rvb i="10195"/>
        </ext>
      </extLst>
    </bk>
    <bk>
      <extLst>
        <ext uri="{3e2802c4-a4d2-4d8b-9148-e3be6c30e623}">
          <xlrd:rvb i="10196"/>
        </ext>
      </extLst>
    </bk>
    <bk>
      <extLst>
        <ext uri="{3e2802c4-a4d2-4d8b-9148-e3be6c30e623}">
          <xlrd:rvb i="10197"/>
        </ext>
      </extLst>
    </bk>
    <bk>
      <extLst>
        <ext uri="{3e2802c4-a4d2-4d8b-9148-e3be6c30e623}">
          <xlrd:rvb i="10198"/>
        </ext>
      </extLst>
    </bk>
    <bk>
      <extLst>
        <ext uri="{3e2802c4-a4d2-4d8b-9148-e3be6c30e623}">
          <xlrd:rvb i="10199"/>
        </ext>
      </extLst>
    </bk>
    <bk>
      <extLst>
        <ext uri="{3e2802c4-a4d2-4d8b-9148-e3be6c30e623}">
          <xlrd:rvb i="10200"/>
        </ext>
      </extLst>
    </bk>
    <bk>
      <extLst>
        <ext uri="{3e2802c4-a4d2-4d8b-9148-e3be6c30e623}">
          <xlrd:rvb i="10201"/>
        </ext>
      </extLst>
    </bk>
    <bk>
      <extLst>
        <ext uri="{3e2802c4-a4d2-4d8b-9148-e3be6c30e623}">
          <xlrd:rvb i="10202"/>
        </ext>
      </extLst>
    </bk>
    <bk>
      <extLst>
        <ext uri="{3e2802c4-a4d2-4d8b-9148-e3be6c30e623}">
          <xlrd:rvb i="10203"/>
        </ext>
      </extLst>
    </bk>
    <bk>
      <extLst>
        <ext uri="{3e2802c4-a4d2-4d8b-9148-e3be6c30e623}">
          <xlrd:rvb i="10204"/>
        </ext>
      </extLst>
    </bk>
    <bk>
      <extLst>
        <ext uri="{3e2802c4-a4d2-4d8b-9148-e3be6c30e623}">
          <xlrd:rvb i="10205"/>
        </ext>
      </extLst>
    </bk>
    <bk>
      <extLst>
        <ext uri="{3e2802c4-a4d2-4d8b-9148-e3be6c30e623}">
          <xlrd:rvb i="10206"/>
        </ext>
      </extLst>
    </bk>
    <bk>
      <extLst>
        <ext uri="{3e2802c4-a4d2-4d8b-9148-e3be6c30e623}">
          <xlrd:rvb i="10207"/>
        </ext>
      </extLst>
    </bk>
    <bk>
      <extLst>
        <ext uri="{3e2802c4-a4d2-4d8b-9148-e3be6c30e623}">
          <xlrd:rvb i="10208"/>
        </ext>
      </extLst>
    </bk>
    <bk>
      <extLst>
        <ext uri="{3e2802c4-a4d2-4d8b-9148-e3be6c30e623}">
          <xlrd:rvb i="10209"/>
        </ext>
      </extLst>
    </bk>
    <bk>
      <extLst>
        <ext uri="{3e2802c4-a4d2-4d8b-9148-e3be6c30e623}">
          <xlrd:rvb i="10210"/>
        </ext>
      </extLst>
    </bk>
    <bk>
      <extLst>
        <ext uri="{3e2802c4-a4d2-4d8b-9148-e3be6c30e623}">
          <xlrd:rvb i="10211"/>
        </ext>
      </extLst>
    </bk>
    <bk>
      <extLst>
        <ext uri="{3e2802c4-a4d2-4d8b-9148-e3be6c30e623}">
          <xlrd:rvb i="10212"/>
        </ext>
      </extLst>
    </bk>
    <bk>
      <extLst>
        <ext uri="{3e2802c4-a4d2-4d8b-9148-e3be6c30e623}">
          <xlrd:rvb i="10213"/>
        </ext>
      </extLst>
    </bk>
    <bk>
      <extLst>
        <ext uri="{3e2802c4-a4d2-4d8b-9148-e3be6c30e623}">
          <xlrd:rvb i="10214"/>
        </ext>
      </extLst>
    </bk>
    <bk>
      <extLst>
        <ext uri="{3e2802c4-a4d2-4d8b-9148-e3be6c30e623}">
          <xlrd:rvb i="10215"/>
        </ext>
      </extLst>
    </bk>
    <bk>
      <extLst>
        <ext uri="{3e2802c4-a4d2-4d8b-9148-e3be6c30e623}">
          <xlrd:rvb i="10216"/>
        </ext>
      </extLst>
    </bk>
    <bk>
      <extLst>
        <ext uri="{3e2802c4-a4d2-4d8b-9148-e3be6c30e623}">
          <xlrd:rvb i="10217"/>
        </ext>
      </extLst>
    </bk>
    <bk>
      <extLst>
        <ext uri="{3e2802c4-a4d2-4d8b-9148-e3be6c30e623}">
          <xlrd:rvb i="10218"/>
        </ext>
      </extLst>
    </bk>
    <bk>
      <extLst>
        <ext uri="{3e2802c4-a4d2-4d8b-9148-e3be6c30e623}">
          <xlrd:rvb i="10219"/>
        </ext>
      </extLst>
    </bk>
    <bk>
      <extLst>
        <ext uri="{3e2802c4-a4d2-4d8b-9148-e3be6c30e623}">
          <xlrd:rvb i="10220"/>
        </ext>
      </extLst>
    </bk>
    <bk>
      <extLst>
        <ext uri="{3e2802c4-a4d2-4d8b-9148-e3be6c30e623}">
          <xlrd:rvb i="10221"/>
        </ext>
      </extLst>
    </bk>
    <bk>
      <extLst>
        <ext uri="{3e2802c4-a4d2-4d8b-9148-e3be6c30e623}">
          <xlrd:rvb i="10222"/>
        </ext>
      </extLst>
    </bk>
    <bk>
      <extLst>
        <ext uri="{3e2802c4-a4d2-4d8b-9148-e3be6c30e623}">
          <xlrd:rvb i="10223"/>
        </ext>
      </extLst>
    </bk>
    <bk>
      <extLst>
        <ext uri="{3e2802c4-a4d2-4d8b-9148-e3be6c30e623}">
          <xlrd:rvb i="10224"/>
        </ext>
      </extLst>
    </bk>
    <bk>
      <extLst>
        <ext uri="{3e2802c4-a4d2-4d8b-9148-e3be6c30e623}">
          <xlrd:rvb i="10225"/>
        </ext>
      </extLst>
    </bk>
    <bk>
      <extLst>
        <ext uri="{3e2802c4-a4d2-4d8b-9148-e3be6c30e623}">
          <xlrd:rvb i="10226"/>
        </ext>
      </extLst>
    </bk>
    <bk>
      <extLst>
        <ext uri="{3e2802c4-a4d2-4d8b-9148-e3be6c30e623}">
          <xlrd:rvb i="10227"/>
        </ext>
      </extLst>
    </bk>
    <bk>
      <extLst>
        <ext uri="{3e2802c4-a4d2-4d8b-9148-e3be6c30e623}">
          <xlrd:rvb i="10228"/>
        </ext>
      </extLst>
    </bk>
    <bk>
      <extLst>
        <ext uri="{3e2802c4-a4d2-4d8b-9148-e3be6c30e623}">
          <xlrd:rvb i="10229"/>
        </ext>
      </extLst>
    </bk>
    <bk>
      <extLst>
        <ext uri="{3e2802c4-a4d2-4d8b-9148-e3be6c30e623}">
          <xlrd:rvb i="10230"/>
        </ext>
      </extLst>
    </bk>
    <bk>
      <extLst>
        <ext uri="{3e2802c4-a4d2-4d8b-9148-e3be6c30e623}">
          <xlrd:rvb i="10231"/>
        </ext>
      </extLst>
    </bk>
    <bk>
      <extLst>
        <ext uri="{3e2802c4-a4d2-4d8b-9148-e3be6c30e623}">
          <xlrd:rvb i="10232"/>
        </ext>
      </extLst>
    </bk>
    <bk>
      <extLst>
        <ext uri="{3e2802c4-a4d2-4d8b-9148-e3be6c30e623}">
          <xlrd:rvb i="10233"/>
        </ext>
      </extLst>
    </bk>
    <bk>
      <extLst>
        <ext uri="{3e2802c4-a4d2-4d8b-9148-e3be6c30e623}">
          <xlrd:rvb i="10234"/>
        </ext>
      </extLst>
    </bk>
    <bk>
      <extLst>
        <ext uri="{3e2802c4-a4d2-4d8b-9148-e3be6c30e623}">
          <xlrd:rvb i="10235"/>
        </ext>
      </extLst>
    </bk>
    <bk>
      <extLst>
        <ext uri="{3e2802c4-a4d2-4d8b-9148-e3be6c30e623}">
          <xlrd:rvb i="10236"/>
        </ext>
      </extLst>
    </bk>
    <bk>
      <extLst>
        <ext uri="{3e2802c4-a4d2-4d8b-9148-e3be6c30e623}">
          <xlrd:rvb i="10237"/>
        </ext>
      </extLst>
    </bk>
    <bk>
      <extLst>
        <ext uri="{3e2802c4-a4d2-4d8b-9148-e3be6c30e623}">
          <xlrd:rvb i="10238"/>
        </ext>
      </extLst>
    </bk>
    <bk>
      <extLst>
        <ext uri="{3e2802c4-a4d2-4d8b-9148-e3be6c30e623}">
          <xlrd:rvb i="10239"/>
        </ext>
      </extLst>
    </bk>
    <bk>
      <extLst>
        <ext uri="{3e2802c4-a4d2-4d8b-9148-e3be6c30e623}">
          <xlrd:rvb i="10240"/>
        </ext>
      </extLst>
    </bk>
    <bk>
      <extLst>
        <ext uri="{3e2802c4-a4d2-4d8b-9148-e3be6c30e623}">
          <xlrd:rvb i="10241"/>
        </ext>
      </extLst>
    </bk>
    <bk>
      <extLst>
        <ext uri="{3e2802c4-a4d2-4d8b-9148-e3be6c30e623}">
          <xlrd:rvb i="10242"/>
        </ext>
      </extLst>
    </bk>
    <bk>
      <extLst>
        <ext uri="{3e2802c4-a4d2-4d8b-9148-e3be6c30e623}">
          <xlrd:rvb i="10243"/>
        </ext>
      </extLst>
    </bk>
    <bk>
      <extLst>
        <ext uri="{3e2802c4-a4d2-4d8b-9148-e3be6c30e623}">
          <xlrd:rvb i="10244"/>
        </ext>
      </extLst>
    </bk>
    <bk>
      <extLst>
        <ext uri="{3e2802c4-a4d2-4d8b-9148-e3be6c30e623}">
          <xlrd:rvb i="10245"/>
        </ext>
      </extLst>
    </bk>
    <bk>
      <extLst>
        <ext uri="{3e2802c4-a4d2-4d8b-9148-e3be6c30e623}">
          <xlrd:rvb i="10246"/>
        </ext>
      </extLst>
    </bk>
    <bk>
      <extLst>
        <ext uri="{3e2802c4-a4d2-4d8b-9148-e3be6c30e623}">
          <xlrd:rvb i="10247"/>
        </ext>
      </extLst>
    </bk>
    <bk>
      <extLst>
        <ext uri="{3e2802c4-a4d2-4d8b-9148-e3be6c30e623}">
          <xlrd:rvb i="10248"/>
        </ext>
      </extLst>
    </bk>
    <bk>
      <extLst>
        <ext uri="{3e2802c4-a4d2-4d8b-9148-e3be6c30e623}">
          <xlrd:rvb i="10249"/>
        </ext>
      </extLst>
    </bk>
    <bk>
      <extLst>
        <ext uri="{3e2802c4-a4d2-4d8b-9148-e3be6c30e623}">
          <xlrd:rvb i="10250"/>
        </ext>
      </extLst>
    </bk>
    <bk>
      <extLst>
        <ext uri="{3e2802c4-a4d2-4d8b-9148-e3be6c30e623}">
          <xlrd:rvb i="10251"/>
        </ext>
      </extLst>
    </bk>
    <bk>
      <extLst>
        <ext uri="{3e2802c4-a4d2-4d8b-9148-e3be6c30e623}">
          <xlrd:rvb i="10252"/>
        </ext>
      </extLst>
    </bk>
    <bk>
      <extLst>
        <ext uri="{3e2802c4-a4d2-4d8b-9148-e3be6c30e623}">
          <xlrd:rvb i="10253"/>
        </ext>
      </extLst>
    </bk>
    <bk>
      <extLst>
        <ext uri="{3e2802c4-a4d2-4d8b-9148-e3be6c30e623}">
          <xlrd:rvb i="10254"/>
        </ext>
      </extLst>
    </bk>
    <bk>
      <extLst>
        <ext uri="{3e2802c4-a4d2-4d8b-9148-e3be6c30e623}">
          <xlrd:rvb i="10255"/>
        </ext>
      </extLst>
    </bk>
    <bk>
      <extLst>
        <ext uri="{3e2802c4-a4d2-4d8b-9148-e3be6c30e623}">
          <xlrd:rvb i="10256"/>
        </ext>
      </extLst>
    </bk>
    <bk>
      <extLst>
        <ext uri="{3e2802c4-a4d2-4d8b-9148-e3be6c30e623}">
          <xlrd:rvb i="10257"/>
        </ext>
      </extLst>
    </bk>
    <bk>
      <extLst>
        <ext uri="{3e2802c4-a4d2-4d8b-9148-e3be6c30e623}">
          <xlrd:rvb i="10258"/>
        </ext>
      </extLst>
    </bk>
    <bk>
      <extLst>
        <ext uri="{3e2802c4-a4d2-4d8b-9148-e3be6c30e623}">
          <xlrd:rvb i="10259"/>
        </ext>
      </extLst>
    </bk>
    <bk>
      <extLst>
        <ext uri="{3e2802c4-a4d2-4d8b-9148-e3be6c30e623}">
          <xlrd:rvb i="10260"/>
        </ext>
      </extLst>
    </bk>
    <bk>
      <extLst>
        <ext uri="{3e2802c4-a4d2-4d8b-9148-e3be6c30e623}">
          <xlrd:rvb i="10261"/>
        </ext>
      </extLst>
    </bk>
    <bk>
      <extLst>
        <ext uri="{3e2802c4-a4d2-4d8b-9148-e3be6c30e623}">
          <xlrd:rvb i="10262"/>
        </ext>
      </extLst>
    </bk>
    <bk>
      <extLst>
        <ext uri="{3e2802c4-a4d2-4d8b-9148-e3be6c30e623}">
          <xlrd:rvb i="10263"/>
        </ext>
      </extLst>
    </bk>
    <bk>
      <extLst>
        <ext uri="{3e2802c4-a4d2-4d8b-9148-e3be6c30e623}">
          <xlrd:rvb i="10264"/>
        </ext>
      </extLst>
    </bk>
    <bk>
      <extLst>
        <ext uri="{3e2802c4-a4d2-4d8b-9148-e3be6c30e623}">
          <xlrd:rvb i="10265"/>
        </ext>
      </extLst>
    </bk>
    <bk>
      <extLst>
        <ext uri="{3e2802c4-a4d2-4d8b-9148-e3be6c30e623}">
          <xlrd:rvb i="10266"/>
        </ext>
      </extLst>
    </bk>
    <bk>
      <extLst>
        <ext uri="{3e2802c4-a4d2-4d8b-9148-e3be6c30e623}">
          <xlrd:rvb i="10267"/>
        </ext>
      </extLst>
    </bk>
    <bk>
      <extLst>
        <ext uri="{3e2802c4-a4d2-4d8b-9148-e3be6c30e623}">
          <xlrd:rvb i="10268"/>
        </ext>
      </extLst>
    </bk>
    <bk>
      <extLst>
        <ext uri="{3e2802c4-a4d2-4d8b-9148-e3be6c30e623}">
          <xlrd:rvb i="10269"/>
        </ext>
      </extLst>
    </bk>
    <bk>
      <extLst>
        <ext uri="{3e2802c4-a4d2-4d8b-9148-e3be6c30e623}">
          <xlrd:rvb i="10270"/>
        </ext>
      </extLst>
    </bk>
    <bk>
      <extLst>
        <ext uri="{3e2802c4-a4d2-4d8b-9148-e3be6c30e623}">
          <xlrd:rvb i="10271"/>
        </ext>
      </extLst>
    </bk>
    <bk>
      <extLst>
        <ext uri="{3e2802c4-a4d2-4d8b-9148-e3be6c30e623}">
          <xlrd:rvb i="10272"/>
        </ext>
      </extLst>
    </bk>
    <bk>
      <extLst>
        <ext uri="{3e2802c4-a4d2-4d8b-9148-e3be6c30e623}">
          <xlrd:rvb i="10273"/>
        </ext>
      </extLst>
    </bk>
    <bk>
      <extLst>
        <ext uri="{3e2802c4-a4d2-4d8b-9148-e3be6c30e623}">
          <xlrd:rvb i="10274"/>
        </ext>
      </extLst>
    </bk>
    <bk>
      <extLst>
        <ext uri="{3e2802c4-a4d2-4d8b-9148-e3be6c30e623}">
          <xlrd:rvb i="10275"/>
        </ext>
      </extLst>
    </bk>
    <bk>
      <extLst>
        <ext uri="{3e2802c4-a4d2-4d8b-9148-e3be6c30e623}">
          <xlrd:rvb i="10276"/>
        </ext>
      </extLst>
    </bk>
    <bk>
      <extLst>
        <ext uri="{3e2802c4-a4d2-4d8b-9148-e3be6c30e623}">
          <xlrd:rvb i="10277"/>
        </ext>
      </extLst>
    </bk>
    <bk>
      <extLst>
        <ext uri="{3e2802c4-a4d2-4d8b-9148-e3be6c30e623}">
          <xlrd:rvb i="10278"/>
        </ext>
      </extLst>
    </bk>
    <bk>
      <extLst>
        <ext uri="{3e2802c4-a4d2-4d8b-9148-e3be6c30e623}">
          <xlrd:rvb i="10279"/>
        </ext>
      </extLst>
    </bk>
    <bk>
      <extLst>
        <ext uri="{3e2802c4-a4d2-4d8b-9148-e3be6c30e623}">
          <xlrd:rvb i="10280"/>
        </ext>
      </extLst>
    </bk>
    <bk>
      <extLst>
        <ext uri="{3e2802c4-a4d2-4d8b-9148-e3be6c30e623}">
          <xlrd:rvb i="10281"/>
        </ext>
      </extLst>
    </bk>
    <bk>
      <extLst>
        <ext uri="{3e2802c4-a4d2-4d8b-9148-e3be6c30e623}">
          <xlrd:rvb i="10282"/>
        </ext>
      </extLst>
    </bk>
    <bk>
      <extLst>
        <ext uri="{3e2802c4-a4d2-4d8b-9148-e3be6c30e623}">
          <xlrd:rvb i="10283"/>
        </ext>
      </extLst>
    </bk>
    <bk>
      <extLst>
        <ext uri="{3e2802c4-a4d2-4d8b-9148-e3be6c30e623}">
          <xlrd:rvb i="10284"/>
        </ext>
      </extLst>
    </bk>
    <bk>
      <extLst>
        <ext uri="{3e2802c4-a4d2-4d8b-9148-e3be6c30e623}">
          <xlrd:rvb i="10285"/>
        </ext>
      </extLst>
    </bk>
    <bk>
      <extLst>
        <ext uri="{3e2802c4-a4d2-4d8b-9148-e3be6c30e623}">
          <xlrd:rvb i="10286"/>
        </ext>
      </extLst>
    </bk>
    <bk>
      <extLst>
        <ext uri="{3e2802c4-a4d2-4d8b-9148-e3be6c30e623}">
          <xlrd:rvb i="10287"/>
        </ext>
      </extLst>
    </bk>
    <bk>
      <extLst>
        <ext uri="{3e2802c4-a4d2-4d8b-9148-e3be6c30e623}">
          <xlrd:rvb i="10288"/>
        </ext>
      </extLst>
    </bk>
    <bk>
      <extLst>
        <ext uri="{3e2802c4-a4d2-4d8b-9148-e3be6c30e623}">
          <xlrd:rvb i="10289"/>
        </ext>
      </extLst>
    </bk>
    <bk>
      <extLst>
        <ext uri="{3e2802c4-a4d2-4d8b-9148-e3be6c30e623}">
          <xlrd:rvb i="10290"/>
        </ext>
      </extLst>
    </bk>
    <bk>
      <extLst>
        <ext uri="{3e2802c4-a4d2-4d8b-9148-e3be6c30e623}">
          <xlrd:rvb i="10291"/>
        </ext>
      </extLst>
    </bk>
    <bk>
      <extLst>
        <ext uri="{3e2802c4-a4d2-4d8b-9148-e3be6c30e623}">
          <xlrd:rvb i="10292"/>
        </ext>
      </extLst>
    </bk>
    <bk>
      <extLst>
        <ext uri="{3e2802c4-a4d2-4d8b-9148-e3be6c30e623}">
          <xlrd:rvb i="10293"/>
        </ext>
      </extLst>
    </bk>
    <bk>
      <extLst>
        <ext uri="{3e2802c4-a4d2-4d8b-9148-e3be6c30e623}">
          <xlrd:rvb i="10294"/>
        </ext>
      </extLst>
    </bk>
    <bk>
      <extLst>
        <ext uri="{3e2802c4-a4d2-4d8b-9148-e3be6c30e623}">
          <xlrd:rvb i="10295"/>
        </ext>
      </extLst>
    </bk>
    <bk>
      <extLst>
        <ext uri="{3e2802c4-a4d2-4d8b-9148-e3be6c30e623}">
          <xlrd:rvb i="10296"/>
        </ext>
      </extLst>
    </bk>
    <bk>
      <extLst>
        <ext uri="{3e2802c4-a4d2-4d8b-9148-e3be6c30e623}">
          <xlrd:rvb i="10297"/>
        </ext>
      </extLst>
    </bk>
    <bk>
      <extLst>
        <ext uri="{3e2802c4-a4d2-4d8b-9148-e3be6c30e623}">
          <xlrd:rvb i="10298"/>
        </ext>
      </extLst>
    </bk>
    <bk>
      <extLst>
        <ext uri="{3e2802c4-a4d2-4d8b-9148-e3be6c30e623}">
          <xlrd:rvb i="10299"/>
        </ext>
      </extLst>
    </bk>
    <bk>
      <extLst>
        <ext uri="{3e2802c4-a4d2-4d8b-9148-e3be6c30e623}">
          <xlrd:rvb i="10300"/>
        </ext>
      </extLst>
    </bk>
    <bk>
      <extLst>
        <ext uri="{3e2802c4-a4d2-4d8b-9148-e3be6c30e623}">
          <xlrd:rvb i="10301"/>
        </ext>
      </extLst>
    </bk>
    <bk>
      <extLst>
        <ext uri="{3e2802c4-a4d2-4d8b-9148-e3be6c30e623}">
          <xlrd:rvb i="10302"/>
        </ext>
      </extLst>
    </bk>
    <bk>
      <extLst>
        <ext uri="{3e2802c4-a4d2-4d8b-9148-e3be6c30e623}">
          <xlrd:rvb i="10303"/>
        </ext>
      </extLst>
    </bk>
    <bk>
      <extLst>
        <ext uri="{3e2802c4-a4d2-4d8b-9148-e3be6c30e623}">
          <xlrd:rvb i="10304"/>
        </ext>
      </extLst>
    </bk>
    <bk>
      <extLst>
        <ext uri="{3e2802c4-a4d2-4d8b-9148-e3be6c30e623}">
          <xlrd:rvb i="10305"/>
        </ext>
      </extLst>
    </bk>
    <bk>
      <extLst>
        <ext uri="{3e2802c4-a4d2-4d8b-9148-e3be6c30e623}">
          <xlrd:rvb i="10306"/>
        </ext>
      </extLst>
    </bk>
    <bk>
      <extLst>
        <ext uri="{3e2802c4-a4d2-4d8b-9148-e3be6c30e623}">
          <xlrd:rvb i="10307"/>
        </ext>
      </extLst>
    </bk>
    <bk>
      <extLst>
        <ext uri="{3e2802c4-a4d2-4d8b-9148-e3be6c30e623}">
          <xlrd:rvb i="10308"/>
        </ext>
      </extLst>
    </bk>
    <bk>
      <extLst>
        <ext uri="{3e2802c4-a4d2-4d8b-9148-e3be6c30e623}">
          <xlrd:rvb i="10309"/>
        </ext>
      </extLst>
    </bk>
    <bk>
      <extLst>
        <ext uri="{3e2802c4-a4d2-4d8b-9148-e3be6c30e623}">
          <xlrd:rvb i="10310"/>
        </ext>
      </extLst>
    </bk>
    <bk>
      <extLst>
        <ext uri="{3e2802c4-a4d2-4d8b-9148-e3be6c30e623}">
          <xlrd:rvb i="10311"/>
        </ext>
      </extLst>
    </bk>
    <bk>
      <extLst>
        <ext uri="{3e2802c4-a4d2-4d8b-9148-e3be6c30e623}">
          <xlrd:rvb i="10312"/>
        </ext>
      </extLst>
    </bk>
    <bk>
      <extLst>
        <ext uri="{3e2802c4-a4d2-4d8b-9148-e3be6c30e623}">
          <xlrd:rvb i="10313"/>
        </ext>
      </extLst>
    </bk>
    <bk>
      <extLst>
        <ext uri="{3e2802c4-a4d2-4d8b-9148-e3be6c30e623}">
          <xlrd:rvb i="10314"/>
        </ext>
      </extLst>
    </bk>
    <bk>
      <extLst>
        <ext uri="{3e2802c4-a4d2-4d8b-9148-e3be6c30e623}">
          <xlrd:rvb i="10315"/>
        </ext>
      </extLst>
    </bk>
    <bk>
      <extLst>
        <ext uri="{3e2802c4-a4d2-4d8b-9148-e3be6c30e623}">
          <xlrd:rvb i="10316"/>
        </ext>
      </extLst>
    </bk>
    <bk>
      <extLst>
        <ext uri="{3e2802c4-a4d2-4d8b-9148-e3be6c30e623}">
          <xlrd:rvb i="10317"/>
        </ext>
      </extLst>
    </bk>
    <bk>
      <extLst>
        <ext uri="{3e2802c4-a4d2-4d8b-9148-e3be6c30e623}">
          <xlrd:rvb i="10318"/>
        </ext>
      </extLst>
    </bk>
    <bk>
      <extLst>
        <ext uri="{3e2802c4-a4d2-4d8b-9148-e3be6c30e623}">
          <xlrd:rvb i="10319"/>
        </ext>
      </extLst>
    </bk>
    <bk>
      <extLst>
        <ext uri="{3e2802c4-a4d2-4d8b-9148-e3be6c30e623}">
          <xlrd:rvb i="10320"/>
        </ext>
      </extLst>
    </bk>
    <bk>
      <extLst>
        <ext uri="{3e2802c4-a4d2-4d8b-9148-e3be6c30e623}">
          <xlrd:rvb i="10321"/>
        </ext>
      </extLst>
    </bk>
    <bk>
      <extLst>
        <ext uri="{3e2802c4-a4d2-4d8b-9148-e3be6c30e623}">
          <xlrd:rvb i="10322"/>
        </ext>
      </extLst>
    </bk>
    <bk>
      <extLst>
        <ext uri="{3e2802c4-a4d2-4d8b-9148-e3be6c30e623}">
          <xlrd:rvb i="10323"/>
        </ext>
      </extLst>
    </bk>
    <bk>
      <extLst>
        <ext uri="{3e2802c4-a4d2-4d8b-9148-e3be6c30e623}">
          <xlrd:rvb i="10324"/>
        </ext>
      </extLst>
    </bk>
    <bk>
      <extLst>
        <ext uri="{3e2802c4-a4d2-4d8b-9148-e3be6c30e623}">
          <xlrd:rvb i="10325"/>
        </ext>
      </extLst>
    </bk>
    <bk>
      <extLst>
        <ext uri="{3e2802c4-a4d2-4d8b-9148-e3be6c30e623}">
          <xlrd:rvb i="10326"/>
        </ext>
      </extLst>
    </bk>
    <bk>
      <extLst>
        <ext uri="{3e2802c4-a4d2-4d8b-9148-e3be6c30e623}">
          <xlrd:rvb i="10327"/>
        </ext>
      </extLst>
    </bk>
    <bk>
      <extLst>
        <ext uri="{3e2802c4-a4d2-4d8b-9148-e3be6c30e623}">
          <xlrd:rvb i="10328"/>
        </ext>
      </extLst>
    </bk>
    <bk>
      <extLst>
        <ext uri="{3e2802c4-a4d2-4d8b-9148-e3be6c30e623}">
          <xlrd:rvb i="10329"/>
        </ext>
      </extLst>
    </bk>
    <bk>
      <extLst>
        <ext uri="{3e2802c4-a4d2-4d8b-9148-e3be6c30e623}">
          <xlrd:rvb i="10330"/>
        </ext>
      </extLst>
    </bk>
    <bk>
      <extLst>
        <ext uri="{3e2802c4-a4d2-4d8b-9148-e3be6c30e623}">
          <xlrd:rvb i="10331"/>
        </ext>
      </extLst>
    </bk>
    <bk>
      <extLst>
        <ext uri="{3e2802c4-a4d2-4d8b-9148-e3be6c30e623}">
          <xlrd:rvb i="10332"/>
        </ext>
      </extLst>
    </bk>
    <bk>
      <extLst>
        <ext uri="{3e2802c4-a4d2-4d8b-9148-e3be6c30e623}">
          <xlrd:rvb i="10333"/>
        </ext>
      </extLst>
    </bk>
    <bk>
      <extLst>
        <ext uri="{3e2802c4-a4d2-4d8b-9148-e3be6c30e623}">
          <xlrd:rvb i="10334"/>
        </ext>
      </extLst>
    </bk>
    <bk>
      <extLst>
        <ext uri="{3e2802c4-a4d2-4d8b-9148-e3be6c30e623}">
          <xlrd:rvb i="10335"/>
        </ext>
      </extLst>
    </bk>
    <bk>
      <extLst>
        <ext uri="{3e2802c4-a4d2-4d8b-9148-e3be6c30e623}">
          <xlrd:rvb i="10336"/>
        </ext>
      </extLst>
    </bk>
    <bk>
      <extLst>
        <ext uri="{3e2802c4-a4d2-4d8b-9148-e3be6c30e623}">
          <xlrd:rvb i="10337"/>
        </ext>
      </extLst>
    </bk>
    <bk>
      <extLst>
        <ext uri="{3e2802c4-a4d2-4d8b-9148-e3be6c30e623}">
          <xlrd:rvb i="10338"/>
        </ext>
      </extLst>
    </bk>
    <bk>
      <extLst>
        <ext uri="{3e2802c4-a4d2-4d8b-9148-e3be6c30e623}">
          <xlrd:rvb i="10339"/>
        </ext>
      </extLst>
    </bk>
    <bk>
      <extLst>
        <ext uri="{3e2802c4-a4d2-4d8b-9148-e3be6c30e623}">
          <xlrd:rvb i="10340"/>
        </ext>
      </extLst>
    </bk>
    <bk>
      <extLst>
        <ext uri="{3e2802c4-a4d2-4d8b-9148-e3be6c30e623}">
          <xlrd:rvb i="10341"/>
        </ext>
      </extLst>
    </bk>
    <bk>
      <extLst>
        <ext uri="{3e2802c4-a4d2-4d8b-9148-e3be6c30e623}">
          <xlrd:rvb i="10342"/>
        </ext>
      </extLst>
    </bk>
    <bk>
      <extLst>
        <ext uri="{3e2802c4-a4d2-4d8b-9148-e3be6c30e623}">
          <xlrd:rvb i="10343"/>
        </ext>
      </extLst>
    </bk>
    <bk>
      <extLst>
        <ext uri="{3e2802c4-a4d2-4d8b-9148-e3be6c30e623}">
          <xlrd:rvb i="10344"/>
        </ext>
      </extLst>
    </bk>
    <bk>
      <extLst>
        <ext uri="{3e2802c4-a4d2-4d8b-9148-e3be6c30e623}">
          <xlrd:rvb i="10345"/>
        </ext>
      </extLst>
    </bk>
    <bk>
      <extLst>
        <ext uri="{3e2802c4-a4d2-4d8b-9148-e3be6c30e623}">
          <xlrd:rvb i="10346"/>
        </ext>
      </extLst>
    </bk>
    <bk>
      <extLst>
        <ext uri="{3e2802c4-a4d2-4d8b-9148-e3be6c30e623}">
          <xlrd:rvb i="10347"/>
        </ext>
      </extLst>
    </bk>
    <bk>
      <extLst>
        <ext uri="{3e2802c4-a4d2-4d8b-9148-e3be6c30e623}">
          <xlrd:rvb i="10348"/>
        </ext>
      </extLst>
    </bk>
    <bk>
      <extLst>
        <ext uri="{3e2802c4-a4d2-4d8b-9148-e3be6c30e623}">
          <xlrd:rvb i="10349"/>
        </ext>
      </extLst>
    </bk>
    <bk>
      <extLst>
        <ext uri="{3e2802c4-a4d2-4d8b-9148-e3be6c30e623}">
          <xlrd:rvb i="10350"/>
        </ext>
      </extLst>
    </bk>
    <bk>
      <extLst>
        <ext uri="{3e2802c4-a4d2-4d8b-9148-e3be6c30e623}">
          <xlrd:rvb i="10351"/>
        </ext>
      </extLst>
    </bk>
    <bk>
      <extLst>
        <ext uri="{3e2802c4-a4d2-4d8b-9148-e3be6c30e623}">
          <xlrd:rvb i="10352"/>
        </ext>
      </extLst>
    </bk>
    <bk>
      <extLst>
        <ext uri="{3e2802c4-a4d2-4d8b-9148-e3be6c30e623}">
          <xlrd:rvb i="10353"/>
        </ext>
      </extLst>
    </bk>
    <bk>
      <extLst>
        <ext uri="{3e2802c4-a4d2-4d8b-9148-e3be6c30e623}">
          <xlrd:rvb i="10354"/>
        </ext>
      </extLst>
    </bk>
    <bk>
      <extLst>
        <ext uri="{3e2802c4-a4d2-4d8b-9148-e3be6c30e623}">
          <xlrd:rvb i="10355"/>
        </ext>
      </extLst>
    </bk>
    <bk>
      <extLst>
        <ext uri="{3e2802c4-a4d2-4d8b-9148-e3be6c30e623}">
          <xlrd:rvb i="10356"/>
        </ext>
      </extLst>
    </bk>
    <bk>
      <extLst>
        <ext uri="{3e2802c4-a4d2-4d8b-9148-e3be6c30e623}">
          <xlrd:rvb i="10357"/>
        </ext>
      </extLst>
    </bk>
    <bk>
      <extLst>
        <ext uri="{3e2802c4-a4d2-4d8b-9148-e3be6c30e623}">
          <xlrd:rvb i="10358"/>
        </ext>
      </extLst>
    </bk>
    <bk>
      <extLst>
        <ext uri="{3e2802c4-a4d2-4d8b-9148-e3be6c30e623}">
          <xlrd:rvb i="10359"/>
        </ext>
      </extLst>
    </bk>
    <bk>
      <extLst>
        <ext uri="{3e2802c4-a4d2-4d8b-9148-e3be6c30e623}">
          <xlrd:rvb i="10360"/>
        </ext>
      </extLst>
    </bk>
    <bk>
      <extLst>
        <ext uri="{3e2802c4-a4d2-4d8b-9148-e3be6c30e623}">
          <xlrd:rvb i="10361"/>
        </ext>
      </extLst>
    </bk>
    <bk>
      <extLst>
        <ext uri="{3e2802c4-a4d2-4d8b-9148-e3be6c30e623}">
          <xlrd:rvb i="10362"/>
        </ext>
      </extLst>
    </bk>
    <bk>
      <extLst>
        <ext uri="{3e2802c4-a4d2-4d8b-9148-e3be6c30e623}">
          <xlrd:rvb i="10363"/>
        </ext>
      </extLst>
    </bk>
    <bk>
      <extLst>
        <ext uri="{3e2802c4-a4d2-4d8b-9148-e3be6c30e623}">
          <xlrd:rvb i="10364"/>
        </ext>
      </extLst>
    </bk>
    <bk>
      <extLst>
        <ext uri="{3e2802c4-a4d2-4d8b-9148-e3be6c30e623}">
          <xlrd:rvb i="10365"/>
        </ext>
      </extLst>
    </bk>
    <bk>
      <extLst>
        <ext uri="{3e2802c4-a4d2-4d8b-9148-e3be6c30e623}">
          <xlrd:rvb i="10366"/>
        </ext>
      </extLst>
    </bk>
    <bk>
      <extLst>
        <ext uri="{3e2802c4-a4d2-4d8b-9148-e3be6c30e623}">
          <xlrd:rvb i="10367"/>
        </ext>
      </extLst>
    </bk>
    <bk>
      <extLst>
        <ext uri="{3e2802c4-a4d2-4d8b-9148-e3be6c30e623}">
          <xlrd:rvb i="10368"/>
        </ext>
      </extLst>
    </bk>
    <bk>
      <extLst>
        <ext uri="{3e2802c4-a4d2-4d8b-9148-e3be6c30e623}">
          <xlrd:rvb i="10369"/>
        </ext>
      </extLst>
    </bk>
    <bk>
      <extLst>
        <ext uri="{3e2802c4-a4d2-4d8b-9148-e3be6c30e623}">
          <xlrd:rvb i="10370"/>
        </ext>
      </extLst>
    </bk>
    <bk>
      <extLst>
        <ext uri="{3e2802c4-a4d2-4d8b-9148-e3be6c30e623}">
          <xlrd:rvb i="10371"/>
        </ext>
      </extLst>
    </bk>
    <bk>
      <extLst>
        <ext uri="{3e2802c4-a4d2-4d8b-9148-e3be6c30e623}">
          <xlrd:rvb i="10372"/>
        </ext>
      </extLst>
    </bk>
    <bk>
      <extLst>
        <ext uri="{3e2802c4-a4d2-4d8b-9148-e3be6c30e623}">
          <xlrd:rvb i="10373"/>
        </ext>
      </extLst>
    </bk>
    <bk>
      <extLst>
        <ext uri="{3e2802c4-a4d2-4d8b-9148-e3be6c30e623}">
          <xlrd:rvb i="10374"/>
        </ext>
      </extLst>
    </bk>
    <bk>
      <extLst>
        <ext uri="{3e2802c4-a4d2-4d8b-9148-e3be6c30e623}">
          <xlrd:rvb i="10375"/>
        </ext>
      </extLst>
    </bk>
    <bk>
      <extLst>
        <ext uri="{3e2802c4-a4d2-4d8b-9148-e3be6c30e623}">
          <xlrd:rvb i="10376"/>
        </ext>
      </extLst>
    </bk>
    <bk>
      <extLst>
        <ext uri="{3e2802c4-a4d2-4d8b-9148-e3be6c30e623}">
          <xlrd:rvb i="10377"/>
        </ext>
      </extLst>
    </bk>
    <bk>
      <extLst>
        <ext uri="{3e2802c4-a4d2-4d8b-9148-e3be6c30e623}">
          <xlrd:rvb i="10378"/>
        </ext>
      </extLst>
    </bk>
    <bk>
      <extLst>
        <ext uri="{3e2802c4-a4d2-4d8b-9148-e3be6c30e623}">
          <xlrd:rvb i="10379"/>
        </ext>
      </extLst>
    </bk>
    <bk>
      <extLst>
        <ext uri="{3e2802c4-a4d2-4d8b-9148-e3be6c30e623}">
          <xlrd:rvb i="10380"/>
        </ext>
      </extLst>
    </bk>
    <bk>
      <extLst>
        <ext uri="{3e2802c4-a4d2-4d8b-9148-e3be6c30e623}">
          <xlrd:rvb i="10381"/>
        </ext>
      </extLst>
    </bk>
    <bk>
      <extLst>
        <ext uri="{3e2802c4-a4d2-4d8b-9148-e3be6c30e623}">
          <xlrd:rvb i="10382"/>
        </ext>
      </extLst>
    </bk>
    <bk>
      <extLst>
        <ext uri="{3e2802c4-a4d2-4d8b-9148-e3be6c30e623}">
          <xlrd:rvb i="10383"/>
        </ext>
      </extLst>
    </bk>
    <bk>
      <extLst>
        <ext uri="{3e2802c4-a4d2-4d8b-9148-e3be6c30e623}">
          <xlrd:rvb i="10384"/>
        </ext>
      </extLst>
    </bk>
    <bk>
      <extLst>
        <ext uri="{3e2802c4-a4d2-4d8b-9148-e3be6c30e623}">
          <xlrd:rvb i="10385"/>
        </ext>
      </extLst>
    </bk>
    <bk>
      <extLst>
        <ext uri="{3e2802c4-a4d2-4d8b-9148-e3be6c30e623}">
          <xlrd:rvb i="10386"/>
        </ext>
      </extLst>
    </bk>
    <bk>
      <extLst>
        <ext uri="{3e2802c4-a4d2-4d8b-9148-e3be6c30e623}">
          <xlrd:rvb i="10387"/>
        </ext>
      </extLst>
    </bk>
    <bk>
      <extLst>
        <ext uri="{3e2802c4-a4d2-4d8b-9148-e3be6c30e623}">
          <xlrd:rvb i="10388"/>
        </ext>
      </extLst>
    </bk>
    <bk>
      <extLst>
        <ext uri="{3e2802c4-a4d2-4d8b-9148-e3be6c30e623}">
          <xlrd:rvb i="10389"/>
        </ext>
      </extLst>
    </bk>
    <bk>
      <extLst>
        <ext uri="{3e2802c4-a4d2-4d8b-9148-e3be6c30e623}">
          <xlrd:rvb i="10390"/>
        </ext>
      </extLst>
    </bk>
    <bk>
      <extLst>
        <ext uri="{3e2802c4-a4d2-4d8b-9148-e3be6c30e623}">
          <xlrd:rvb i="10391"/>
        </ext>
      </extLst>
    </bk>
    <bk>
      <extLst>
        <ext uri="{3e2802c4-a4d2-4d8b-9148-e3be6c30e623}">
          <xlrd:rvb i="10392"/>
        </ext>
      </extLst>
    </bk>
    <bk>
      <extLst>
        <ext uri="{3e2802c4-a4d2-4d8b-9148-e3be6c30e623}">
          <xlrd:rvb i="10393"/>
        </ext>
      </extLst>
    </bk>
    <bk>
      <extLst>
        <ext uri="{3e2802c4-a4d2-4d8b-9148-e3be6c30e623}">
          <xlrd:rvb i="10394"/>
        </ext>
      </extLst>
    </bk>
    <bk>
      <extLst>
        <ext uri="{3e2802c4-a4d2-4d8b-9148-e3be6c30e623}">
          <xlrd:rvb i="10395"/>
        </ext>
      </extLst>
    </bk>
    <bk>
      <extLst>
        <ext uri="{3e2802c4-a4d2-4d8b-9148-e3be6c30e623}">
          <xlrd:rvb i="10396"/>
        </ext>
      </extLst>
    </bk>
    <bk>
      <extLst>
        <ext uri="{3e2802c4-a4d2-4d8b-9148-e3be6c30e623}">
          <xlrd:rvb i="10397"/>
        </ext>
      </extLst>
    </bk>
    <bk>
      <extLst>
        <ext uri="{3e2802c4-a4d2-4d8b-9148-e3be6c30e623}">
          <xlrd:rvb i="10398"/>
        </ext>
      </extLst>
    </bk>
    <bk>
      <extLst>
        <ext uri="{3e2802c4-a4d2-4d8b-9148-e3be6c30e623}">
          <xlrd:rvb i="10399"/>
        </ext>
      </extLst>
    </bk>
    <bk>
      <extLst>
        <ext uri="{3e2802c4-a4d2-4d8b-9148-e3be6c30e623}">
          <xlrd:rvb i="10400"/>
        </ext>
      </extLst>
    </bk>
    <bk>
      <extLst>
        <ext uri="{3e2802c4-a4d2-4d8b-9148-e3be6c30e623}">
          <xlrd:rvb i="10401"/>
        </ext>
      </extLst>
    </bk>
    <bk>
      <extLst>
        <ext uri="{3e2802c4-a4d2-4d8b-9148-e3be6c30e623}">
          <xlrd:rvb i="10402"/>
        </ext>
      </extLst>
    </bk>
    <bk>
      <extLst>
        <ext uri="{3e2802c4-a4d2-4d8b-9148-e3be6c30e623}">
          <xlrd:rvb i="10403"/>
        </ext>
      </extLst>
    </bk>
    <bk>
      <extLst>
        <ext uri="{3e2802c4-a4d2-4d8b-9148-e3be6c30e623}">
          <xlrd:rvb i="10404"/>
        </ext>
      </extLst>
    </bk>
    <bk>
      <extLst>
        <ext uri="{3e2802c4-a4d2-4d8b-9148-e3be6c30e623}">
          <xlrd:rvb i="10405"/>
        </ext>
      </extLst>
    </bk>
    <bk>
      <extLst>
        <ext uri="{3e2802c4-a4d2-4d8b-9148-e3be6c30e623}">
          <xlrd:rvb i="10406"/>
        </ext>
      </extLst>
    </bk>
    <bk>
      <extLst>
        <ext uri="{3e2802c4-a4d2-4d8b-9148-e3be6c30e623}">
          <xlrd:rvb i="10407"/>
        </ext>
      </extLst>
    </bk>
    <bk>
      <extLst>
        <ext uri="{3e2802c4-a4d2-4d8b-9148-e3be6c30e623}">
          <xlrd:rvb i="10408"/>
        </ext>
      </extLst>
    </bk>
    <bk>
      <extLst>
        <ext uri="{3e2802c4-a4d2-4d8b-9148-e3be6c30e623}">
          <xlrd:rvb i="10409"/>
        </ext>
      </extLst>
    </bk>
    <bk>
      <extLst>
        <ext uri="{3e2802c4-a4d2-4d8b-9148-e3be6c30e623}">
          <xlrd:rvb i="10410"/>
        </ext>
      </extLst>
    </bk>
    <bk>
      <extLst>
        <ext uri="{3e2802c4-a4d2-4d8b-9148-e3be6c30e623}">
          <xlrd:rvb i="10411"/>
        </ext>
      </extLst>
    </bk>
    <bk>
      <extLst>
        <ext uri="{3e2802c4-a4d2-4d8b-9148-e3be6c30e623}">
          <xlrd:rvb i="10412"/>
        </ext>
      </extLst>
    </bk>
    <bk>
      <extLst>
        <ext uri="{3e2802c4-a4d2-4d8b-9148-e3be6c30e623}">
          <xlrd:rvb i="10413"/>
        </ext>
      </extLst>
    </bk>
    <bk>
      <extLst>
        <ext uri="{3e2802c4-a4d2-4d8b-9148-e3be6c30e623}">
          <xlrd:rvb i="10414"/>
        </ext>
      </extLst>
    </bk>
    <bk>
      <extLst>
        <ext uri="{3e2802c4-a4d2-4d8b-9148-e3be6c30e623}">
          <xlrd:rvb i="10415"/>
        </ext>
      </extLst>
    </bk>
    <bk>
      <extLst>
        <ext uri="{3e2802c4-a4d2-4d8b-9148-e3be6c30e623}">
          <xlrd:rvb i="10416"/>
        </ext>
      </extLst>
    </bk>
    <bk>
      <extLst>
        <ext uri="{3e2802c4-a4d2-4d8b-9148-e3be6c30e623}">
          <xlrd:rvb i="10417"/>
        </ext>
      </extLst>
    </bk>
    <bk>
      <extLst>
        <ext uri="{3e2802c4-a4d2-4d8b-9148-e3be6c30e623}">
          <xlrd:rvb i="10418"/>
        </ext>
      </extLst>
    </bk>
    <bk>
      <extLst>
        <ext uri="{3e2802c4-a4d2-4d8b-9148-e3be6c30e623}">
          <xlrd:rvb i="10419"/>
        </ext>
      </extLst>
    </bk>
    <bk>
      <extLst>
        <ext uri="{3e2802c4-a4d2-4d8b-9148-e3be6c30e623}">
          <xlrd:rvb i="10420"/>
        </ext>
      </extLst>
    </bk>
    <bk>
      <extLst>
        <ext uri="{3e2802c4-a4d2-4d8b-9148-e3be6c30e623}">
          <xlrd:rvb i="10421"/>
        </ext>
      </extLst>
    </bk>
    <bk>
      <extLst>
        <ext uri="{3e2802c4-a4d2-4d8b-9148-e3be6c30e623}">
          <xlrd:rvb i="10422"/>
        </ext>
      </extLst>
    </bk>
    <bk>
      <extLst>
        <ext uri="{3e2802c4-a4d2-4d8b-9148-e3be6c30e623}">
          <xlrd:rvb i="10423"/>
        </ext>
      </extLst>
    </bk>
    <bk>
      <extLst>
        <ext uri="{3e2802c4-a4d2-4d8b-9148-e3be6c30e623}">
          <xlrd:rvb i="10424"/>
        </ext>
      </extLst>
    </bk>
    <bk>
      <extLst>
        <ext uri="{3e2802c4-a4d2-4d8b-9148-e3be6c30e623}">
          <xlrd:rvb i="10425"/>
        </ext>
      </extLst>
    </bk>
    <bk>
      <extLst>
        <ext uri="{3e2802c4-a4d2-4d8b-9148-e3be6c30e623}">
          <xlrd:rvb i="10426"/>
        </ext>
      </extLst>
    </bk>
    <bk>
      <extLst>
        <ext uri="{3e2802c4-a4d2-4d8b-9148-e3be6c30e623}">
          <xlrd:rvb i="10427"/>
        </ext>
      </extLst>
    </bk>
    <bk>
      <extLst>
        <ext uri="{3e2802c4-a4d2-4d8b-9148-e3be6c30e623}">
          <xlrd:rvb i="10428"/>
        </ext>
      </extLst>
    </bk>
    <bk>
      <extLst>
        <ext uri="{3e2802c4-a4d2-4d8b-9148-e3be6c30e623}">
          <xlrd:rvb i="10429"/>
        </ext>
      </extLst>
    </bk>
    <bk>
      <extLst>
        <ext uri="{3e2802c4-a4d2-4d8b-9148-e3be6c30e623}">
          <xlrd:rvb i="10430"/>
        </ext>
      </extLst>
    </bk>
    <bk>
      <extLst>
        <ext uri="{3e2802c4-a4d2-4d8b-9148-e3be6c30e623}">
          <xlrd:rvb i="10431"/>
        </ext>
      </extLst>
    </bk>
    <bk>
      <extLst>
        <ext uri="{3e2802c4-a4d2-4d8b-9148-e3be6c30e623}">
          <xlrd:rvb i="10432"/>
        </ext>
      </extLst>
    </bk>
    <bk>
      <extLst>
        <ext uri="{3e2802c4-a4d2-4d8b-9148-e3be6c30e623}">
          <xlrd:rvb i="10433"/>
        </ext>
      </extLst>
    </bk>
    <bk>
      <extLst>
        <ext uri="{3e2802c4-a4d2-4d8b-9148-e3be6c30e623}">
          <xlrd:rvb i="10434"/>
        </ext>
      </extLst>
    </bk>
    <bk>
      <extLst>
        <ext uri="{3e2802c4-a4d2-4d8b-9148-e3be6c30e623}">
          <xlrd:rvb i="10435"/>
        </ext>
      </extLst>
    </bk>
    <bk>
      <extLst>
        <ext uri="{3e2802c4-a4d2-4d8b-9148-e3be6c30e623}">
          <xlrd:rvb i="10436"/>
        </ext>
      </extLst>
    </bk>
    <bk>
      <extLst>
        <ext uri="{3e2802c4-a4d2-4d8b-9148-e3be6c30e623}">
          <xlrd:rvb i="10437"/>
        </ext>
      </extLst>
    </bk>
    <bk>
      <extLst>
        <ext uri="{3e2802c4-a4d2-4d8b-9148-e3be6c30e623}">
          <xlrd:rvb i="10438"/>
        </ext>
      </extLst>
    </bk>
    <bk>
      <extLst>
        <ext uri="{3e2802c4-a4d2-4d8b-9148-e3be6c30e623}">
          <xlrd:rvb i="10439"/>
        </ext>
      </extLst>
    </bk>
    <bk>
      <extLst>
        <ext uri="{3e2802c4-a4d2-4d8b-9148-e3be6c30e623}">
          <xlrd:rvb i="10440"/>
        </ext>
      </extLst>
    </bk>
    <bk>
      <extLst>
        <ext uri="{3e2802c4-a4d2-4d8b-9148-e3be6c30e623}">
          <xlrd:rvb i="10441"/>
        </ext>
      </extLst>
    </bk>
    <bk>
      <extLst>
        <ext uri="{3e2802c4-a4d2-4d8b-9148-e3be6c30e623}">
          <xlrd:rvb i="10442"/>
        </ext>
      </extLst>
    </bk>
    <bk>
      <extLst>
        <ext uri="{3e2802c4-a4d2-4d8b-9148-e3be6c30e623}">
          <xlrd:rvb i="10443"/>
        </ext>
      </extLst>
    </bk>
    <bk>
      <extLst>
        <ext uri="{3e2802c4-a4d2-4d8b-9148-e3be6c30e623}">
          <xlrd:rvb i="10444"/>
        </ext>
      </extLst>
    </bk>
    <bk>
      <extLst>
        <ext uri="{3e2802c4-a4d2-4d8b-9148-e3be6c30e623}">
          <xlrd:rvb i="10445"/>
        </ext>
      </extLst>
    </bk>
    <bk>
      <extLst>
        <ext uri="{3e2802c4-a4d2-4d8b-9148-e3be6c30e623}">
          <xlrd:rvb i="10446"/>
        </ext>
      </extLst>
    </bk>
    <bk>
      <extLst>
        <ext uri="{3e2802c4-a4d2-4d8b-9148-e3be6c30e623}">
          <xlrd:rvb i="10447"/>
        </ext>
      </extLst>
    </bk>
    <bk>
      <extLst>
        <ext uri="{3e2802c4-a4d2-4d8b-9148-e3be6c30e623}">
          <xlrd:rvb i="10448"/>
        </ext>
      </extLst>
    </bk>
    <bk>
      <extLst>
        <ext uri="{3e2802c4-a4d2-4d8b-9148-e3be6c30e623}">
          <xlrd:rvb i="10449"/>
        </ext>
      </extLst>
    </bk>
    <bk>
      <extLst>
        <ext uri="{3e2802c4-a4d2-4d8b-9148-e3be6c30e623}">
          <xlrd:rvb i="10450"/>
        </ext>
      </extLst>
    </bk>
    <bk>
      <extLst>
        <ext uri="{3e2802c4-a4d2-4d8b-9148-e3be6c30e623}">
          <xlrd:rvb i="10451"/>
        </ext>
      </extLst>
    </bk>
    <bk>
      <extLst>
        <ext uri="{3e2802c4-a4d2-4d8b-9148-e3be6c30e623}">
          <xlrd:rvb i="10452"/>
        </ext>
      </extLst>
    </bk>
    <bk>
      <extLst>
        <ext uri="{3e2802c4-a4d2-4d8b-9148-e3be6c30e623}">
          <xlrd:rvb i="10453"/>
        </ext>
      </extLst>
    </bk>
    <bk>
      <extLst>
        <ext uri="{3e2802c4-a4d2-4d8b-9148-e3be6c30e623}">
          <xlrd:rvb i="10454"/>
        </ext>
      </extLst>
    </bk>
    <bk>
      <extLst>
        <ext uri="{3e2802c4-a4d2-4d8b-9148-e3be6c30e623}">
          <xlrd:rvb i="10455"/>
        </ext>
      </extLst>
    </bk>
    <bk>
      <extLst>
        <ext uri="{3e2802c4-a4d2-4d8b-9148-e3be6c30e623}">
          <xlrd:rvb i="10456"/>
        </ext>
      </extLst>
    </bk>
    <bk>
      <extLst>
        <ext uri="{3e2802c4-a4d2-4d8b-9148-e3be6c30e623}">
          <xlrd:rvb i="10457"/>
        </ext>
      </extLst>
    </bk>
    <bk>
      <extLst>
        <ext uri="{3e2802c4-a4d2-4d8b-9148-e3be6c30e623}">
          <xlrd:rvb i="10458"/>
        </ext>
      </extLst>
    </bk>
    <bk>
      <extLst>
        <ext uri="{3e2802c4-a4d2-4d8b-9148-e3be6c30e623}">
          <xlrd:rvb i="10459"/>
        </ext>
      </extLst>
    </bk>
    <bk>
      <extLst>
        <ext uri="{3e2802c4-a4d2-4d8b-9148-e3be6c30e623}">
          <xlrd:rvb i="10460"/>
        </ext>
      </extLst>
    </bk>
    <bk>
      <extLst>
        <ext uri="{3e2802c4-a4d2-4d8b-9148-e3be6c30e623}">
          <xlrd:rvb i="10461"/>
        </ext>
      </extLst>
    </bk>
    <bk>
      <extLst>
        <ext uri="{3e2802c4-a4d2-4d8b-9148-e3be6c30e623}">
          <xlrd:rvb i="10462"/>
        </ext>
      </extLst>
    </bk>
    <bk>
      <extLst>
        <ext uri="{3e2802c4-a4d2-4d8b-9148-e3be6c30e623}">
          <xlrd:rvb i="10463"/>
        </ext>
      </extLst>
    </bk>
    <bk>
      <extLst>
        <ext uri="{3e2802c4-a4d2-4d8b-9148-e3be6c30e623}">
          <xlrd:rvb i="10464"/>
        </ext>
      </extLst>
    </bk>
    <bk>
      <extLst>
        <ext uri="{3e2802c4-a4d2-4d8b-9148-e3be6c30e623}">
          <xlrd:rvb i="10465"/>
        </ext>
      </extLst>
    </bk>
    <bk>
      <extLst>
        <ext uri="{3e2802c4-a4d2-4d8b-9148-e3be6c30e623}">
          <xlrd:rvb i="10466"/>
        </ext>
      </extLst>
    </bk>
    <bk>
      <extLst>
        <ext uri="{3e2802c4-a4d2-4d8b-9148-e3be6c30e623}">
          <xlrd:rvb i="10467"/>
        </ext>
      </extLst>
    </bk>
    <bk>
      <extLst>
        <ext uri="{3e2802c4-a4d2-4d8b-9148-e3be6c30e623}">
          <xlrd:rvb i="10468"/>
        </ext>
      </extLst>
    </bk>
    <bk>
      <extLst>
        <ext uri="{3e2802c4-a4d2-4d8b-9148-e3be6c30e623}">
          <xlrd:rvb i="10469"/>
        </ext>
      </extLst>
    </bk>
    <bk>
      <extLst>
        <ext uri="{3e2802c4-a4d2-4d8b-9148-e3be6c30e623}">
          <xlrd:rvb i="10470"/>
        </ext>
      </extLst>
    </bk>
    <bk>
      <extLst>
        <ext uri="{3e2802c4-a4d2-4d8b-9148-e3be6c30e623}">
          <xlrd:rvb i="10471"/>
        </ext>
      </extLst>
    </bk>
    <bk>
      <extLst>
        <ext uri="{3e2802c4-a4d2-4d8b-9148-e3be6c30e623}">
          <xlrd:rvb i="10472"/>
        </ext>
      </extLst>
    </bk>
    <bk>
      <extLst>
        <ext uri="{3e2802c4-a4d2-4d8b-9148-e3be6c30e623}">
          <xlrd:rvb i="10473"/>
        </ext>
      </extLst>
    </bk>
    <bk>
      <extLst>
        <ext uri="{3e2802c4-a4d2-4d8b-9148-e3be6c30e623}">
          <xlrd:rvb i="10474"/>
        </ext>
      </extLst>
    </bk>
    <bk>
      <extLst>
        <ext uri="{3e2802c4-a4d2-4d8b-9148-e3be6c30e623}">
          <xlrd:rvb i="10475"/>
        </ext>
      </extLst>
    </bk>
    <bk>
      <extLst>
        <ext uri="{3e2802c4-a4d2-4d8b-9148-e3be6c30e623}">
          <xlrd:rvb i="10476"/>
        </ext>
      </extLst>
    </bk>
    <bk>
      <extLst>
        <ext uri="{3e2802c4-a4d2-4d8b-9148-e3be6c30e623}">
          <xlrd:rvb i="10477"/>
        </ext>
      </extLst>
    </bk>
    <bk>
      <extLst>
        <ext uri="{3e2802c4-a4d2-4d8b-9148-e3be6c30e623}">
          <xlrd:rvb i="10478"/>
        </ext>
      </extLst>
    </bk>
    <bk>
      <extLst>
        <ext uri="{3e2802c4-a4d2-4d8b-9148-e3be6c30e623}">
          <xlrd:rvb i="10479"/>
        </ext>
      </extLst>
    </bk>
    <bk>
      <extLst>
        <ext uri="{3e2802c4-a4d2-4d8b-9148-e3be6c30e623}">
          <xlrd:rvb i="10480"/>
        </ext>
      </extLst>
    </bk>
    <bk>
      <extLst>
        <ext uri="{3e2802c4-a4d2-4d8b-9148-e3be6c30e623}">
          <xlrd:rvb i="10481"/>
        </ext>
      </extLst>
    </bk>
    <bk>
      <extLst>
        <ext uri="{3e2802c4-a4d2-4d8b-9148-e3be6c30e623}">
          <xlrd:rvb i="10482"/>
        </ext>
      </extLst>
    </bk>
    <bk>
      <extLst>
        <ext uri="{3e2802c4-a4d2-4d8b-9148-e3be6c30e623}">
          <xlrd:rvb i="10483"/>
        </ext>
      </extLst>
    </bk>
    <bk>
      <extLst>
        <ext uri="{3e2802c4-a4d2-4d8b-9148-e3be6c30e623}">
          <xlrd:rvb i="10484"/>
        </ext>
      </extLst>
    </bk>
    <bk>
      <extLst>
        <ext uri="{3e2802c4-a4d2-4d8b-9148-e3be6c30e623}">
          <xlrd:rvb i="10485"/>
        </ext>
      </extLst>
    </bk>
    <bk>
      <extLst>
        <ext uri="{3e2802c4-a4d2-4d8b-9148-e3be6c30e623}">
          <xlrd:rvb i="10486"/>
        </ext>
      </extLst>
    </bk>
    <bk>
      <extLst>
        <ext uri="{3e2802c4-a4d2-4d8b-9148-e3be6c30e623}">
          <xlrd:rvb i="10487"/>
        </ext>
      </extLst>
    </bk>
    <bk>
      <extLst>
        <ext uri="{3e2802c4-a4d2-4d8b-9148-e3be6c30e623}">
          <xlrd:rvb i="10488"/>
        </ext>
      </extLst>
    </bk>
    <bk>
      <extLst>
        <ext uri="{3e2802c4-a4d2-4d8b-9148-e3be6c30e623}">
          <xlrd:rvb i="10489"/>
        </ext>
      </extLst>
    </bk>
    <bk>
      <extLst>
        <ext uri="{3e2802c4-a4d2-4d8b-9148-e3be6c30e623}">
          <xlrd:rvb i="10490"/>
        </ext>
      </extLst>
    </bk>
    <bk>
      <extLst>
        <ext uri="{3e2802c4-a4d2-4d8b-9148-e3be6c30e623}">
          <xlrd:rvb i="10491"/>
        </ext>
      </extLst>
    </bk>
    <bk>
      <extLst>
        <ext uri="{3e2802c4-a4d2-4d8b-9148-e3be6c30e623}">
          <xlrd:rvb i="10492"/>
        </ext>
      </extLst>
    </bk>
    <bk>
      <extLst>
        <ext uri="{3e2802c4-a4d2-4d8b-9148-e3be6c30e623}">
          <xlrd:rvb i="10493"/>
        </ext>
      </extLst>
    </bk>
    <bk>
      <extLst>
        <ext uri="{3e2802c4-a4d2-4d8b-9148-e3be6c30e623}">
          <xlrd:rvb i="10494"/>
        </ext>
      </extLst>
    </bk>
    <bk>
      <extLst>
        <ext uri="{3e2802c4-a4d2-4d8b-9148-e3be6c30e623}">
          <xlrd:rvb i="10495"/>
        </ext>
      </extLst>
    </bk>
    <bk>
      <extLst>
        <ext uri="{3e2802c4-a4d2-4d8b-9148-e3be6c30e623}">
          <xlrd:rvb i="10496"/>
        </ext>
      </extLst>
    </bk>
    <bk>
      <extLst>
        <ext uri="{3e2802c4-a4d2-4d8b-9148-e3be6c30e623}">
          <xlrd:rvb i="10497"/>
        </ext>
      </extLst>
    </bk>
    <bk>
      <extLst>
        <ext uri="{3e2802c4-a4d2-4d8b-9148-e3be6c30e623}">
          <xlrd:rvb i="10498"/>
        </ext>
      </extLst>
    </bk>
    <bk>
      <extLst>
        <ext uri="{3e2802c4-a4d2-4d8b-9148-e3be6c30e623}">
          <xlrd:rvb i="10499"/>
        </ext>
      </extLst>
    </bk>
    <bk>
      <extLst>
        <ext uri="{3e2802c4-a4d2-4d8b-9148-e3be6c30e623}">
          <xlrd:rvb i="10500"/>
        </ext>
      </extLst>
    </bk>
    <bk>
      <extLst>
        <ext uri="{3e2802c4-a4d2-4d8b-9148-e3be6c30e623}">
          <xlrd:rvb i="10501"/>
        </ext>
      </extLst>
    </bk>
    <bk>
      <extLst>
        <ext uri="{3e2802c4-a4d2-4d8b-9148-e3be6c30e623}">
          <xlrd:rvb i="10502"/>
        </ext>
      </extLst>
    </bk>
    <bk>
      <extLst>
        <ext uri="{3e2802c4-a4d2-4d8b-9148-e3be6c30e623}">
          <xlrd:rvb i="10503"/>
        </ext>
      </extLst>
    </bk>
    <bk>
      <extLst>
        <ext uri="{3e2802c4-a4d2-4d8b-9148-e3be6c30e623}">
          <xlrd:rvb i="10504"/>
        </ext>
      </extLst>
    </bk>
    <bk>
      <extLst>
        <ext uri="{3e2802c4-a4d2-4d8b-9148-e3be6c30e623}">
          <xlrd:rvb i="10505"/>
        </ext>
      </extLst>
    </bk>
    <bk>
      <extLst>
        <ext uri="{3e2802c4-a4d2-4d8b-9148-e3be6c30e623}">
          <xlrd:rvb i="10506"/>
        </ext>
      </extLst>
    </bk>
    <bk>
      <extLst>
        <ext uri="{3e2802c4-a4d2-4d8b-9148-e3be6c30e623}">
          <xlrd:rvb i="10507"/>
        </ext>
      </extLst>
    </bk>
    <bk>
      <extLst>
        <ext uri="{3e2802c4-a4d2-4d8b-9148-e3be6c30e623}">
          <xlrd:rvb i="10508"/>
        </ext>
      </extLst>
    </bk>
    <bk>
      <extLst>
        <ext uri="{3e2802c4-a4d2-4d8b-9148-e3be6c30e623}">
          <xlrd:rvb i="10509"/>
        </ext>
      </extLst>
    </bk>
    <bk>
      <extLst>
        <ext uri="{3e2802c4-a4d2-4d8b-9148-e3be6c30e623}">
          <xlrd:rvb i="10510"/>
        </ext>
      </extLst>
    </bk>
    <bk>
      <extLst>
        <ext uri="{3e2802c4-a4d2-4d8b-9148-e3be6c30e623}">
          <xlrd:rvb i="10511"/>
        </ext>
      </extLst>
    </bk>
    <bk>
      <extLst>
        <ext uri="{3e2802c4-a4d2-4d8b-9148-e3be6c30e623}">
          <xlrd:rvb i="10512"/>
        </ext>
      </extLst>
    </bk>
    <bk>
      <extLst>
        <ext uri="{3e2802c4-a4d2-4d8b-9148-e3be6c30e623}">
          <xlrd:rvb i="10513"/>
        </ext>
      </extLst>
    </bk>
    <bk>
      <extLst>
        <ext uri="{3e2802c4-a4d2-4d8b-9148-e3be6c30e623}">
          <xlrd:rvb i="10514"/>
        </ext>
      </extLst>
    </bk>
    <bk>
      <extLst>
        <ext uri="{3e2802c4-a4d2-4d8b-9148-e3be6c30e623}">
          <xlrd:rvb i="10515"/>
        </ext>
      </extLst>
    </bk>
    <bk>
      <extLst>
        <ext uri="{3e2802c4-a4d2-4d8b-9148-e3be6c30e623}">
          <xlrd:rvb i="10516"/>
        </ext>
      </extLst>
    </bk>
    <bk>
      <extLst>
        <ext uri="{3e2802c4-a4d2-4d8b-9148-e3be6c30e623}">
          <xlrd:rvb i="10517"/>
        </ext>
      </extLst>
    </bk>
    <bk>
      <extLst>
        <ext uri="{3e2802c4-a4d2-4d8b-9148-e3be6c30e623}">
          <xlrd:rvb i="10518"/>
        </ext>
      </extLst>
    </bk>
    <bk>
      <extLst>
        <ext uri="{3e2802c4-a4d2-4d8b-9148-e3be6c30e623}">
          <xlrd:rvb i="10519"/>
        </ext>
      </extLst>
    </bk>
    <bk>
      <extLst>
        <ext uri="{3e2802c4-a4d2-4d8b-9148-e3be6c30e623}">
          <xlrd:rvb i="10520"/>
        </ext>
      </extLst>
    </bk>
    <bk>
      <extLst>
        <ext uri="{3e2802c4-a4d2-4d8b-9148-e3be6c30e623}">
          <xlrd:rvb i="10521"/>
        </ext>
      </extLst>
    </bk>
    <bk>
      <extLst>
        <ext uri="{3e2802c4-a4d2-4d8b-9148-e3be6c30e623}">
          <xlrd:rvb i="10522"/>
        </ext>
      </extLst>
    </bk>
    <bk>
      <extLst>
        <ext uri="{3e2802c4-a4d2-4d8b-9148-e3be6c30e623}">
          <xlrd:rvb i="10523"/>
        </ext>
      </extLst>
    </bk>
    <bk>
      <extLst>
        <ext uri="{3e2802c4-a4d2-4d8b-9148-e3be6c30e623}">
          <xlrd:rvb i="10524"/>
        </ext>
      </extLst>
    </bk>
    <bk>
      <extLst>
        <ext uri="{3e2802c4-a4d2-4d8b-9148-e3be6c30e623}">
          <xlrd:rvb i="10525"/>
        </ext>
      </extLst>
    </bk>
    <bk>
      <extLst>
        <ext uri="{3e2802c4-a4d2-4d8b-9148-e3be6c30e623}">
          <xlrd:rvb i="10526"/>
        </ext>
      </extLst>
    </bk>
    <bk>
      <extLst>
        <ext uri="{3e2802c4-a4d2-4d8b-9148-e3be6c30e623}">
          <xlrd:rvb i="10527"/>
        </ext>
      </extLst>
    </bk>
    <bk>
      <extLst>
        <ext uri="{3e2802c4-a4d2-4d8b-9148-e3be6c30e623}">
          <xlrd:rvb i="10528"/>
        </ext>
      </extLst>
    </bk>
    <bk>
      <extLst>
        <ext uri="{3e2802c4-a4d2-4d8b-9148-e3be6c30e623}">
          <xlrd:rvb i="10529"/>
        </ext>
      </extLst>
    </bk>
    <bk>
      <extLst>
        <ext uri="{3e2802c4-a4d2-4d8b-9148-e3be6c30e623}">
          <xlrd:rvb i="10530"/>
        </ext>
      </extLst>
    </bk>
    <bk>
      <extLst>
        <ext uri="{3e2802c4-a4d2-4d8b-9148-e3be6c30e623}">
          <xlrd:rvb i="10531"/>
        </ext>
      </extLst>
    </bk>
    <bk>
      <extLst>
        <ext uri="{3e2802c4-a4d2-4d8b-9148-e3be6c30e623}">
          <xlrd:rvb i="10532"/>
        </ext>
      </extLst>
    </bk>
    <bk>
      <extLst>
        <ext uri="{3e2802c4-a4d2-4d8b-9148-e3be6c30e623}">
          <xlrd:rvb i="10533"/>
        </ext>
      </extLst>
    </bk>
    <bk>
      <extLst>
        <ext uri="{3e2802c4-a4d2-4d8b-9148-e3be6c30e623}">
          <xlrd:rvb i="10534"/>
        </ext>
      </extLst>
    </bk>
    <bk>
      <extLst>
        <ext uri="{3e2802c4-a4d2-4d8b-9148-e3be6c30e623}">
          <xlrd:rvb i="10535"/>
        </ext>
      </extLst>
    </bk>
    <bk>
      <extLst>
        <ext uri="{3e2802c4-a4d2-4d8b-9148-e3be6c30e623}">
          <xlrd:rvb i="10536"/>
        </ext>
      </extLst>
    </bk>
    <bk>
      <extLst>
        <ext uri="{3e2802c4-a4d2-4d8b-9148-e3be6c30e623}">
          <xlrd:rvb i="10537"/>
        </ext>
      </extLst>
    </bk>
    <bk>
      <extLst>
        <ext uri="{3e2802c4-a4d2-4d8b-9148-e3be6c30e623}">
          <xlrd:rvb i="10538"/>
        </ext>
      </extLst>
    </bk>
    <bk>
      <extLst>
        <ext uri="{3e2802c4-a4d2-4d8b-9148-e3be6c30e623}">
          <xlrd:rvb i="10539"/>
        </ext>
      </extLst>
    </bk>
    <bk>
      <extLst>
        <ext uri="{3e2802c4-a4d2-4d8b-9148-e3be6c30e623}">
          <xlrd:rvb i="10540"/>
        </ext>
      </extLst>
    </bk>
    <bk>
      <extLst>
        <ext uri="{3e2802c4-a4d2-4d8b-9148-e3be6c30e623}">
          <xlrd:rvb i="10541"/>
        </ext>
      </extLst>
    </bk>
    <bk>
      <extLst>
        <ext uri="{3e2802c4-a4d2-4d8b-9148-e3be6c30e623}">
          <xlrd:rvb i="10542"/>
        </ext>
      </extLst>
    </bk>
    <bk>
      <extLst>
        <ext uri="{3e2802c4-a4d2-4d8b-9148-e3be6c30e623}">
          <xlrd:rvb i="10543"/>
        </ext>
      </extLst>
    </bk>
    <bk>
      <extLst>
        <ext uri="{3e2802c4-a4d2-4d8b-9148-e3be6c30e623}">
          <xlrd:rvb i="10544"/>
        </ext>
      </extLst>
    </bk>
    <bk>
      <extLst>
        <ext uri="{3e2802c4-a4d2-4d8b-9148-e3be6c30e623}">
          <xlrd:rvb i="10545"/>
        </ext>
      </extLst>
    </bk>
    <bk>
      <extLst>
        <ext uri="{3e2802c4-a4d2-4d8b-9148-e3be6c30e623}">
          <xlrd:rvb i="10546"/>
        </ext>
      </extLst>
    </bk>
    <bk>
      <extLst>
        <ext uri="{3e2802c4-a4d2-4d8b-9148-e3be6c30e623}">
          <xlrd:rvb i="10547"/>
        </ext>
      </extLst>
    </bk>
    <bk>
      <extLst>
        <ext uri="{3e2802c4-a4d2-4d8b-9148-e3be6c30e623}">
          <xlrd:rvb i="10548"/>
        </ext>
      </extLst>
    </bk>
    <bk>
      <extLst>
        <ext uri="{3e2802c4-a4d2-4d8b-9148-e3be6c30e623}">
          <xlrd:rvb i="10549"/>
        </ext>
      </extLst>
    </bk>
    <bk>
      <extLst>
        <ext uri="{3e2802c4-a4d2-4d8b-9148-e3be6c30e623}">
          <xlrd:rvb i="10550"/>
        </ext>
      </extLst>
    </bk>
    <bk>
      <extLst>
        <ext uri="{3e2802c4-a4d2-4d8b-9148-e3be6c30e623}">
          <xlrd:rvb i="10551"/>
        </ext>
      </extLst>
    </bk>
    <bk>
      <extLst>
        <ext uri="{3e2802c4-a4d2-4d8b-9148-e3be6c30e623}">
          <xlrd:rvb i="10552"/>
        </ext>
      </extLst>
    </bk>
    <bk>
      <extLst>
        <ext uri="{3e2802c4-a4d2-4d8b-9148-e3be6c30e623}">
          <xlrd:rvb i="10553"/>
        </ext>
      </extLst>
    </bk>
    <bk>
      <extLst>
        <ext uri="{3e2802c4-a4d2-4d8b-9148-e3be6c30e623}">
          <xlrd:rvb i="10554"/>
        </ext>
      </extLst>
    </bk>
    <bk>
      <extLst>
        <ext uri="{3e2802c4-a4d2-4d8b-9148-e3be6c30e623}">
          <xlrd:rvb i="10555"/>
        </ext>
      </extLst>
    </bk>
    <bk>
      <extLst>
        <ext uri="{3e2802c4-a4d2-4d8b-9148-e3be6c30e623}">
          <xlrd:rvb i="10556"/>
        </ext>
      </extLst>
    </bk>
    <bk>
      <extLst>
        <ext uri="{3e2802c4-a4d2-4d8b-9148-e3be6c30e623}">
          <xlrd:rvb i="10557"/>
        </ext>
      </extLst>
    </bk>
    <bk>
      <extLst>
        <ext uri="{3e2802c4-a4d2-4d8b-9148-e3be6c30e623}">
          <xlrd:rvb i="10558"/>
        </ext>
      </extLst>
    </bk>
    <bk>
      <extLst>
        <ext uri="{3e2802c4-a4d2-4d8b-9148-e3be6c30e623}">
          <xlrd:rvb i="10559"/>
        </ext>
      </extLst>
    </bk>
    <bk>
      <extLst>
        <ext uri="{3e2802c4-a4d2-4d8b-9148-e3be6c30e623}">
          <xlrd:rvb i="10560"/>
        </ext>
      </extLst>
    </bk>
    <bk>
      <extLst>
        <ext uri="{3e2802c4-a4d2-4d8b-9148-e3be6c30e623}">
          <xlrd:rvb i="10561"/>
        </ext>
      </extLst>
    </bk>
    <bk>
      <extLst>
        <ext uri="{3e2802c4-a4d2-4d8b-9148-e3be6c30e623}">
          <xlrd:rvb i="10562"/>
        </ext>
      </extLst>
    </bk>
    <bk>
      <extLst>
        <ext uri="{3e2802c4-a4d2-4d8b-9148-e3be6c30e623}">
          <xlrd:rvb i="10563"/>
        </ext>
      </extLst>
    </bk>
    <bk>
      <extLst>
        <ext uri="{3e2802c4-a4d2-4d8b-9148-e3be6c30e623}">
          <xlrd:rvb i="10564"/>
        </ext>
      </extLst>
    </bk>
    <bk>
      <extLst>
        <ext uri="{3e2802c4-a4d2-4d8b-9148-e3be6c30e623}">
          <xlrd:rvb i="10565"/>
        </ext>
      </extLst>
    </bk>
    <bk>
      <extLst>
        <ext uri="{3e2802c4-a4d2-4d8b-9148-e3be6c30e623}">
          <xlrd:rvb i="10566"/>
        </ext>
      </extLst>
    </bk>
    <bk>
      <extLst>
        <ext uri="{3e2802c4-a4d2-4d8b-9148-e3be6c30e623}">
          <xlrd:rvb i="10567"/>
        </ext>
      </extLst>
    </bk>
    <bk>
      <extLst>
        <ext uri="{3e2802c4-a4d2-4d8b-9148-e3be6c30e623}">
          <xlrd:rvb i="10568"/>
        </ext>
      </extLst>
    </bk>
    <bk>
      <extLst>
        <ext uri="{3e2802c4-a4d2-4d8b-9148-e3be6c30e623}">
          <xlrd:rvb i="10569"/>
        </ext>
      </extLst>
    </bk>
    <bk>
      <extLst>
        <ext uri="{3e2802c4-a4d2-4d8b-9148-e3be6c30e623}">
          <xlrd:rvb i="10570"/>
        </ext>
      </extLst>
    </bk>
    <bk>
      <extLst>
        <ext uri="{3e2802c4-a4d2-4d8b-9148-e3be6c30e623}">
          <xlrd:rvb i="10571"/>
        </ext>
      </extLst>
    </bk>
    <bk>
      <extLst>
        <ext uri="{3e2802c4-a4d2-4d8b-9148-e3be6c30e623}">
          <xlrd:rvb i="10572"/>
        </ext>
      </extLst>
    </bk>
    <bk>
      <extLst>
        <ext uri="{3e2802c4-a4d2-4d8b-9148-e3be6c30e623}">
          <xlrd:rvb i="10573"/>
        </ext>
      </extLst>
    </bk>
    <bk>
      <extLst>
        <ext uri="{3e2802c4-a4d2-4d8b-9148-e3be6c30e623}">
          <xlrd:rvb i="10574"/>
        </ext>
      </extLst>
    </bk>
    <bk>
      <extLst>
        <ext uri="{3e2802c4-a4d2-4d8b-9148-e3be6c30e623}">
          <xlrd:rvb i="10575"/>
        </ext>
      </extLst>
    </bk>
    <bk>
      <extLst>
        <ext uri="{3e2802c4-a4d2-4d8b-9148-e3be6c30e623}">
          <xlrd:rvb i="10576"/>
        </ext>
      </extLst>
    </bk>
    <bk>
      <extLst>
        <ext uri="{3e2802c4-a4d2-4d8b-9148-e3be6c30e623}">
          <xlrd:rvb i="10577"/>
        </ext>
      </extLst>
    </bk>
    <bk>
      <extLst>
        <ext uri="{3e2802c4-a4d2-4d8b-9148-e3be6c30e623}">
          <xlrd:rvb i="10578"/>
        </ext>
      </extLst>
    </bk>
    <bk>
      <extLst>
        <ext uri="{3e2802c4-a4d2-4d8b-9148-e3be6c30e623}">
          <xlrd:rvb i="10579"/>
        </ext>
      </extLst>
    </bk>
    <bk>
      <extLst>
        <ext uri="{3e2802c4-a4d2-4d8b-9148-e3be6c30e623}">
          <xlrd:rvb i="10580"/>
        </ext>
      </extLst>
    </bk>
    <bk>
      <extLst>
        <ext uri="{3e2802c4-a4d2-4d8b-9148-e3be6c30e623}">
          <xlrd:rvb i="10581"/>
        </ext>
      </extLst>
    </bk>
    <bk>
      <extLst>
        <ext uri="{3e2802c4-a4d2-4d8b-9148-e3be6c30e623}">
          <xlrd:rvb i="10582"/>
        </ext>
      </extLst>
    </bk>
    <bk>
      <extLst>
        <ext uri="{3e2802c4-a4d2-4d8b-9148-e3be6c30e623}">
          <xlrd:rvb i="10583"/>
        </ext>
      </extLst>
    </bk>
    <bk>
      <extLst>
        <ext uri="{3e2802c4-a4d2-4d8b-9148-e3be6c30e623}">
          <xlrd:rvb i="10584"/>
        </ext>
      </extLst>
    </bk>
    <bk>
      <extLst>
        <ext uri="{3e2802c4-a4d2-4d8b-9148-e3be6c30e623}">
          <xlrd:rvb i="10585"/>
        </ext>
      </extLst>
    </bk>
    <bk>
      <extLst>
        <ext uri="{3e2802c4-a4d2-4d8b-9148-e3be6c30e623}">
          <xlrd:rvb i="10586"/>
        </ext>
      </extLst>
    </bk>
    <bk>
      <extLst>
        <ext uri="{3e2802c4-a4d2-4d8b-9148-e3be6c30e623}">
          <xlrd:rvb i="10587"/>
        </ext>
      </extLst>
    </bk>
    <bk>
      <extLst>
        <ext uri="{3e2802c4-a4d2-4d8b-9148-e3be6c30e623}">
          <xlrd:rvb i="10588"/>
        </ext>
      </extLst>
    </bk>
    <bk>
      <extLst>
        <ext uri="{3e2802c4-a4d2-4d8b-9148-e3be6c30e623}">
          <xlrd:rvb i="10589"/>
        </ext>
      </extLst>
    </bk>
    <bk>
      <extLst>
        <ext uri="{3e2802c4-a4d2-4d8b-9148-e3be6c30e623}">
          <xlrd:rvb i="10590"/>
        </ext>
      </extLst>
    </bk>
    <bk>
      <extLst>
        <ext uri="{3e2802c4-a4d2-4d8b-9148-e3be6c30e623}">
          <xlrd:rvb i="10591"/>
        </ext>
      </extLst>
    </bk>
    <bk>
      <extLst>
        <ext uri="{3e2802c4-a4d2-4d8b-9148-e3be6c30e623}">
          <xlrd:rvb i="10592"/>
        </ext>
      </extLst>
    </bk>
    <bk>
      <extLst>
        <ext uri="{3e2802c4-a4d2-4d8b-9148-e3be6c30e623}">
          <xlrd:rvb i="10593"/>
        </ext>
      </extLst>
    </bk>
    <bk>
      <extLst>
        <ext uri="{3e2802c4-a4d2-4d8b-9148-e3be6c30e623}">
          <xlrd:rvb i="10594"/>
        </ext>
      </extLst>
    </bk>
    <bk>
      <extLst>
        <ext uri="{3e2802c4-a4d2-4d8b-9148-e3be6c30e623}">
          <xlrd:rvb i="10595"/>
        </ext>
      </extLst>
    </bk>
    <bk>
      <extLst>
        <ext uri="{3e2802c4-a4d2-4d8b-9148-e3be6c30e623}">
          <xlrd:rvb i="10596"/>
        </ext>
      </extLst>
    </bk>
    <bk>
      <extLst>
        <ext uri="{3e2802c4-a4d2-4d8b-9148-e3be6c30e623}">
          <xlrd:rvb i="10597"/>
        </ext>
      </extLst>
    </bk>
    <bk>
      <extLst>
        <ext uri="{3e2802c4-a4d2-4d8b-9148-e3be6c30e623}">
          <xlrd:rvb i="10598"/>
        </ext>
      </extLst>
    </bk>
    <bk>
      <extLst>
        <ext uri="{3e2802c4-a4d2-4d8b-9148-e3be6c30e623}">
          <xlrd:rvb i="10599"/>
        </ext>
      </extLst>
    </bk>
    <bk>
      <extLst>
        <ext uri="{3e2802c4-a4d2-4d8b-9148-e3be6c30e623}">
          <xlrd:rvb i="10600"/>
        </ext>
      </extLst>
    </bk>
    <bk>
      <extLst>
        <ext uri="{3e2802c4-a4d2-4d8b-9148-e3be6c30e623}">
          <xlrd:rvb i="10601"/>
        </ext>
      </extLst>
    </bk>
    <bk>
      <extLst>
        <ext uri="{3e2802c4-a4d2-4d8b-9148-e3be6c30e623}">
          <xlrd:rvb i="10602"/>
        </ext>
      </extLst>
    </bk>
    <bk>
      <extLst>
        <ext uri="{3e2802c4-a4d2-4d8b-9148-e3be6c30e623}">
          <xlrd:rvb i="10603"/>
        </ext>
      </extLst>
    </bk>
    <bk>
      <extLst>
        <ext uri="{3e2802c4-a4d2-4d8b-9148-e3be6c30e623}">
          <xlrd:rvb i="10604"/>
        </ext>
      </extLst>
    </bk>
    <bk>
      <extLst>
        <ext uri="{3e2802c4-a4d2-4d8b-9148-e3be6c30e623}">
          <xlrd:rvb i="10605"/>
        </ext>
      </extLst>
    </bk>
    <bk>
      <extLst>
        <ext uri="{3e2802c4-a4d2-4d8b-9148-e3be6c30e623}">
          <xlrd:rvb i="10606"/>
        </ext>
      </extLst>
    </bk>
    <bk>
      <extLst>
        <ext uri="{3e2802c4-a4d2-4d8b-9148-e3be6c30e623}">
          <xlrd:rvb i="10607"/>
        </ext>
      </extLst>
    </bk>
    <bk>
      <extLst>
        <ext uri="{3e2802c4-a4d2-4d8b-9148-e3be6c30e623}">
          <xlrd:rvb i="10608"/>
        </ext>
      </extLst>
    </bk>
    <bk>
      <extLst>
        <ext uri="{3e2802c4-a4d2-4d8b-9148-e3be6c30e623}">
          <xlrd:rvb i="10609"/>
        </ext>
      </extLst>
    </bk>
    <bk>
      <extLst>
        <ext uri="{3e2802c4-a4d2-4d8b-9148-e3be6c30e623}">
          <xlrd:rvb i="10610"/>
        </ext>
      </extLst>
    </bk>
    <bk>
      <extLst>
        <ext uri="{3e2802c4-a4d2-4d8b-9148-e3be6c30e623}">
          <xlrd:rvb i="10611"/>
        </ext>
      </extLst>
    </bk>
    <bk>
      <extLst>
        <ext uri="{3e2802c4-a4d2-4d8b-9148-e3be6c30e623}">
          <xlrd:rvb i="10612"/>
        </ext>
      </extLst>
    </bk>
    <bk>
      <extLst>
        <ext uri="{3e2802c4-a4d2-4d8b-9148-e3be6c30e623}">
          <xlrd:rvb i="10613"/>
        </ext>
      </extLst>
    </bk>
    <bk>
      <extLst>
        <ext uri="{3e2802c4-a4d2-4d8b-9148-e3be6c30e623}">
          <xlrd:rvb i="10614"/>
        </ext>
      </extLst>
    </bk>
    <bk>
      <extLst>
        <ext uri="{3e2802c4-a4d2-4d8b-9148-e3be6c30e623}">
          <xlrd:rvb i="10615"/>
        </ext>
      </extLst>
    </bk>
    <bk>
      <extLst>
        <ext uri="{3e2802c4-a4d2-4d8b-9148-e3be6c30e623}">
          <xlrd:rvb i="10616"/>
        </ext>
      </extLst>
    </bk>
    <bk>
      <extLst>
        <ext uri="{3e2802c4-a4d2-4d8b-9148-e3be6c30e623}">
          <xlrd:rvb i="10617"/>
        </ext>
      </extLst>
    </bk>
    <bk>
      <extLst>
        <ext uri="{3e2802c4-a4d2-4d8b-9148-e3be6c30e623}">
          <xlrd:rvb i="10618"/>
        </ext>
      </extLst>
    </bk>
    <bk>
      <extLst>
        <ext uri="{3e2802c4-a4d2-4d8b-9148-e3be6c30e623}">
          <xlrd:rvb i="10619"/>
        </ext>
      </extLst>
    </bk>
    <bk>
      <extLst>
        <ext uri="{3e2802c4-a4d2-4d8b-9148-e3be6c30e623}">
          <xlrd:rvb i="10620"/>
        </ext>
      </extLst>
    </bk>
    <bk>
      <extLst>
        <ext uri="{3e2802c4-a4d2-4d8b-9148-e3be6c30e623}">
          <xlrd:rvb i="10621"/>
        </ext>
      </extLst>
    </bk>
    <bk>
      <extLst>
        <ext uri="{3e2802c4-a4d2-4d8b-9148-e3be6c30e623}">
          <xlrd:rvb i="10622"/>
        </ext>
      </extLst>
    </bk>
    <bk>
      <extLst>
        <ext uri="{3e2802c4-a4d2-4d8b-9148-e3be6c30e623}">
          <xlrd:rvb i="10623"/>
        </ext>
      </extLst>
    </bk>
    <bk>
      <extLst>
        <ext uri="{3e2802c4-a4d2-4d8b-9148-e3be6c30e623}">
          <xlrd:rvb i="10624"/>
        </ext>
      </extLst>
    </bk>
    <bk>
      <extLst>
        <ext uri="{3e2802c4-a4d2-4d8b-9148-e3be6c30e623}">
          <xlrd:rvb i="10625"/>
        </ext>
      </extLst>
    </bk>
    <bk>
      <extLst>
        <ext uri="{3e2802c4-a4d2-4d8b-9148-e3be6c30e623}">
          <xlrd:rvb i="10626"/>
        </ext>
      </extLst>
    </bk>
    <bk>
      <extLst>
        <ext uri="{3e2802c4-a4d2-4d8b-9148-e3be6c30e623}">
          <xlrd:rvb i="10627"/>
        </ext>
      </extLst>
    </bk>
    <bk>
      <extLst>
        <ext uri="{3e2802c4-a4d2-4d8b-9148-e3be6c30e623}">
          <xlrd:rvb i="10628"/>
        </ext>
      </extLst>
    </bk>
    <bk>
      <extLst>
        <ext uri="{3e2802c4-a4d2-4d8b-9148-e3be6c30e623}">
          <xlrd:rvb i="10629"/>
        </ext>
      </extLst>
    </bk>
    <bk>
      <extLst>
        <ext uri="{3e2802c4-a4d2-4d8b-9148-e3be6c30e623}">
          <xlrd:rvb i="10630"/>
        </ext>
      </extLst>
    </bk>
    <bk>
      <extLst>
        <ext uri="{3e2802c4-a4d2-4d8b-9148-e3be6c30e623}">
          <xlrd:rvb i="10631"/>
        </ext>
      </extLst>
    </bk>
    <bk>
      <extLst>
        <ext uri="{3e2802c4-a4d2-4d8b-9148-e3be6c30e623}">
          <xlrd:rvb i="10632"/>
        </ext>
      </extLst>
    </bk>
    <bk>
      <extLst>
        <ext uri="{3e2802c4-a4d2-4d8b-9148-e3be6c30e623}">
          <xlrd:rvb i="10633"/>
        </ext>
      </extLst>
    </bk>
    <bk>
      <extLst>
        <ext uri="{3e2802c4-a4d2-4d8b-9148-e3be6c30e623}">
          <xlrd:rvb i="10634"/>
        </ext>
      </extLst>
    </bk>
    <bk>
      <extLst>
        <ext uri="{3e2802c4-a4d2-4d8b-9148-e3be6c30e623}">
          <xlrd:rvb i="10635"/>
        </ext>
      </extLst>
    </bk>
    <bk>
      <extLst>
        <ext uri="{3e2802c4-a4d2-4d8b-9148-e3be6c30e623}">
          <xlrd:rvb i="10636"/>
        </ext>
      </extLst>
    </bk>
    <bk>
      <extLst>
        <ext uri="{3e2802c4-a4d2-4d8b-9148-e3be6c30e623}">
          <xlrd:rvb i="10637"/>
        </ext>
      </extLst>
    </bk>
    <bk>
      <extLst>
        <ext uri="{3e2802c4-a4d2-4d8b-9148-e3be6c30e623}">
          <xlrd:rvb i="10638"/>
        </ext>
      </extLst>
    </bk>
    <bk>
      <extLst>
        <ext uri="{3e2802c4-a4d2-4d8b-9148-e3be6c30e623}">
          <xlrd:rvb i="10639"/>
        </ext>
      </extLst>
    </bk>
    <bk>
      <extLst>
        <ext uri="{3e2802c4-a4d2-4d8b-9148-e3be6c30e623}">
          <xlrd:rvb i="10640"/>
        </ext>
      </extLst>
    </bk>
    <bk>
      <extLst>
        <ext uri="{3e2802c4-a4d2-4d8b-9148-e3be6c30e623}">
          <xlrd:rvb i="10641"/>
        </ext>
      </extLst>
    </bk>
    <bk>
      <extLst>
        <ext uri="{3e2802c4-a4d2-4d8b-9148-e3be6c30e623}">
          <xlrd:rvb i="10642"/>
        </ext>
      </extLst>
    </bk>
    <bk>
      <extLst>
        <ext uri="{3e2802c4-a4d2-4d8b-9148-e3be6c30e623}">
          <xlrd:rvb i="10643"/>
        </ext>
      </extLst>
    </bk>
    <bk>
      <extLst>
        <ext uri="{3e2802c4-a4d2-4d8b-9148-e3be6c30e623}">
          <xlrd:rvb i="10644"/>
        </ext>
      </extLst>
    </bk>
    <bk>
      <extLst>
        <ext uri="{3e2802c4-a4d2-4d8b-9148-e3be6c30e623}">
          <xlrd:rvb i="10645"/>
        </ext>
      </extLst>
    </bk>
    <bk>
      <extLst>
        <ext uri="{3e2802c4-a4d2-4d8b-9148-e3be6c30e623}">
          <xlrd:rvb i="10646"/>
        </ext>
      </extLst>
    </bk>
    <bk>
      <extLst>
        <ext uri="{3e2802c4-a4d2-4d8b-9148-e3be6c30e623}">
          <xlrd:rvb i="10647"/>
        </ext>
      </extLst>
    </bk>
    <bk>
      <extLst>
        <ext uri="{3e2802c4-a4d2-4d8b-9148-e3be6c30e623}">
          <xlrd:rvb i="10648"/>
        </ext>
      </extLst>
    </bk>
    <bk>
      <extLst>
        <ext uri="{3e2802c4-a4d2-4d8b-9148-e3be6c30e623}">
          <xlrd:rvb i="10649"/>
        </ext>
      </extLst>
    </bk>
    <bk>
      <extLst>
        <ext uri="{3e2802c4-a4d2-4d8b-9148-e3be6c30e623}">
          <xlrd:rvb i="10650"/>
        </ext>
      </extLst>
    </bk>
    <bk>
      <extLst>
        <ext uri="{3e2802c4-a4d2-4d8b-9148-e3be6c30e623}">
          <xlrd:rvb i="10651"/>
        </ext>
      </extLst>
    </bk>
    <bk>
      <extLst>
        <ext uri="{3e2802c4-a4d2-4d8b-9148-e3be6c30e623}">
          <xlrd:rvb i="10652"/>
        </ext>
      </extLst>
    </bk>
    <bk>
      <extLst>
        <ext uri="{3e2802c4-a4d2-4d8b-9148-e3be6c30e623}">
          <xlrd:rvb i="10653"/>
        </ext>
      </extLst>
    </bk>
    <bk>
      <extLst>
        <ext uri="{3e2802c4-a4d2-4d8b-9148-e3be6c30e623}">
          <xlrd:rvb i="10654"/>
        </ext>
      </extLst>
    </bk>
    <bk>
      <extLst>
        <ext uri="{3e2802c4-a4d2-4d8b-9148-e3be6c30e623}">
          <xlrd:rvb i="10655"/>
        </ext>
      </extLst>
    </bk>
    <bk>
      <extLst>
        <ext uri="{3e2802c4-a4d2-4d8b-9148-e3be6c30e623}">
          <xlrd:rvb i="10656"/>
        </ext>
      </extLst>
    </bk>
    <bk>
      <extLst>
        <ext uri="{3e2802c4-a4d2-4d8b-9148-e3be6c30e623}">
          <xlrd:rvb i="10657"/>
        </ext>
      </extLst>
    </bk>
    <bk>
      <extLst>
        <ext uri="{3e2802c4-a4d2-4d8b-9148-e3be6c30e623}">
          <xlrd:rvb i="10658"/>
        </ext>
      </extLst>
    </bk>
    <bk>
      <extLst>
        <ext uri="{3e2802c4-a4d2-4d8b-9148-e3be6c30e623}">
          <xlrd:rvb i="10659"/>
        </ext>
      </extLst>
    </bk>
    <bk>
      <extLst>
        <ext uri="{3e2802c4-a4d2-4d8b-9148-e3be6c30e623}">
          <xlrd:rvb i="10660"/>
        </ext>
      </extLst>
    </bk>
    <bk>
      <extLst>
        <ext uri="{3e2802c4-a4d2-4d8b-9148-e3be6c30e623}">
          <xlrd:rvb i="10661"/>
        </ext>
      </extLst>
    </bk>
    <bk>
      <extLst>
        <ext uri="{3e2802c4-a4d2-4d8b-9148-e3be6c30e623}">
          <xlrd:rvb i="10662"/>
        </ext>
      </extLst>
    </bk>
    <bk>
      <extLst>
        <ext uri="{3e2802c4-a4d2-4d8b-9148-e3be6c30e623}">
          <xlrd:rvb i="10663"/>
        </ext>
      </extLst>
    </bk>
    <bk>
      <extLst>
        <ext uri="{3e2802c4-a4d2-4d8b-9148-e3be6c30e623}">
          <xlrd:rvb i="10664"/>
        </ext>
      </extLst>
    </bk>
    <bk>
      <extLst>
        <ext uri="{3e2802c4-a4d2-4d8b-9148-e3be6c30e623}">
          <xlrd:rvb i="10665"/>
        </ext>
      </extLst>
    </bk>
    <bk>
      <extLst>
        <ext uri="{3e2802c4-a4d2-4d8b-9148-e3be6c30e623}">
          <xlrd:rvb i="10666"/>
        </ext>
      </extLst>
    </bk>
    <bk>
      <extLst>
        <ext uri="{3e2802c4-a4d2-4d8b-9148-e3be6c30e623}">
          <xlrd:rvb i="10667"/>
        </ext>
      </extLst>
    </bk>
    <bk>
      <extLst>
        <ext uri="{3e2802c4-a4d2-4d8b-9148-e3be6c30e623}">
          <xlrd:rvb i="10668"/>
        </ext>
      </extLst>
    </bk>
    <bk>
      <extLst>
        <ext uri="{3e2802c4-a4d2-4d8b-9148-e3be6c30e623}">
          <xlrd:rvb i="10669"/>
        </ext>
      </extLst>
    </bk>
    <bk>
      <extLst>
        <ext uri="{3e2802c4-a4d2-4d8b-9148-e3be6c30e623}">
          <xlrd:rvb i="10670"/>
        </ext>
      </extLst>
    </bk>
    <bk>
      <extLst>
        <ext uri="{3e2802c4-a4d2-4d8b-9148-e3be6c30e623}">
          <xlrd:rvb i="10671"/>
        </ext>
      </extLst>
    </bk>
    <bk>
      <extLst>
        <ext uri="{3e2802c4-a4d2-4d8b-9148-e3be6c30e623}">
          <xlrd:rvb i="10672"/>
        </ext>
      </extLst>
    </bk>
    <bk>
      <extLst>
        <ext uri="{3e2802c4-a4d2-4d8b-9148-e3be6c30e623}">
          <xlrd:rvb i="10673"/>
        </ext>
      </extLst>
    </bk>
    <bk>
      <extLst>
        <ext uri="{3e2802c4-a4d2-4d8b-9148-e3be6c30e623}">
          <xlrd:rvb i="10674"/>
        </ext>
      </extLst>
    </bk>
    <bk>
      <extLst>
        <ext uri="{3e2802c4-a4d2-4d8b-9148-e3be6c30e623}">
          <xlrd:rvb i="10675"/>
        </ext>
      </extLst>
    </bk>
    <bk>
      <extLst>
        <ext uri="{3e2802c4-a4d2-4d8b-9148-e3be6c30e623}">
          <xlrd:rvb i="10676"/>
        </ext>
      </extLst>
    </bk>
    <bk>
      <extLst>
        <ext uri="{3e2802c4-a4d2-4d8b-9148-e3be6c30e623}">
          <xlrd:rvb i="10677"/>
        </ext>
      </extLst>
    </bk>
    <bk>
      <extLst>
        <ext uri="{3e2802c4-a4d2-4d8b-9148-e3be6c30e623}">
          <xlrd:rvb i="10678"/>
        </ext>
      </extLst>
    </bk>
    <bk>
      <extLst>
        <ext uri="{3e2802c4-a4d2-4d8b-9148-e3be6c30e623}">
          <xlrd:rvb i="10679"/>
        </ext>
      </extLst>
    </bk>
    <bk>
      <extLst>
        <ext uri="{3e2802c4-a4d2-4d8b-9148-e3be6c30e623}">
          <xlrd:rvb i="10680"/>
        </ext>
      </extLst>
    </bk>
    <bk>
      <extLst>
        <ext uri="{3e2802c4-a4d2-4d8b-9148-e3be6c30e623}">
          <xlrd:rvb i="10681"/>
        </ext>
      </extLst>
    </bk>
    <bk>
      <extLst>
        <ext uri="{3e2802c4-a4d2-4d8b-9148-e3be6c30e623}">
          <xlrd:rvb i="10682"/>
        </ext>
      </extLst>
    </bk>
    <bk>
      <extLst>
        <ext uri="{3e2802c4-a4d2-4d8b-9148-e3be6c30e623}">
          <xlrd:rvb i="10683"/>
        </ext>
      </extLst>
    </bk>
    <bk>
      <extLst>
        <ext uri="{3e2802c4-a4d2-4d8b-9148-e3be6c30e623}">
          <xlrd:rvb i="10684"/>
        </ext>
      </extLst>
    </bk>
    <bk>
      <extLst>
        <ext uri="{3e2802c4-a4d2-4d8b-9148-e3be6c30e623}">
          <xlrd:rvb i="10685"/>
        </ext>
      </extLst>
    </bk>
    <bk>
      <extLst>
        <ext uri="{3e2802c4-a4d2-4d8b-9148-e3be6c30e623}">
          <xlrd:rvb i="10686"/>
        </ext>
      </extLst>
    </bk>
    <bk>
      <extLst>
        <ext uri="{3e2802c4-a4d2-4d8b-9148-e3be6c30e623}">
          <xlrd:rvb i="10687"/>
        </ext>
      </extLst>
    </bk>
    <bk>
      <extLst>
        <ext uri="{3e2802c4-a4d2-4d8b-9148-e3be6c30e623}">
          <xlrd:rvb i="10688"/>
        </ext>
      </extLst>
    </bk>
    <bk>
      <extLst>
        <ext uri="{3e2802c4-a4d2-4d8b-9148-e3be6c30e623}">
          <xlrd:rvb i="10689"/>
        </ext>
      </extLst>
    </bk>
    <bk>
      <extLst>
        <ext uri="{3e2802c4-a4d2-4d8b-9148-e3be6c30e623}">
          <xlrd:rvb i="10690"/>
        </ext>
      </extLst>
    </bk>
    <bk>
      <extLst>
        <ext uri="{3e2802c4-a4d2-4d8b-9148-e3be6c30e623}">
          <xlrd:rvb i="10691"/>
        </ext>
      </extLst>
    </bk>
    <bk>
      <extLst>
        <ext uri="{3e2802c4-a4d2-4d8b-9148-e3be6c30e623}">
          <xlrd:rvb i="10692"/>
        </ext>
      </extLst>
    </bk>
    <bk>
      <extLst>
        <ext uri="{3e2802c4-a4d2-4d8b-9148-e3be6c30e623}">
          <xlrd:rvb i="10693"/>
        </ext>
      </extLst>
    </bk>
    <bk>
      <extLst>
        <ext uri="{3e2802c4-a4d2-4d8b-9148-e3be6c30e623}">
          <xlrd:rvb i="10694"/>
        </ext>
      </extLst>
    </bk>
    <bk>
      <extLst>
        <ext uri="{3e2802c4-a4d2-4d8b-9148-e3be6c30e623}">
          <xlrd:rvb i="10695"/>
        </ext>
      </extLst>
    </bk>
    <bk>
      <extLst>
        <ext uri="{3e2802c4-a4d2-4d8b-9148-e3be6c30e623}">
          <xlrd:rvb i="10696"/>
        </ext>
      </extLst>
    </bk>
    <bk>
      <extLst>
        <ext uri="{3e2802c4-a4d2-4d8b-9148-e3be6c30e623}">
          <xlrd:rvb i="10697"/>
        </ext>
      </extLst>
    </bk>
    <bk>
      <extLst>
        <ext uri="{3e2802c4-a4d2-4d8b-9148-e3be6c30e623}">
          <xlrd:rvb i="10698"/>
        </ext>
      </extLst>
    </bk>
    <bk>
      <extLst>
        <ext uri="{3e2802c4-a4d2-4d8b-9148-e3be6c30e623}">
          <xlrd:rvb i="10699"/>
        </ext>
      </extLst>
    </bk>
    <bk>
      <extLst>
        <ext uri="{3e2802c4-a4d2-4d8b-9148-e3be6c30e623}">
          <xlrd:rvb i="10700"/>
        </ext>
      </extLst>
    </bk>
    <bk>
      <extLst>
        <ext uri="{3e2802c4-a4d2-4d8b-9148-e3be6c30e623}">
          <xlrd:rvb i="10701"/>
        </ext>
      </extLst>
    </bk>
    <bk>
      <extLst>
        <ext uri="{3e2802c4-a4d2-4d8b-9148-e3be6c30e623}">
          <xlrd:rvb i="10702"/>
        </ext>
      </extLst>
    </bk>
    <bk>
      <extLst>
        <ext uri="{3e2802c4-a4d2-4d8b-9148-e3be6c30e623}">
          <xlrd:rvb i="10703"/>
        </ext>
      </extLst>
    </bk>
    <bk>
      <extLst>
        <ext uri="{3e2802c4-a4d2-4d8b-9148-e3be6c30e623}">
          <xlrd:rvb i="10704"/>
        </ext>
      </extLst>
    </bk>
    <bk>
      <extLst>
        <ext uri="{3e2802c4-a4d2-4d8b-9148-e3be6c30e623}">
          <xlrd:rvb i="10705"/>
        </ext>
      </extLst>
    </bk>
    <bk>
      <extLst>
        <ext uri="{3e2802c4-a4d2-4d8b-9148-e3be6c30e623}">
          <xlrd:rvb i="10706"/>
        </ext>
      </extLst>
    </bk>
    <bk>
      <extLst>
        <ext uri="{3e2802c4-a4d2-4d8b-9148-e3be6c30e623}">
          <xlrd:rvb i="10707"/>
        </ext>
      </extLst>
    </bk>
    <bk>
      <extLst>
        <ext uri="{3e2802c4-a4d2-4d8b-9148-e3be6c30e623}">
          <xlrd:rvb i="10708"/>
        </ext>
      </extLst>
    </bk>
    <bk>
      <extLst>
        <ext uri="{3e2802c4-a4d2-4d8b-9148-e3be6c30e623}">
          <xlrd:rvb i="10709"/>
        </ext>
      </extLst>
    </bk>
    <bk>
      <extLst>
        <ext uri="{3e2802c4-a4d2-4d8b-9148-e3be6c30e623}">
          <xlrd:rvb i="10710"/>
        </ext>
      </extLst>
    </bk>
    <bk>
      <extLst>
        <ext uri="{3e2802c4-a4d2-4d8b-9148-e3be6c30e623}">
          <xlrd:rvb i="10711"/>
        </ext>
      </extLst>
    </bk>
    <bk>
      <extLst>
        <ext uri="{3e2802c4-a4d2-4d8b-9148-e3be6c30e623}">
          <xlrd:rvb i="10712"/>
        </ext>
      </extLst>
    </bk>
    <bk>
      <extLst>
        <ext uri="{3e2802c4-a4d2-4d8b-9148-e3be6c30e623}">
          <xlrd:rvb i="10713"/>
        </ext>
      </extLst>
    </bk>
    <bk>
      <extLst>
        <ext uri="{3e2802c4-a4d2-4d8b-9148-e3be6c30e623}">
          <xlrd:rvb i="10714"/>
        </ext>
      </extLst>
    </bk>
    <bk>
      <extLst>
        <ext uri="{3e2802c4-a4d2-4d8b-9148-e3be6c30e623}">
          <xlrd:rvb i="10715"/>
        </ext>
      </extLst>
    </bk>
    <bk>
      <extLst>
        <ext uri="{3e2802c4-a4d2-4d8b-9148-e3be6c30e623}">
          <xlrd:rvb i="10716"/>
        </ext>
      </extLst>
    </bk>
    <bk>
      <extLst>
        <ext uri="{3e2802c4-a4d2-4d8b-9148-e3be6c30e623}">
          <xlrd:rvb i="10717"/>
        </ext>
      </extLst>
    </bk>
    <bk>
      <extLst>
        <ext uri="{3e2802c4-a4d2-4d8b-9148-e3be6c30e623}">
          <xlrd:rvb i="10718"/>
        </ext>
      </extLst>
    </bk>
    <bk>
      <extLst>
        <ext uri="{3e2802c4-a4d2-4d8b-9148-e3be6c30e623}">
          <xlrd:rvb i="10719"/>
        </ext>
      </extLst>
    </bk>
    <bk>
      <extLst>
        <ext uri="{3e2802c4-a4d2-4d8b-9148-e3be6c30e623}">
          <xlrd:rvb i="10720"/>
        </ext>
      </extLst>
    </bk>
    <bk>
      <extLst>
        <ext uri="{3e2802c4-a4d2-4d8b-9148-e3be6c30e623}">
          <xlrd:rvb i="10721"/>
        </ext>
      </extLst>
    </bk>
    <bk>
      <extLst>
        <ext uri="{3e2802c4-a4d2-4d8b-9148-e3be6c30e623}">
          <xlrd:rvb i="10722"/>
        </ext>
      </extLst>
    </bk>
    <bk>
      <extLst>
        <ext uri="{3e2802c4-a4d2-4d8b-9148-e3be6c30e623}">
          <xlrd:rvb i="10723"/>
        </ext>
      </extLst>
    </bk>
    <bk>
      <extLst>
        <ext uri="{3e2802c4-a4d2-4d8b-9148-e3be6c30e623}">
          <xlrd:rvb i="10724"/>
        </ext>
      </extLst>
    </bk>
    <bk>
      <extLst>
        <ext uri="{3e2802c4-a4d2-4d8b-9148-e3be6c30e623}">
          <xlrd:rvb i="10725"/>
        </ext>
      </extLst>
    </bk>
    <bk>
      <extLst>
        <ext uri="{3e2802c4-a4d2-4d8b-9148-e3be6c30e623}">
          <xlrd:rvb i="10726"/>
        </ext>
      </extLst>
    </bk>
    <bk>
      <extLst>
        <ext uri="{3e2802c4-a4d2-4d8b-9148-e3be6c30e623}">
          <xlrd:rvb i="10727"/>
        </ext>
      </extLst>
    </bk>
    <bk>
      <extLst>
        <ext uri="{3e2802c4-a4d2-4d8b-9148-e3be6c30e623}">
          <xlrd:rvb i="10728"/>
        </ext>
      </extLst>
    </bk>
    <bk>
      <extLst>
        <ext uri="{3e2802c4-a4d2-4d8b-9148-e3be6c30e623}">
          <xlrd:rvb i="10729"/>
        </ext>
      </extLst>
    </bk>
    <bk>
      <extLst>
        <ext uri="{3e2802c4-a4d2-4d8b-9148-e3be6c30e623}">
          <xlrd:rvb i="10730"/>
        </ext>
      </extLst>
    </bk>
    <bk>
      <extLst>
        <ext uri="{3e2802c4-a4d2-4d8b-9148-e3be6c30e623}">
          <xlrd:rvb i="10731"/>
        </ext>
      </extLst>
    </bk>
    <bk>
      <extLst>
        <ext uri="{3e2802c4-a4d2-4d8b-9148-e3be6c30e623}">
          <xlrd:rvb i="10732"/>
        </ext>
      </extLst>
    </bk>
    <bk>
      <extLst>
        <ext uri="{3e2802c4-a4d2-4d8b-9148-e3be6c30e623}">
          <xlrd:rvb i="10733"/>
        </ext>
      </extLst>
    </bk>
    <bk>
      <extLst>
        <ext uri="{3e2802c4-a4d2-4d8b-9148-e3be6c30e623}">
          <xlrd:rvb i="10734"/>
        </ext>
      </extLst>
    </bk>
    <bk>
      <extLst>
        <ext uri="{3e2802c4-a4d2-4d8b-9148-e3be6c30e623}">
          <xlrd:rvb i="10735"/>
        </ext>
      </extLst>
    </bk>
    <bk>
      <extLst>
        <ext uri="{3e2802c4-a4d2-4d8b-9148-e3be6c30e623}">
          <xlrd:rvb i="10736"/>
        </ext>
      </extLst>
    </bk>
    <bk>
      <extLst>
        <ext uri="{3e2802c4-a4d2-4d8b-9148-e3be6c30e623}">
          <xlrd:rvb i="10737"/>
        </ext>
      </extLst>
    </bk>
    <bk>
      <extLst>
        <ext uri="{3e2802c4-a4d2-4d8b-9148-e3be6c30e623}">
          <xlrd:rvb i="10738"/>
        </ext>
      </extLst>
    </bk>
    <bk>
      <extLst>
        <ext uri="{3e2802c4-a4d2-4d8b-9148-e3be6c30e623}">
          <xlrd:rvb i="10739"/>
        </ext>
      </extLst>
    </bk>
    <bk>
      <extLst>
        <ext uri="{3e2802c4-a4d2-4d8b-9148-e3be6c30e623}">
          <xlrd:rvb i="10740"/>
        </ext>
      </extLst>
    </bk>
    <bk>
      <extLst>
        <ext uri="{3e2802c4-a4d2-4d8b-9148-e3be6c30e623}">
          <xlrd:rvb i="10741"/>
        </ext>
      </extLst>
    </bk>
    <bk>
      <extLst>
        <ext uri="{3e2802c4-a4d2-4d8b-9148-e3be6c30e623}">
          <xlrd:rvb i="10742"/>
        </ext>
      </extLst>
    </bk>
    <bk>
      <extLst>
        <ext uri="{3e2802c4-a4d2-4d8b-9148-e3be6c30e623}">
          <xlrd:rvb i="10743"/>
        </ext>
      </extLst>
    </bk>
    <bk>
      <extLst>
        <ext uri="{3e2802c4-a4d2-4d8b-9148-e3be6c30e623}">
          <xlrd:rvb i="10744"/>
        </ext>
      </extLst>
    </bk>
    <bk>
      <extLst>
        <ext uri="{3e2802c4-a4d2-4d8b-9148-e3be6c30e623}">
          <xlrd:rvb i="10745"/>
        </ext>
      </extLst>
    </bk>
    <bk>
      <extLst>
        <ext uri="{3e2802c4-a4d2-4d8b-9148-e3be6c30e623}">
          <xlrd:rvb i="10746"/>
        </ext>
      </extLst>
    </bk>
    <bk>
      <extLst>
        <ext uri="{3e2802c4-a4d2-4d8b-9148-e3be6c30e623}">
          <xlrd:rvb i="10747"/>
        </ext>
      </extLst>
    </bk>
    <bk>
      <extLst>
        <ext uri="{3e2802c4-a4d2-4d8b-9148-e3be6c30e623}">
          <xlrd:rvb i="10748"/>
        </ext>
      </extLst>
    </bk>
    <bk>
      <extLst>
        <ext uri="{3e2802c4-a4d2-4d8b-9148-e3be6c30e623}">
          <xlrd:rvb i="10749"/>
        </ext>
      </extLst>
    </bk>
    <bk>
      <extLst>
        <ext uri="{3e2802c4-a4d2-4d8b-9148-e3be6c30e623}">
          <xlrd:rvb i="10750"/>
        </ext>
      </extLst>
    </bk>
    <bk>
      <extLst>
        <ext uri="{3e2802c4-a4d2-4d8b-9148-e3be6c30e623}">
          <xlrd:rvb i="10751"/>
        </ext>
      </extLst>
    </bk>
    <bk>
      <extLst>
        <ext uri="{3e2802c4-a4d2-4d8b-9148-e3be6c30e623}">
          <xlrd:rvb i="10752"/>
        </ext>
      </extLst>
    </bk>
    <bk>
      <extLst>
        <ext uri="{3e2802c4-a4d2-4d8b-9148-e3be6c30e623}">
          <xlrd:rvb i="10753"/>
        </ext>
      </extLst>
    </bk>
    <bk>
      <extLst>
        <ext uri="{3e2802c4-a4d2-4d8b-9148-e3be6c30e623}">
          <xlrd:rvb i="10754"/>
        </ext>
      </extLst>
    </bk>
    <bk>
      <extLst>
        <ext uri="{3e2802c4-a4d2-4d8b-9148-e3be6c30e623}">
          <xlrd:rvb i="10755"/>
        </ext>
      </extLst>
    </bk>
    <bk>
      <extLst>
        <ext uri="{3e2802c4-a4d2-4d8b-9148-e3be6c30e623}">
          <xlrd:rvb i="10756"/>
        </ext>
      </extLst>
    </bk>
    <bk>
      <extLst>
        <ext uri="{3e2802c4-a4d2-4d8b-9148-e3be6c30e623}">
          <xlrd:rvb i="10757"/>
        </ext>
      </extLst>
    </bk>
    <bk>
      <extLst>
        <ext uri="{3e2802c4-a4d2-4d8b-9148-e3be6c30e623}">
          <xlrd:rvb i="10758"/>
        </ext>
      </extLst>
    </bk>
    <bk>
      <extLst>
        <ext uri="{3e2802c4-a4d2-4d8b-9148-e3be6c30e623}">
          <xlrd:rvb i="10759"/>
        </ext>
      </extLst>
    </bk>
    <bk>
      <extLst>
        <ext uri="{3e2802c4-a4d2-4d8b-9148-e3be6c30e623}">
          <xlrd:rvb i="10760"/>
        </ext>
      </extLst>
    </bk>
    <bk>
      <extLst>
        <ext uri="{3e2802c4-a4d2-4d8b-9148-e3be6c30e623}">
          <xlrd:rvb i="10761"/>
        </ext>
      </extLst>
    </bk>
    <bk>
      <extLst>
        <ext uri="{3e2802c4-a4d2-4d8b-9148-e3be6c30e623}">
          <xlrd:rvb i="10762"/>
        </ext>
      </extLst>
    </bk>
    <bk>
      <extLst>
        <ext uri="{3e2802c4-a4d2-4d8b-9148-e3be6c30e623}">
          <xlrd:rvb i="10763"/>
        </ext>
      </extLst>
    </bk>
    <bk>
      <extLst>
        <ext uri="{3e2802c4-a4d2-4d8b-9148-e3be6c30e623}">
          <xlrd:rvb i="10764"/>
        </ext>
      </extLst>
    </bk>
    <bk>
      <extLst>
        <ext uri="{3e2802c4-a4d2-4d8b-9148-e3be6c30e623}">
          <xlrd:rvb i="10765"/>
        </ext>
      </extLst>
    </bk>
    <bk>
      <extLst>
        <ext uri="{3e2802c4-a4d2-4d8b-9148-e3be6c30e623}">
          <xlrd:rvb i="10766"/>
        </ext>
      </extLst>
    </bk>
    <bk>
      <extLst>
        <ext uri="{3e2802c4-a4d2-4d8b-9148-e3be6c30e623}">
          <xlrd:rvb i="10767"/>
        </ext>
      </extLst>
    </bk>
    <bk>
      <extLst>
        <ext uri="{3e2802c4-a4d2-4d8b-9148-e3be6c30e623}">
          <xlrd:rvb i="10768"/>
        </ext>
      </extLst>
    </bk>
    <bk>
      <extLst>
        <ext uri="{3e2802c4-a4d2-4d8b-9148-e3be6c30e623}">
          <xlrd:rvb i="10769"/>
        </ext>
      </extLst>
    </bk>
    <bk>
      <extLst>
        <ext uri="{3e2802c4-a4d2-4d8b-9148-e3be6c30e623}">
          <xlrd:rvb i="10770"/>
        </ext>
      </extLst>
    </bk>
    <bk>
      <extLst>
        <ext uri="{3e2802c4-a4d2-4d8b-9148-e3be6c30e623}">
          <xlrd:rvb i="10771"/>
        </ext>
      </extLst>
    </bk>
    <bk>
      <extLst>
        <ext uri="{3e2802c4-a4d2-4d8b-9148-e3be6c30e623}">
          <xlrd:rvb i="10772"/>
        </ext>
      </extLst>
    </bk>
    <bk>
      <extLst>
        <ext uri="{3e2802c4-a4d2-4d8b-9148-e3be6c30e623}">
          <xlrd:rvb i="10773"/>
        </ext>
      </extLst>
    </bk>
    <bk>
      <extLst>
        <ext uri="{3e2802c4-a4d2-4d8b-9148-e3be6c30e623}">
          <xlrd:rvb i="10774"/>
        </ext>
      </extLst>
    </bk>
    <bk>
      <extLst>
        <ext uri="{3e2802c4-a4d2-4d8b-9148-e3be6c30e623}">
          <xlrd:rvb i="10775"/>
        </ext>
      </extLst>
    </bk>
    <bk>
      <extLst>
        <ext uri="{3e2802c4-a4d2-4d8b-9148-e3be6c30e623}">
          <xlrd:rvb i="10776"/>
        </ext>
      </extLst>
    </bk>
    <bk>
      <extLst>
        <ext uri="{3e2802c4-a4d2-4d8b-9148-e3be6c30e623}">
          <xlrd:rvb i="10777"/>
        </ext>
      </extLst>
    </bk>
    <bk>
      <extLst>
        <ext uri="{3e2802c4-a4d2-4d8b-9148-e3be6c30e623}">
          <xlrd:rvb i="10778"/>
        </ext>
      </extLst>
    </bk>
    <bk>
      <extLst>
        <ext uri="{3e2802c4-a4d2-4d8b-9148-e3be6c30e623}">
          <xlrd:rvb i="10779"/>
        </ext>
      </extLst>
    </bk>
    <bk>
      <extLst>
        <ext uri="{3e2802c4-a4d2-4d8b-9148-e3be6c30e623}">
          <xlrd:rvb i="10780"/>
        </ext>
      </extLst>
    </bk>
    <bk>
      <extLst>
        <ext uri="{3e2802c4-a4d2-4d8b-9148-e3be6c30e623}">
          <xlrd:rvb i="10781"/>
        </ext>
      </extLst>
    </bk>
    <bk>
      <extLst>
        <ext uri="{3e2802c4-a4d2-4d8b-9148-e3be6c30e623}">
          <xlrd:rvb i="10782"/>
        </ext>
      </extLst>
    </bk>
    <bk>
      <extLst>
        <ext uri="{3e2802c4-a4d2-4d8b-9148-e3be6c30e623}">
          <xlrd:rvb i="10783"/>
        </ext>
      </extLst>
    </bk>
    <bk>
      <extLst>
        <ext uri="{3e2802c4-a4d2-4d8b-9148-e3be6c30e623}">
          <xlrd:rvb i="10784"/>
        </ext>
      </extLst>
    </bk>
    <bk>
      <extLst>
        <ext uri="{3e2802c4-a4d2-4d8b-9148-e3be6c30e623}">
          <xlrd:rvb i="10785"/>
        </ext>
      </extLst>
    </bk>
    <bk>
      <extLst>
        <ext uri="{3e2802c4-a4d2-4d8b-9148-e3be6c30e623}">
          <xlrd:rvb i="10786"/>
        </ext>
      </extLst>
    </bk>
    <bk>
      <extLst>
        <ext uri="{3e2802c4-a4d2-4d8b-9148-e3be6c30e623}">
          <xlrd:rvb i="10787"/>
        </ext>
      </extLst>
    </bk>
    <bk>
      <extLst>
        <ext uri="{3e2802c4-a4d2-4d8b-9148-e3be6c30e623}">
          <xlrd:rvb i="10788"/>
        </ext>
      </extLst>
    </bk>
    <bk>
      <extLst>
        <ext uri="{3e2802c4-a4d2-4d8b-9148-e3be6c30e623}">
          <xlrd:rvb i="10789"/>
        </ext>
      </extLst>
    </bk>
    <bk>
      <extLst>
        <ext uri="{3e2802c4-a4d2-4d8b-9148-e3be6c30e623}">
          <xlrd:rvb i="10790"/>
        </ext>
      </extLst>
    </bk>
    <bk>
      <extLst>
        <ext uri="{3e2802c4-a4d2-4d8b-9148-e3be6c30e623}">
          <xlrd:rvb i="10791"/>
        </ext>
      </extLst>
    </bk>
    <bk>
      <extLst>
        <ext uri="{3e2802c4-a4d2-4d8b-9148-e3be6c30e623}">
          <xlrd:rvb i="10792"/>
        </ext>
      </extLst>
    </bk>
    <bk>
      <extLst>
        <ext uri="{3e2802c4-a4d2-4d8b-9148-e3be6c30e623}">
          <xlrd:rvb i="10793"/>
        </ext>
      </extLst>
    </bk>
    <bk>
      <extLst>
        <ext uri="{3e2802c4-a4d2-4d8b-9148-e3be6c30e623}">
          <xlrd:rvb i="10794"/>
        </ext>
      </extLst>
    </bk>
    <bk>
      <extLst>
        <ext uri="{3e2802c4-a4d2-4d8b-9148-e3be6c30e623}">
          <xlrd:rvb i="10795"/>
        </ext>
      </extLst>
    </bk>
    <bk>
      <extLst>
        <ext uri="{3e2802c4-a4d2-4d8b-9148-e3be6c30e623}">
          <xlrd:rvb i="10796"/>
        </ext>
      </extLst>
    </bk>
    <bk>
      <extLst>
        <ext uri="{3e2802c4-a4d2-4d8b-9148-e3be6c30e623}">
          <xlrd:rvb i="10797"/>
        </ext>
      </extLst>
    </bk>
    <bk>
      <extLst>
        <ext uri="{3e2802c4-a4d2-4d8b-9148-e3be6c30e623}">
          <xlrd:rvb i="10798"/>
        </ext>
      </extLst>
    </bk>
    <bk>
      <extLst>
        <ext uri="{3e2802c4-a4d2-4d8b-9148-e3be6c30e623}">
          <xlrd:rvb i="10799"/>
        </ext>
      </extLst>
    </bk>
    <bk>
      <extLst>
        <ext uri="{3e2802c4-a4d2-4d8b-9148-e3be6c30e623}">
          <xlrd:rvb i="10800"/>
        </ext>
      </extLst>
    </bk>
    <bk>
      <extLst>
        <ext uri="{3e2802c4-a4d2-4d8b-9148-e3be6c30e623}">
          <xlrd:rvb i="10801"/>
        </ext>
      </extLst>
    </bk>
    <bk>
      <extLst>
        <ext uri="{3e2802c4-a4d2-4d8b-9148-e3be6c30e623}">
          <xlrd:rvb i="10802"/>
        </ext>
      </extLst>
    </bk>
    <bk>
      <extLst>
        <ext uri="{3e2802c4-a4d2-4d8b-9148-e3be6c30e623}">
          <xlrd:rvb i="10803"/>
        </ext>
      </extLst>
    </bk>
    <bk>
      <extLst>
        <ext uri="{3e2802c4-a4d2-4d8b-9148-e3be6c30e623}">
          <xlrd:rvb i="10804"/>
        </ext>
      </extLst>
    </bk>
    <bk>
      <extLst>
        <ext uri="{3e2802c4-a4d2-4d8b-9148-e3be6c30e623}">
          <xlrd:rvb i="10805"/>
        </ext>
      </extLst>
    </bk>
    <bk>
      <extLst>
        <ext uri="{3e2802c4-a4d2-4d8b-9148-e3be6c30e623}">
          <xlrd:rvb i="10806"/>
        </ext>
      </extLst>
    </bk>
    <bk>
      <extLst>
        <ext uri="{3e2802c4-a4d2-4d8b-9148-e3be6c30e623}">
          <xlrd:rvb i="10807"/>
        </ext>
      </extLst>
    </bk>
    <bk>
      <extLst>
        <ext uri="{3e2802c4-a4d2-4d8b-9148-e3be6c30e623}">
          <xlrd:rvb i="10808"/>
        </ext>
      </extLst>
    </bk>
    <bk>
      <extLst>
        <ext uri="{3e2802c4-a4d2-4d8b-9148-e3be6c30e623}">
          <xlrd:rvb i="10809"/>
        </ext>
      </extLst>
    </bk>
    <bk>
      <extLst>
        <ext uri="{3e2802c4-a4d2-4d8b-9148-e3be6c30e623}">
          <xlrd:rvb i="10810"/>
        </ext>
      </extLst>
    </bk>
    <bk>
      <extLst>
        <ext uri="{3e2802c4-a4d2-4d8b-9148-e3be6c30e623}">
          <xlrd:rvb i="10811"/>
        </ext>
      </extLst>
    </bk>
    <bk>
      <extLst>
        <ext uri="{3e2802c4-a4d2-4d8b-9148-e3be6c30e623}">
          <xlrd:rvb i="10812"/>
        </ext>
      </extLst>
    </bk>
    <bk>
      <extLst>
        <ext uri="{3e2802c4-a4d2-4d8b-9148-e3be6c30e623}">
          <xlrd:rvb i="10813"/>
        </ext>
      </extLst>
    </bk>
    <bk>
      <extLst>
        <ext uri="{3e2802c4-a4d2-4d8b-9148-e3be6c30e623}">
          <xlrd:rvb i="10814"/>
        </ext>
      </extLst>
    </bk>
    <bk>
      <extLst>
        <ext uri="{3e2802c4-a4d2-4d8b-9148-e3be6c30e623}">
          <xlrd:rvb i="10815"/>
        </ext>
      </extLst>
    </bk>
    <bk>
      <extLst>
        <ext uri="{3e2802c4-a4d2-4d8b-9148-e3be6c30e623}">
          <xlrd:rvb i="10816"/>
        </ext>
      </extLst>
    </bk>
    <bk>
      <extLst>
        <ext uri="{3e2802c4-a4d2-4d8b-9148-e3be6c30e623}">
          <xlrd:rvb i="10817"/>
        </ext>
      </extLst>
    </bk>
    <bk>
      <extLst>
        <ext uri="{3e2802c4-a4d2-4d8b-9148-e3be6c30e623}">
          <xlrd:rvb i="10818"/>
        </ext>
      </extLst>
    </bk>
    <bk>
      <extLst>
        <ext uri="{3e2802c4-a4d2-4d8b-9148-e3be6c30e623}">
          <xlrd:rvb i="10819"/>
        </ext>
      </extLst>
    </bk>
    <bk>
      <extLst>
        <ext uri="{3e2802c4-a4d2-4d8b-9148-e3be6c30e623}">
          <xlrd:rvb i="10820"/>
        </ext>
      </extLst>
    </bk>
    <bk>
      <extLst>
        <ext uri="{3e2802c4-a4d2-4d8b-9148-e3be6c30e623}">
          <xlrd:rvb i="10821"/>
        </ext>
      </extLst>
    </bk>
    <bk>
      <extLst>
        <ext uri="{3e2802c4-a4d2-4d8b-9148-e3be6c30e623}">
          <xlrd:rvb i="10822"/>
        </ext>
      </extLst>
    </bk>
    <bk>
      <extLst>
        <ext uri="{3e2802c4-a4d2-4d8b-9148-e3be6c30e623}">
          <xlrd:rvb i="10823"/>
        </ext>
      </extLst>
    </bk>
    <bk>
      <extLst>
        <ext uri="{3e2802c4-a4d2-4d8b-9148-e3be6c30e623}">
          <xlrd:rvb i="10824"/>
        </ext>
      </extLst>
    </bk>
    <bk>
      <extLst>
        <ext uri="{3e2802c4-a4d2-4d8b-9148-e3be6c30e623}">
          <xlrd:rvb i="10825"/>
        </ext>
      </extLst>
    </bk>
    <bk>
      <extLst>
        <ext uri="{3e2802c4-a4d2-4d8b-9148-e3be6c30e623}">
          <xlrd:rvb i="10826"/>
        </ext>
      </extLst>
    </bk>
    <bk>
      <extLst>
        <ext uri="{3e2802c4-a4d2-4d8b-9148-e3be6c30e623}">
          <xlrd:rvb i="10827"/>
        </ext>
      </extLst>
    </bk>
    <bk>
      <extLst>
        <ext uri="{3e2802c4-a4d2-4d8b-9148-e3be6c30e623}">
          <xlrd:rvb i="10828"/>
        </ext>
      </extLst>
    </bk>
    <bk>
      <extLst>
        <ext uri="{3e2802c4-a4d2-4d8b-9148-e3be6c30e623}">
          <xlrd:rvb i="10829"/>
        </ext>
      </extLst>
    </bk>
    <bk>
      <extLst>
        <ext uri="{3e2802c4-a4d2-4d8b-9148-e3be6c30e623}">
          <xlrd:rvb i="10830"/>
        </ext>
      </extLst>
    </bk>
    <bk>
      <extLst>
        <ext uri="{3e2802c4-a4d2-4d8b-9148-e3be6c30e623}">
          <xlrd:rvb i="10831"/>
        </ext>
      </extLst>
    </bk>
    <bk>
      <extLst>
        <ext uri="{3e2802c4-a4d2-4d8b-9148-e3be6c30e623}">
          <xlrd:rvb i="10832"/>
        </ext>
      </extLst>
    </bk>
    <bk>
      <extLst>
        <ext uri="{3e2802c4-a4d2-4d8b-9148-e3be6c30e623}">
          <xlrd:rvb i="10833"/>
        </ext>
      </extLst>
    </bk>
    <bk>
      <extLst>
        <ext uri="{3e2802c4-a4d2-4d8b-9148-e3be6c30e623}">
          <xlrd:rvb i="10834"/>
        </ext>
      </extLst>
    </bk>
    <bk>
      <extLst>
        <ext uri="{3e2802c4-a4d2-4d8b-9148-e3be6c30e623}">
          <xlrd:rvb i="10835"/>
        </ext>
      </extLst>
    </bk>
    <bk>
      <extLst>
        <ext uri="{3e2802c4-a4d2-4d8b-9148-e3be6c30e623}">
          <xlrd:rvb i="10836"/>
        </ext>
      </extLst>
    </bk>
    <bk>
      <extLst>
        <ext uri="{3e2802c4-a4d2-4d8b-9148-e3be6c30e623}">
          <xlrd:rvb i="10837"/>
        </ext>
      </extLst>
    </bk>
    <bk>
      <extLst>
        <ext uri="{3e2802c4-a4d2-4d8b-9148-e3be6c30e623}">
          <xlrd:rvb i="10838"/>
        </ext>
      </extLst>
    </bk>
    <bk>
      <extLst>
        <ext uri="{3e2802c4-a4d2-4d8b-9148-e3be6c30e623}">
          <xlrd:rvb i="10839"/>
        </ext>
      </extLst>
    </bk>
    <bk>
      <extLst>
        <ext uri="{3e2802c4-a4d2-4d8b-9148-e3be6c30e623}">
          <xlrd:rvb i="10840"/>
        </ext>
      </extLst>
    </bk>
    <bk>
      <extLst>
        <ext uri="{3e2802c4-a4d2-4d8b-9148-e3be6c30e623}">
          <xlrd:rvb i="10841"/>
        </ext>
      </extLst>
    </bk>
    <bk>
      <extLst>
        <ext uri="{3e2802c4-a4d2-4d8b-9148-e3be6c30e623}">
          <xlrd:rvb i="10842"/>
        </ext>
      </extLst>
    </bk>
    <bk>
      <extLst>
        <ext uri="{3e2802c4-a4d2-4d8b-9148-e3be6c30e623}">
          <xlrd:rvb i="10843"/>
        </ext>
      </extLst>
    </bk>
    <bk>
      <extLst>
        <ext uri="{3e2802c4-a4d2-4d8b-9148-e3be6c30e623}">
          <xlrd:rvb i="10844"/>
        </ext>
      </extLst>
    </bk>
    <bk>
      <extLst>
        <ext uri="{3e2802c4-a4d2-4d8b-9148-e3be6c30e623}">
          <xlrd:rvb i="10845"/>
        </ext>
      </extLst>
    </bk>
    <bk>
      <extLst>
        <ext uri="{3e2802c4-a4d2-4d8b-9148-e3be6c30e623}">
          <xlrd:rvb i="10846"/>
        </ext>
      </extLst>
    </bk>
    <bk>
      <extLst>
        <ext uri="{3e2802c4-a4d2-4d8b-9148-e3be6c30e623}">
          <xlrd:rvb i="10847"/>
        </ext>
      </extLst>
    </bk>
    <bk>
      <extLst>
        <ext uri="{3e2802c4-a4d2-4d8b-9148-e3be6c30e623}">
          <xlrd:rvb i="10848"/>
        </ext>
      </extLst>
    </bk>
    <bk>
      <extLst>
        <ext uri="{3e2802c4-a4d2-4d8b-9148-e3be6c30e623}">
          <xlrd:rvb i="10849"/>
        </ext>
      </extLst>
    </bk>
    <bk>
      <extLst>
        <ext uri="{3e2802c4-a4d2-4d8b-9148-e3be6c30e623}">
          <xlrd:rvb i="10850"/>
        </ext>
      </extLst>
    </bk>
    <bk>
      <extLst>
        <ext uri="{3e2802c4-a4d2-4d8b-9148-e3be6c30e623}">
          <xlrd:rvb i="10851"/>
        </ext>
      </extLst>
    </bk>
    <bk>
      <extLst>
        <ext uri="{3e2802c4-a4d2-4d8b-9148-e3be6c30e623}">
          <xlrd:rvb i="10852"/>
        </ext>
      </extLst>
    </bk>
    <bk>
      <extLst>
        <ext uri="{3e2802c4-a4d2-4d8b-9148-e3be6c30e623}">
          <xlrd:rvb i="10853"/>
        </ext>
      </extLst>
    </bk>
    <bk>
      <extLst>
        <ext uri="{3e2802c4-a4d2-4d8b-9148-e3be6c30e623}">
          <xlrd:rvb i="10854"/>
        </ext>
      </extLst>
    </bk>
    <bk>
      <extLst>
        <ext uri="{3e2802c4-a4d2-4d8b-9148-e3be6c30e623}">
          <xlrd:rvb i="10855"/>
        </ext>
      </extLst>
    </bk>
    <bk>
      <extLst>
        <ext uri="{3e2802c4-a4d2-4d8b-9148-e3be6c30e623}">
          <xlrd:rvb i="10856"/>
        </ext>
      </extLst>
    </bk>
    <bk>
      <extLst>
        <ext uri="{3e2802c4-a4d2-4d8b-9148-e3be6c30e623}">
          <xlrd:rvb i="10857"/>
        </ext>
      </extLst>
    </bk>
    <bk>
      <extLst>
        <ext uri="{3e2802c4-a4d2-4d8b-9148-e3be6c30e623}">
          <xlrd:rvb i="10858"/>
        </ext>
      </extLst>
    </bk>
    <bk>
      <extLst>
        <ext uri="{3e2802c4-a4d2-4d8b-9148-e3be6c30e623}">
          <xlrd:rvb i="10859"/>
        </ext>
      </extLst>
    </bk>
    <bk>
      <extLst>
        <ext uri="{3e2802c4-a4d2-4d8b-9148-e3be6c30e623}">
          <xlrd:rvb i="10860"/>
        </ext>
      </extLst>
    </bk>
    <bk>
      <extLst>
        <ext uri="{3e2802c4-a4d2-4d8b-9148-e3be6c30e623}">
          <xlrd:rvb i="10861"/>
        </ext>
      </extLst>
    </bk>
    <bk>
      <extLst>
        <ext uri="{3e2802c4-a4d2-4d8b-9148-e3be6c30e623}">
          <xlrd:rvb i="10862"/>
        </ext>
      </extLst>
    </bk>
    <bk>
      <extLst>
        <ext uri="{3e2802c4-a4d2-4d8b-9148-e3be6c30e623}">
          <xlrd:rvb i="10863"/>
        </ext>
      </extLst>
    </bk>
    <bk>
      <extLst>
        <ext uri="{3e2802c4-a4d2-4d8b-9148-e3be6c30e623}">
          <xlrd:rvb i="10864"/>
        </ext>
      </extLst>
    </bk>
    <bk>
      <extLst>
        <ext uri="{3e2802c4-a4d2-4d8b-9148-e3be6c30e623}">
          <xlrd:rvb i="10865"/>
        </ext>
      </extLst>
    </bk>
    <bk>
      <extLst>
        <ext uri="{3e2802c4-a4d2-4d8b-9148-e3be6c30e623}">
          <xlrd:rvb i="10866"/>
        </ext>
      </extLst>
    </bk>
    <bk>
      <extLst>
        <ext uri="{3e2802c4-a4d2-4d8b-9148-e3be6c30e623}">
          <xlrd:rvb i="10867"/>
        </ext>
      </extLst>
    </bk>
    <bk>
      <extLst>
        <ext uri="{3e2802c4-a4d2-4d8b-9148-e3be6c30e623}">
          <xlrd:rvb i="10868"/>
        </ext>
      </extLst>
    </bk>
    <bk>
      <extLst>
        <ext uri="{3e2802c4-a4d2-4d8b-9148-e3be6c30e623}">
          <xlrd:rvb i="10869"/>
        </ext>
      </extLst>
    </bk>
    <bk>
      <extLst>
        <ext uri="{3e2802c4-a4d2-4d8b-9148-e3be6c30e623}">
          <xlrd:rvb i="10870"/>
        </ext>
      </extLst>
    </bk>
    <bk>
      <extLst>
        <ext uri="{3e2802c4-a4d2-4d8b-9148-e3be6c30e623}">
          <xlrd:rvb i="10871"/>
        </ext>
      </extLst>
    </bk>
    <bk>
      <extLst>
        <ext uri="{3e2802c4-a4d2-4d8b-9148-e3be6c30e623}">
          <xlrd:rvb i="10872"/>
        </ext>
      </extLst>
    </bk>
    <bk>
      <extLst>
        <ext uri="{3e2802c4-a4d2-4d8b-9148-e3be6c30e623}">
          <xlrd:rvb i="10873"/>
        </ext>
      </extLst>
    </bk>
    <bk>
      <extLst>
        <ext uri="{3e2802c4-a4d2-4d8b-9148-e3be6c30e623}">
          <xlrd:rvb i="10874"/>
        </ext>
      </extLst>
    </bk>
    <bk>
      <extLst>
        <ext uri="{3e2802c4-a4d2-4d8b-9148-e3be6c30e623}">
          <xlrd:rvb i="10875"/>
        </ext>
      </extLst>
    </bk>
    <bk>
      <extLst>
        <ext uri="{3e2802c4-a4d2-4d8b-9148-e3be6c30e623}">
          <xlrd:rvb i="10876"/>
        </ext>
      </extLst>
    </bk>
    <bk>
      <extLst>
        <ext uri="{3e2802c4-a4d2-4d8b-9148-e3be6c30e623}">
          <xlrd:rvb i="10877"/>
        </ext>
      </extLst>
    </bk>
    <bk>
      <extLst>
        <ext uri="{3e2802c4-a4d2-4d8b-9148-e3be6c30e623}">
          <xlrd:rvb i="10878"/>
        </ext>
      </extLst>
    </bk>
    <bk>
      <extLst>
        <ext uri="{3e2802c4-a4d2-4d8b-9148-e3be6c30e623}">
          <xlrd:rvb i="10879"/>
        </ext>
      </extLst>
    </bk>
    <bk>
      <extLst>
        <ext uri="{3e2802c4-a4d2-4d8b-9148-e3be6c30e623}">
          <xlrd:rvb i="10880"/>
        </ext>
      </extLst>
    </bk>
    <bk>
      <extLst>
        <ext uri="{3e2802c4-a4d2-4d8b-9148-e3be6c30e623}">
          <xlrd:rvb i="10881"/>
        </ext>
      </extLst>
    </bk>
    <bk>
      <extLst>
        <ext uri="{3e2802c4-a4d2-4d8b-9148-e3be6c30e623}">
          <xlrd:rvb i="10882"/>
        </ext>
      </extLst>
    </bk>
    <bk>
      <extLst>
        <ext uri="{3e2802c4-a4d2-4d8b-9148-e3be6c30e623}">
          <xlrd:rvb i="10883"/>
        </ext>
      </extLst>
    </bk>
    <bk>
      <extLst>
        <ext uri="{3e2802c4-a4d2-4d8b-9148-e3be6c30e623}">
          <xlrd:rvb i="10884"/>
        </ext>
      </extLst>
    </bk>
    <bk>
      <extLst>
        <ext uri="{3e2802c4-a4d2-4d8b-9148-e3be6c30e623}">
          <xlrd:rvb i="10885"/>
        </ext>
      </extLst>
    </bk>
    <bk>
      <extLst>
        <ext uri="{3e2802c4-a4d2-4d8b-9148-e3be6c30e623}">
          <xlrd:rvb i="10886"/>
        </ext>
      </extLst>
    </bk>
    <bk>
      <extLst>
        <ext uri="{3e2802c4-a4d2-4d8b-9148-e3be6c30e623}">
          <xlrd:rvb i="10887"/>
        </ext>
      </extLst>
    </bk>
    <bk>
      <extLst>
        <ext uri="{3e2802c4-a4d2-4d8b-9148-e3be6c30e623}">
          <xlrd:rvb i="10888"/>
        </ext>
      </extLst>
    </bk>
    <bk>
      <extLst>
        <ext uri="{3e2802c4-a4d2-4d8b-9148-e3be6c30e623}">
          <xlrd:rvb i="10889"/>
        </ext>
      </extLst>
    </bk>
    <bk>
      <extLst>
        <ext uri="{3e2802c4-a4d2-4d8b-9148-e3be6c30e623}">
          <xlrd:rvb i="10890"/>
        </ext>
      </extLst>
    </bk>
    <bk>
      <extLst>
        <ext uri="{3e2802c4-a4d2-4d8b-9148-e3be6c30e623}">
          <xlrd:rvb i="10891"/>
        </ext>
      </extLst>
    </bk>
    <bk>
      <extLst>
        <ext uri="{3e2802c4-a4d2-4d8b-9148-e3be6c30e623}">
          <xlrd:rvb i="10892"/>
        </ext>
      </extLst>
    </bk>
    <bk>
      <extLst>
        <ext uri="{3e2802c4-a4d2-4d8b-9148-e3be6c30e623}">
          <xlrd:rvb i="10893"/>
        </ext>
      </extLst>
    </bk>
    <bk>
      <extLst>
        <ext uri="{3e2802c4-a4d2-4d8b-9148-e3be6c30e623}">
          <xlrd:rvb i="10894"/>
        </ext>
      </extLst>
    </bk>
    <bk>
      <extLst>
        <ext uri="{3e2802c4-a4d2-4d8b-9148-e3be6c30e623}">
          <xlrd:rvb i="10895"/>
        </ext>
      </extLst>
    </bk>
    <bk>
      <extLst>
        <ext uri="{3e2802c4-a4d2-4d8b-9148-e3be6c30e623}">
          <xlrd:rvb i="10896"/>
        </ext>
      </extLst>
    </bk>
    <bk>
      <extLst>
        <ext uri="{3e2802c4-a4d2-4d8b-9148-e3be6c30e623}">
          <xlrd:rvb i="10897"/>
        </ext>
      </extLst>
    </bk>
    <bk>
      <extLst>
        <ext uri="{3e2802c4-a4d2-4d8b-9148-e3be6c30e623}">
          <xlrd:rvb i="10898"/>
        </ext>
      </extLst>
    </bk>
    <bk>
      <extLst>
        <ext uri="{3e2802c4-a4d2-4d8b-9148-e3be6c30e623}">
          <xlrd:rvb i="10899"/>
        </ext>
      </extLst>
    </bk>
    <bk>
      <extLst>
        <ext uri="{3e2802c4-a4d2-4d8b-9148-e3be6c30e623}">
          <xlrd:rvb i="10900"/>
        </ext>
      </extLst>
    </bk>
    <bk>
      <extLst>
        <ext uri="{3e2802c4-a4d2-4d8b-9148-e3be6c30e623}">
          <xlrd:rvb i="10901"/>
        </ext>
      </extLst>
    </bk>
    <bk>
      <extLst>
        <ext uri="{3e2802c4-a4d2-4d8b-9148-e3be6c30e623}">
          <xlrd:rvb i="10902"/>
        </ext>
      </extLst>
    </bk>
    <bk>
      <extLst>
        <ext uri="{3e2802c4-a4d2-4d8b-9148-e3be6c30e623}">
          <xlrd:rvb i="10903"/>
        </ext>
      </extLst>
    </bk>
    <bk>
      <extLst>
        <ext uri="{3e2802c4-a4d2-4d8b-9148-e3be6c30e623}">
          <xlrd:rvb i="10904"/>
        </ext>
      </extLst>
    </bk>
    <bk>
      <extLst>
        <ext uri="{3e2802c4-a4d2-4d8b-9148-e3be6c30e623}">
          <xlrd:rvb i="10905"/>
        </ext>
      </extLst>
    </bk>
    <bk>
      <extLst>
        <ext uri="{3e2802c4-a4d2-4d8b-9148-e3be6c30e623}">
          <xlrd:rvb i="10906"/>
        </ext>
      </extLst>
    </bk>
    <bk>
      <extLst>
        <ext uri="{3e2802c4-a4d2-4d8b-9148-e3be6c30e623}">
          <xlrd:rvb i="10907"/>
        </ext>
      </extLst>
    </bk>
    <bk>
      <extLst>
        <ext uri="{3e2802c4-a4d2-4d8b-9148-e3be6c30e623}">
          <xlrd:rvb i="10908"/>
        </ext>
      </extLst>
    </bk>
    <bk>
      <extLst>
        <ext uri="{3e2802c4-a4d2-4d8b-9148-e3be6c30e623}">
          <xlrd:rvb i="10909"/>
        </ext>
      </extLst>
    </bk>
    <bk>
      <extLst>
        <ext uri="{3e2802c4-a4d2-4d8b-9148-e3be6c30e623}">
          <xlrd:rvb i="10910"/>
        </ext>
      </extLst>
    </bk>
    <bk>
      <extLst>
        <ext uri="{3e2802c4-a4d2-4d8b-9148-e3be6c30e623}">
          <xlrd:rvb i="10911"/>
        </ext>
      </extLst>
    </bk>
    <bk>
      <extLst>
        <ext uri="{3e2802c4-a4d2-4d8b-9148-e3be6c30e623}">
          <xlrd:rvb i="10912"/>
        </ext>
      </extLst>
    </bk>
    <bk>
      <extLst>
        <ext uri="{3e2802c4-a4d2-4d8b-9148-e3be6c30e623}">
          <xlrd:rvb i="10913"/>
        </ext>
      </extLst>
    </bk>
    <bk>
      <extLst>
        <ext uri="{3e2802c4-a4d2-4d8b-9148-e3be6c30e623}">
          <xlrd:rvb i="10914"/>
        </ext>
      </extLst>
    </bk>
    <bk>
      <extLst>
        <ext uri="{3e2802c4-a4d2-4d8b-9148-e3be6c30e623}">
          <xlrd:rvb i="10915"/>
        </ext>
      </extLst>
    </bk>
    <bk>
      <extLst>
        <ext uri="{3e2802c4-a4d2-4d8b-9148-e3be6c30e623}">
          <xlrd:rvb i="10916"/>
        </ext>
      </extLst>
    </bk>
    <bk>
      <extLst>
        <ext uri="{3e2802c4-a4d2-4d8b-9148-e3be6c30e623}">
          <xlrd:rvb i="10917"/>
        </ext>
      </extLst>
    </bk>
    <bk>
      <extLst>
        <ext uri="{3e2802c4-a4d2-4d8b-9148-e3be6c30e623}">
          <xlrd:rvb i="10918"/>
        </ext>
      </extLst>
    </bk>
    <bk>
      <extLst>
        <ext uri="{3e2802c4-a4d2-4d8b-9148-e3be6c30e623}">
          <xlrd:rvb i="10919"/>
        </ext>
      </extLst>
    </bk>
    <bk>
      <extLst>
        <ext uri="{3e2802c4-a4d2-4d8b-9148-e3be6c30e623}">
          <xlrd:rvb i="10920"/>
        </ext>
      </extLst>
    </bk>
    <bk>
      <extLst>
        <ext uri="{3e2802c4-a4d2-4d8b-9148-e3be6c30e623}">
          <xlrd:rvb i="10921"/>
        </ext>
      </extLst>
    </bk>
    <bk>
      <extLst>
        <ext uri="{3e2802c4-a4d2-4d8b-9148-e3be6c30e623}">
          <xlrd:rvb i="10922"/>
        </ext>
      </extLst>
    </bk>
    <bk>
      <extLst>
        <ext uri="{3e2802c4-a4d2-4d8b-9148-e3be6c30e623}">
          <xlrd:rvb i="10923"/>
        </ext>
      </extLst>
    </bk>
    <bk>
      <extLst>
        <ext uri="{3e2802c4-a4d2-4d8b-9148-e3be6c30e623}">
          <xlrd:rvb i="10924"/>
        </ext>
      </extLst>
    </bk>
    <bk>
      <extLst>
        <ext uri="{3e2802c4-a4d2-4d8b-9148-e3be6c30e623}">
          <xlrd:rvb i="10925"/>
        </ext>
      </extLst>
    </bk>
    <bk>
      <extLst>
        <ext uri="{3e2802c4-a4d2-4d8b-9148-e3be6c30e623}">
          <xlrd:rvb i="10926"/>
        </ext>
      </extLst>
    </bk>
    <bk>
      <extLst>
        <ext uri="{3e2802c4-a4d2-4d8b-9148-e3be6c30e623}">
          <xlrd:rvb i="10927"/>
        </ext>
      </extLst>
    </bk>
    <bk>
      <extLst>
        <ext uri="{3e2802c4-a4d2-4d8b-9148-e3be6c30e623}">
          <xlrd:rvb i="10928"/>
        </ext>
      </extLst>
    </bk>
    <bk>
      <extLst>
        <ext uri="{3e2802c4-a4d2-4d8b-9148-e3be6c30e623}">
          <xlrd:rvb i="10929"/>
        </ext>
      </extLst>
    </bk>
    <bk>
      <extLst>
        <ext uri="{3e2802c4-a4d2-4d8b-9148-e3be6c30e623}">
          <xlrd:rvb i="10930"/>
        </ext>
      </extLst>
    </bk>
    <bk>
      <extLst>
        <ext uri="{3e2802c4-a4d2-4d8b-9148-e3be6c30e623}">
          <xlrd:rvb i="10931"/>
        </ext>
      </extLst>
    </bk>
    <bk>
      <extLst>
        <ext uri="{3e2802c4-a4d2-4d8b-9148-e3be6c30e623}">
          <xlrd:rvb i="10932"/>
        </ext>
      </extLst>
    </bk>
    <bk>
      <extLst>
        <ext uri="{3e2802c4-a4d2-4d8b-9148-e3be6c30e623}">
          <xlrd:rvb i="10933"/>
        </ext>
      </extLst>
    </bk>
    <bk>
      <extLst>
        <ext uri="{3e2802c4-a4d2-4d8b-9148-e3be6c30e623}">
          <xlrd:rvb i="10934"/>
        </ext>
      </extLst>
    </bk>
    <bk>
      <extLst>
        <ext uri="{3e2802c4-a4d2-4d8b-9148-e3be6c30e623}">
          <xlrd:rvb i="10935"/>
        </ext>
      </extLst>
    </bk>
    <bk>
      <extLst>
        <ext uri="{3e2802c4-a4d2-4d8b-9148-e3be6c30e623}">
          <xlrd:rvb i="10936"/>
        </ext>
      </extLst>
    </bk>
    <bk>
      <extLst>
        <ext uri="{3e2802c4-a4d2-4d8b-9148-e3be6c30e623}">
          <xlrd:rvb i="10937"/>
        </ext>
      </extLst>
    </bk>
    <bk>
      <extLst>
        <ext uri="{3e2802c4-a4d2-4d8b-9148-e3be6c30e623}">
          <xlrd:rvb i="10938"/>
        </ext>
      </extLst>
    </bk>
    <bk>
      <extLst>
        <ext uri="{3e2802c4-a4d2-4d8b-9148-e3be6c30e623}">
          <xlrd:rvb i="10939"/>
        </ext>
      </extLst>
    </bk>
    <bk>
      <extLst>
        <ext uri="{3e2802c4-a4d2-4d8b-9148-e3be6c30e623}">
          <xlrd:rvb i="10940"/>
        </ext>
      </extLst>
    </bk>
    <bk>
      <extLst>
        <ext uri="{3e2802c4-a4d2-4d8b-9148-e3be6c30e623}">
          <xlrd:rvb i="10941"/>
        </ext>
      </extLst>
    </bk>
    <bk>
      <extLst>
        <ext uri="{3e2802c4-a4d2-4d8b-9148-e3be6c30e623}">
          <xlrd:rvb i="10942"/>
        </ext>
      </extLst>
    </bk>
    <bk>
      <extLst>
        <ext uri="{3e2802c4-a4d2-4d8b-9148-e3be6c30e623}">
          <xlrd:rvb i="10943"/>
        </ext>
      </extLst>
    </bk>
    <bk>
      <extLst>
        <ext uri="{3e2802c4-a4d2-4d8b-9148-e3be6c30e623}">
          <xlrd:rvb i="10944"/>
        </ext>
      </extLst>
    </bk>
    <bk>
      <extLst>
        <ext uri="{3e2802c4-a4d2-4d8b-9148-e3be6c30e623}">
          <xlrd:rvb i="10945"/>
        </ext>
      </extLst>
    </bk>
    <bk>
      <extLst>
        <ext uri="{3e2802c4-a4d2-4d8b-9148-e3be6c30e623}">
          <xlrd:rvb i="10946"/>
        </ext>
      </extLst>
    </bk>
    <bk>
      <extLst>
        <ext uri="{3e2802c4-a4d2-4d8b-9148-e3be6c30e623}">
          <xlrd:rvb i="10947"/>
        </ext>
      </extLst>
    </bk>
    <bk>
      <extLst>
        <ext uri="{3e2802c4-a4d2-4d8b-9148-e3be6c30e623}">
          <xlrd:rvb i="10948"/>
        </ext>
      </extLst>
    </bk>
    <bk>
      <extLst>
        <ext uri="{3e2802c4-a4d2-4d8b-9148-e3be6c30e623}">
          <xlrd:rvb i="10949"/>
        </ext>
      </extLst>
    </bk>
    <bk>
      <extLst>
        <ext uri="{3e2802c4-a4d2-4d8b-9148-e3be6c30e623}">
          <xlrd:rvb i="10950"/>
        </ext>
      </extLst>
    </bk>
    <bk>
      <extLst>
        <ext uri="{3e2802c4-a4d2-4d8b-9148-e3be6c30e623}">
          <xlrd:rvb i="10951"/>
        </ext>
      </extLst>
    </bk>
    <bk>
      <extLst>
        <ext uri="{3e2802c4-a4d2-4d8b-9148-e3be6c30e623}">
          <xlrd:rvb i="10952"/>
        </ext>
      </extLst>
    </bk>
    <bk>
      <extLst>
        <ext uri="{3e2802c4-a4d2-4d8b-9148-e3be6c30e623}">
          <xlrd:rvb i="10953"/>
        </ext>
      </extLst>
    </bk>
    <bk>
      <extLst>
        <ext uri="{3e2802c4-a4d2-4d8b-9148-e3be6c30e623}">
          <xlrd:rvb i="10954"/>
        </ext>
      </extLst>
    </bk>
    <bk>
      <extLst>
        <ext uri="{3e2802c4-a4d2-4d8b-9148-e3be6c30e623}">
          <xlrd:rvb i="10955"/>
        </ext>
      </extLst>
    </bk>
    <bk>
      <extLst>
        <ext uri="{3e2802c4-a4d2-4d8b-9148-e3be6c30e623}">
          <xlrd:rvb i="10956"/>
        </ext>
      </extLst>
    </bk>
    <bk>
      <extLst>
        <ext uri="{3e2802c4-a4d2-4d8b-9148-e3be6c30e623}">
          <xlrd:rvb i="10957"/>
        </ext>
      </extLst>
    </bk>
    <bk>
      <extLst>
        <ext uri="{3e2802c4-a4d2-4d8b-9148-e3be6c30e623}">
          <xlrd:rvb i="10958"/>
        </ext>
      </extLst>
    </bk>
    <bk>
      <extLst>
        <ext uri="{3e2802c4-a4d2-4d8b-9148-e3be6c30e623}">
          <xlrd:rvb i="10959"/>
        </ext>
      </extLst>
    </bk>
    <bk>
      <extLst>
        <ext uri="{3e2802c4-a4d2-4d8b-9148-e3be6c30e623}">
          <xlrd:rvb i="10960"/>
        </ext>
      </extLst>
    </bk>
    <bk>
      <extLst>
        <ext uri="{3e2802c4-a4d2-4d8b-9148-e3be6c30e623}">
          <xlrd:rvb i="10961"/>
        </ext>
      </extLst>
    </bk>
    <bk>
      <extLst>
        <ext uri="{3e2802c4-a4d2-4d8b-9148-e3be6c30e623}">
          <xlrd:rvb i="10962"/>
        </ext>
      </extLst>
    </bk>
    <bk>
      <extLst>
        <ext uri="{3e2802c4-a4d2-4d8b-9148-e3be6c30e623}">
          <xlrd:rvb i="10963"/>
        </ext>
      </extLst>
    </bk>
    <bk>
      <extLst>
        <ext uri="{3e2802c4-a4d2-4d8b-9148-e3be6c30e623}">
          <xlrd:rvb i="10964"/>
        </ext>
      </extLst>
    </bk>
    <bk>
      <extLst>
        <ext uri="{3e2802c4-a4d2-4d8b-9148-e3be6c30e623}">
          <xlrd:rvb i="10965"/>
        </ext>
      </extLst>
    </bk>
    <bk>
      <extLst>
        <ext uri="{3e2802c4-a4d2-4d8b-9148-e3be6c30e623}">
          <xlrd:rvb i="10966"/>
        </ext>
      </extLst>
    </bk>
    <bk>
      <extLst>
        <ext uri="{3e2802c4-a4d2-4d8b-9148-e3be6c30e623}">
          <xlrd:rvb i="10967"/>
        </ext>
      </extLst>
    </bk>
    <bk>
      <extLst>
        <ext uri="{3e2802c4-a4d2-4d8b-9148-e3be6c30e623}">
          <xlrd:rvb i="10968"/>
        </ext>
      </extLst>
    </bk>
    <bk>
      <extLst>
        <ext uri="{3e2802c4-a4d2-4d8b-9148-e3be6c30e623}">
          <xlrd:rvb i="10969"/>
        </ext>
      </extLst>
    </bk>
    <bk>
      <extLst>
        <ext uri="{3e2802c4-a4d2-4d8b-9148-e3be6c30e623}">
          <xlrd:rvb i="10970"/>
        </ext>
      </extLst>
    </bk>
    <bk>
      <extLst>
        <ext uri="{3e2802c4-a4d2-4d8b-9148-e3be6c30e623}">
          <xlrd:rvb i="10971"/>
        </ext>
      </extLst>
    </bk>
    <bk>
      <extLst>
        <ext uri="{3e2802c4-a4d2-4d8b-9148-e3be6c30e623}">
          <xlrd:rvb i="10972"/>
        </ext>
      </extLst>
    </bk>
    <bk>
      <extLst>
        <ext uri="{3e2802c4-a4d2-4d8b-9148-e3be6c30e623}">
          <xlrd:rvb i="10973"/>
        </ext>
      </extLst>
    </bk>
    <bk>
      <extLst>
        <ext uri="{3e2802c4-a4d2-4d8b-9148-e3be6c30e623}">
          <xlrd:rvb i="10974"/>
        </ext>
      </extLst>
    </bk>
    <bk>
      <extLst>
        <ext uri="{3e2802c4-a4d2-4d8b-9148-e3be6c30e623}">
          <xlrd:rvb i="10975"/>
        </ext>
      </extLst>
    </bk>
    <bk>
      <extLst>
        <ext uri="{3e2802c4-a4d2-4d8b-9148-e3be6c30e623}">
          <xlrd:rvb i="10976"/>
        </ext>
      </extLst>
    </bk>
    <bk>
      <extLst>
        <ext uri="{3e2802c4-a4d2-4d8b-9148-e3be6c30e623}">
          <xlrd:rvb i="10977"/>
        </ext>
      </extLst>
    </bk>
    <bk>
      <extLst>
        <ext uri="{3e2802c4-a4d2-4d8b-9148-e3be6c30e623}">
          <xlrd:rvb i="10978"/>
        </ext>
      </extLst>
    </bk>
    <bk>
      <extLst>
        <ext uri="{3e2802c4-a4d2-4d8b-9148-e3be6c30e623}">
          <xlrd:rvb i="10979"/>
        </ext>
      </extLst>
    </bk>
    <bk>
      <extLst>
        <ext uri="{3e2802c4-a4d2-4d8b-9148-e3be6c30e623}">
          <xlrd:rvb i="10980"/>
        </ext>
      </extLst>
    </bk>
    <bk>
      <extLst>
        <ext uri="{3e2802c4-a4d2-4d8b-9148-e3be6c30e623}">
          <xlrd:rvb i="10981"/>
        </ext>
      </extLst>
    </bk>
    <bk>
      <extLst>
        <ext uri="{3e2802c4-a4d2-4d8b-9148-e3be6c30e623}">
          <xlrd:rvb i="10982"/>
        </ext>
      </extLst>
    </bk>
    <bk>
      <extLst>
        <ext uri="{3e2802c4-a4d2-4d8b-9148-e3be6c30e623}">
          <xlrd:rvb i="10983"/>
        </ext>
      </extLst>
    </bk>
    <bk>
      <extLst>
        <ext uri="{3e2802c4-a4d2-4d8b-9148-e3be6c30e623}">
          <xlrd:rvb i="10984"/>
        </ext>
      </extLst>
    </bk>
    <bk>
      <extLst>
        <ext uri="{3e2802c4-a4d2-4d8b-9148-e3be6c30e623}">
          <xlrd:rvb i="10985"/>
        </ext>
      </extLst>
    </bk>
    <bk>
      <extLst>
        <ext uri="{3e2802c4-a4d2-4d8b-9148-e3be6c30e623}">
          <xlrd:rvb i="10986"/>
        </ext>
      </extLst>
    </bk>
    <bk>
      <extLst>
        <ext uri="{3e2802c4-a4d2-4d8b-9148-e3be6c30e623}">
          <xlrd:rvb i="10987"/>
        </ext>
      </extLst>
    </bk>
    <bk>
      <extLst>
        <ext uri="{3e2802c4-a4d2-4d8b-9148-e3be6c30e623}">
          <xlrd:rvb i="10988"/>
        </ext>
      </extLst>
    </bk>
    <bk>
      <extLst>
        <ext uri="{3e2802c4-a4d2-4d8b-9148-e3be6c30e623}">
          <xlrd:rvb i="10989"/>
        </ext>
      </extLst>
    </bk>
    <bk>
      <extLst>
        <ext uri="{3e2802c4-a4d2-4d8b-9148-e3be6c30e623}">
          <xlrd:rvb i="10990"/>
        </ext>
      </extLst>
    </bk>
    <bk>
      <extLst>
        <ext uri="{3e2802c4-a4d2-4d8b-9148-e3be6c30e623}">
          <xlrd:rvb i="10991"/>
        </ext>
      </extLst>
    </bk>
    <bk>
      <extLst>
        <ext uri="{3e2802c4-a4d2-4d8b-9148-e3be6c30e623}">
          <xlrd:rvb i="10992"/>
        </ext>
      </extLst>
    </bk>
    <bk>
      <extLst>
        <ext uri="{3e2802c4-a4d2-4d8b-9148-e3be6c30e623}">
          <xlrd:rvb i="10993"/>
        </ext>
      </extLst>
    </bk>
    <bk>
      <extLst>
        <ext uri="{3e2802c4-a4d2-4d8b-9148-e3be6c30e623}">
          <xlrd:rvb i="10994"/>
        </ext>
      </extLst>
    </bk>
    <bk>
      <extLst>
        <ext uri="{3e2802c4-a4d2-4d8b-9148-e3be6c30e623}">
          <xlrd:rvb i="10995"/>
        </ext>
      </extLst>
    </bk>
    <bk>
      <extLst>
        <ext uri="{3e2802c4-a4d2-4d8b-9148-e3be6c30e623}">
          <xlrd:rvb i="10996"/>
        </ext>
      </extLst>
    </bk>
    <bk>
      <extLst>
        <ext uri="{3e2802c4-a4d2-4d8b-9148-e3be6c30e623}">
          <xlrd:rvb i="10997"/>
        </ext>
      </extLst>
    </bk>
    <bk>
      <extLst>
        <ext uri="{3e2802c4-a4d2-4d8b-9148-e3be6c30e623}">
          <xlrd:rvb i="10998"/>
        </ext>
      </extLst>
    </bk>
    <bk>
      <extLst>
        <ext uri="{3e2802c4-a4d2-4d8b-9148-e3be6c30e623}">
          <xlrd:rvb i="10999"/>
        </ext>
      </extLst>
    </bk>
    <bk>
      <extLst>
        <ext uri="{3e2802c4-a4d2-4d8b-9148-e3be6c30e623}">
          <xlrd:rvb i="11000"/>
        </ext>
      </extLst>
    </bk>
    <bk>
      <extLst>
        <ext uri="{3e2802c4-a4d2-4d8b-9148-e3be6c30e623}">
          <xlrd:rvb i="11001"/>
        </ext>
      </extLst>
    </bk>
    <bk>
      <extLst>
        <ext uri="{3e2802c4-a4d2-4d8b-9148-e3be6c30e623}">
          <xlrd:rvb i="11002"/>
        </ext>
      </extLst>
    </bk>
    <bk>
      <extLst>
        <ext uri="{3e2802c4-a4d2-4d8b-9148-e3be6c30e623}">
          <xlrd:rvb i="11003"/>
        </ext>
      </extLst>
    </bk>
    <bk>
      <extLst>
        <ext uri="{3e2802c4-a4d2-4d8b-9148-e3be6c30e623}">
          <xlrd:rvb i="11004"/>
        </ext>
      </extLst>
    </bk>
    <bk>
      <extLst>
        <ext uri="{3e2802c4-a4d2-4d8b-9148-e3be6c30e623}">
          <xlrd:rvb i="11005"/>
        </ext>
      </extLst>
    </bk>
    <bk>
      <extLst>
        <ext uri="{3e2802c4-a4d2-4d8b-9148-e3be6c30e623}">
          <xlrd:rvb i="11006"/>
        </ext>
      </extLst>
    </bk>
    <bk>
      <extLst>
        <ext uri="{3e2802c4-a4d2-4d8b-9148-e3be6c30e623}">
          <xlrd:rvb i="11007"/>
        </ext>
      </extLst>
    </bk>
    <bk>
      <extLst>
        <ext uri="{3e2802c4-a4d2-4d8b-9148-e3be6c30e623}">
          <xlrd:rvb i="11008"/>
        </ext>
      </extLst>
    </bk>
    <bk>
      <extLst>
        <ext uri="{3e2802c4-a4d2-4d8b-9148-e3be6c30e623}">
          <xlrd:rvb i="11009"/>
        </ext>
      </extLst>
    </bk>
    <bk>
      <extLst>
        <ext uri="{3e2802c4-a4d2-4d8b-9148-e3be6c30e623}">
          <xlrd:rvb i="11010"/>
        </ext>
      </extLst>
    </bk>
    <bk>
      <extLst>
        <ext uri="{3e2802c4-a4d2-4d8b-9148-e3be6c30e623}">
          <xlrd:rvb i="11011"/>
        </ext>
      </extLst>
    </bk>
    <bk>
      <extLst>
        <ext uri="{3e2802c4-a4d2-4d8b-9148-e3be6c30e623}">
          <xlrd:rvb i="11012"/>
        </ext>
      </extLst>
    </bk>
    <bk>
      <extLst>
        <ext uri="{3e2802c4-a4d2-4d8b-9148-e3be6c30e623}">
          <xlrd:rvb i="11013"/>
        </ext>
      </extLst>
    </bk>
    <bk>
      <extLst>
        <ext uri="{3e2802c4-a4d2-4d8b-9148-e3be6c30e623}">
          <xlrd:rvb i="11014"/>
        </ext>
      </extLst>
    </bk>
    <bk>
      <extLst>
        <ext uri="{3e2802c4-a4d2-4d8b-9148-e3be6c30e623}">
          <xlrd:rvb i="11015"/>
        </ext>
      </extLst>
    </bk>
    <bk>
      <extLst>
        <ext uri="{3e2802c4-a4d2-4d8b-9148-e3be6c30e623}">
          <xlrd:rvb i="11016"/>
        </ext>
      </extLst>
    </bk>
    <bk>
      <extLst>
        <ext uri="{3e2802c4-a4d2-4d8b-9148-e3be6c30e623}">
          <xlrd:rvb i="11017"/>
        </ext>
      </extLst>
    </bk>
    <bk>
      <extLst>
        <ext uri="{3e2802c4-a4d2-4d8b-9148-e3be6c30e623}">
          <xlrd:rvb i="11018"/>
        </ext>
      </extLst>
    </bk>
    <bk>
      <extLst>
        <ext uri="{3e2802c4-a4d2-4d8b-9148-e3be6c30e623}">
          <xlrd:rvb i="11019"/>
        </ext>
      </extLst>
    </bk>
    <bk>
      <extLst>
        <ext uri="{3e2802c4-a4d2-4d8b-9148-e3be6c30e623}">
          <xlrd:rvb i="11020"/>
        </ext>
      </extLst>
    </bk>
    <bk>
      <extLst>
        <ext uri="{3e2802c4-a4d2-4d8b-9148-e3be6c30e623}">
          <xlrd:rvb i="11021"/>
        </ext>
      </extLst>
    </bk>
    <bk>
      <extLst>
        <ext uri="{3e2802c4-a4d2-4d8b-9148-e3be6c30e623}">
          <xlrd:rvb i="11022"/>
        </ext>
      </extLst>
    </bk>
    <bk>
      <extLst>
        <ext uri="{3e2802c4-a4d2-4d8b-9148-e3be6c30e623}">
          <xlrd:rvb i="11023"/>
        </ext>
      </extLst>
    </bk>
    <bk>
      <extLst>
        <ext uri="{3e2802c4-a4d2-4d8b-9148-e3be6c30e623}">
          <xlrd:rvb i="11024"/>
        </ext>
      </extLst>
    </bk>
    <bk>
      <extLst>
        <ext uri="{3e2802c4-a4d2-4d8b-9148-e3be6c30e623}">
          <xlrd:rvb i="11025"/>
        </ext>
      </extLst>
    </bk>
    <bk>
      <extLst>
        <ext uri="{3e2802c4-a4d2-4d8b-9148-e3be6c30e623}">
          <xlrd:rvb i="11026"/>
        </ext>
      </extLst>
    </bk>
    <bk>
      <extLst>
        <ext uri="{3e2802c4-a4d2-4d8b-9148-e3be6c30e623}">
          <xlrd:rvb i="11027"/>
        </ext>
      </extLst>
    </bk>
    <bk>
      <extLst>
        <ext uri="{3e2802c4-a4d2-4d8b-9148-e3be6c30e623}">
          <xlrd:rvb i="11028"/>
        </ext>
      </extLst>
    </bk>
    <bk>
      <extLst>
        <ext uri="{3e2802c4-a4d2-4d8b-9148-e3be6c30e623}">
          <xlrd:rvb i="11029"/>
        </ext>
      </extLst>
    </bk>
    <bk>
      <extLst>
        <ext uri="{3e2802c4-a4d2-4d8b-9148-e3be6c30e623}">
          <xlrd:rvb i="11030"/>
        </ext>
      </extLst>
    </bk>
    <bk>
      <extLst>
        <ext uri="{3e2802c4-a4d2-4d8b-9148-e3be6c30e623}">
          <xlrd:rvb i="11031"/>
        </ext>
      </extLst>
    </bk>
    <bk>
      <extLst>
        <ext uri="{3e2802c4-a4d2-4d8b-9148-e3be6c30e623}">
          <xlrd:rvb i="11032"/>
        </ext>
      </extLst>
    </bk>
    <bk>
      <extLst>
        <ext uri="{3e2802c4-a4d2-4d8b-9148-e3be6c30e623}">
          <xlrd:rvb i="11033"/>
        </ext>
      </extLst>
    </bk>
    <bk>
      <extLst>
        <ext uri="{3e2802c4-a4d2-4d8b-9148-e3be6c30e623}">
          <xlrd:rvb i="11034"/>
        </ext>
      </extLst>
    </bk>
    <bk>
      <extLst>
        <ext uri="{3e2802c4-a4d2-4d8b-9148-e3be6c30e623}">
          <xlrd:rvb i="11035"/>
        </ext>
      </extLst>
    </bk>
    <bk>
      <extLst>
        <ext uri="{3e2802c4-a4d2-4d8b-9148-e3be6c30e623}">
          <xlrd:rvb i="11036"/>
        </ext>
      </extLst>
    </bk>
    <bk>
      <extLst>
        <ext uri="{3e2802c4-a4d2-4d8b-9148-e3be6c30e623}">
          <xlrd:rvb i="11037"/>
        </ext>
      </extLst>
    </bk>
    <bk>
      <extLst>
        <ext uri="{3e2802c4-a4d2-4d8b-9148-e3be6c30e623}">
          <xlrd:rvb i="11038"/>
        </ext>
      </extLst>
    </bk>
    <bk>
      <extLst>
        <ext uri="{3e2802c4-a4d2-4d8b-9148-e3be6c30e623}">
          <xlrd:rvb i="11039"/>
        </ext>
      </extLst>
    </bk>
    <bk>
      <extLst>
        <ext uri="{3e2802c4-a4d2-4d8b-9148-e3be6c30e623}">
          <xlrd:rvb i="11040"/>
        </ext>
      </extLst>
    </bk>
    <bk>
      <extLst>
        <ext uri="{3e2802c4-a4d2-4d8b-9148-e3be6c30e623}">
          <xlrd:rvb i="11041"/>
        </ext>
      </extLst>
    </bk>
    <bk>
      <extLst>
        <ext uri="{3e2802c4-a4d2-4d8b-9148-e3be6c30e623}">
          <xlrd:rvb i="11042"/>
        </ext>
      </extLst>
    </bk>
    <bk>
      <extLst>
        <ext uri="{3e2802c4-a4d2-4d8b-9148-e3be6c30e623}">
          <xlrd:rvb i="11043"/>
        </ext>
      </extLst>
    </bk>
    <bk>
      <extLst>
        <ext uri="{3e2802c4-a4d2-4d8b-9148-e3be6c30e623}">
          <xlrd:rvb i="11044"/>
        </ext>
      </extLst>
    </bk>
    <bk>
      <extLst>
        <ext uri="{3e2802c4-a4d2-4d8b-9148-e3be6c30e623}">
          <xlrd:rvb i="11045"/>
        </ext>
      </extLst>
    </bk>
    <bk>
      <extLst>
        <ext uri="{3e2802c4-a4d2-4d8b-9148-e3be6c30e623}">
          <xlrd:rvb i="11046"/>
        </ext>
      </extLst>
    </bk>
    <bk>
      <extLst>
        <ext uri="{3e2802c4-a4d2-4d8b-9148-e3be6c30e623}">
          <xlrd:rvb i="11047"/>
        </ext>
      </extLst>
    </bk>
    <bk>
      <extLst>
        <ext uri="{3e2802c4-a4d2-4d8b-9148-e3be6c30e623}">
          <xlrd:rvb i="11048"/>
        </ext>
      </extLst>
    </bk>
    <bk>
      <extLst>
        <ext uri="{3e2802c4-a4d2-4d8b-9148-e3be6c30e623}">
          <xlrd:rvb i="11049"/>
        </ext>
      </extLst>
    </bk>
    <bk>
      <extLst>
        <ext uri="{3e2802c4-a4d2-4d8b-9148-e3be6c30e623}">
          <xlrd:rvb i="11050"/>
        </ext>
      </extLst>
    </bk>
    <bk>
      <extLst>
        <ext uri="{3e2802c4-a4d2-4d8b-9148-e3be6c30e623}">
          <xlrd:rvb i="11051"/>
        </ext>
      </extLst>
    </bk>
    <bk>
      <extLst>
        <ext uri="{3e2802c4-a4d2-4d8b-9148-e3be6c30e623}">
          <xlrd:rvb i="11052"/>
        </ext>
      </extLst>
    </bk>
    <bk>
      <extLst>
        <ext uri="{3e2802c4-a4d2-4d8b-9148-e3be6c30e623}">
          <xlrd:rvb i="11053"/>
        </ext>
      </extLst>
    </bk>
    <bk>
      <extLst>
        <ext uri="{3e2802c4-a4d2-4d8b-9148-e3be6c30e623}">
          <xlrd:rvb i="11054"/>
        </ext>
      </extLst>
    </bk>
    <bk>
      <extLst>
        <ext uri="{3e2802c4-a4d2-4d8b-9148-e3be6c30e623}">
          <xlrd:rvb i="11055"/>
        </ext>
      </extLst>
    </bk>
    <bk>
      <extLst>
        <ext uri="{3e2802c4-a4d2-4d8b-9148-e3be6c30e623}">
          <xlrd:rvb i="11056"/>
        </ext>
      </extLst>
    </bk>
    <bk>
      <extLst>
        <ext uri="{3e2802c4-a4d2-4d8b-9148-e3be6c30e623}">
          <xlrd:rvb i="11057"/>
        </ext>
      </extLst>
    </bk>
    <bk>
      <extLst>
        <ext uri="{3e2802c4-a4d2-4d8b-9148-e3be6c30e623}">
          <xlrd:rvb i="11058"/>
        </ext>
      </extLst>
    </bk>
    <bk>
      <extLst>
        <ext uri="{3e2802c4-a4d2-4d8b-9148-e3be6c30e623}">
          <xlrd:rvb i="11059"/>
        </ext>
      </extLst>
    </bk>
    <bk>
      <extLst>
        <ext uri="{3e2802c4-a4d2-4d8b-9148-e3be6c30e623}">
          <xlrd:rvb i="11060"/>
        </ext>
      </extLst>
    </bk>
    <bk>
      <extLst>
        <ext uri="{3e2802c4-a4d2-4d8b-9148-e3be6c30e623}">
          <xlrd:rvb i="11061"/>
        </ext>
      </extLst>
    </bk>
    <bk>
      <extLst>
        <ext uri="{3e2802c4-a4d2-4d8b-9148-e3be6c30e623}">
          <xlrd:rvb i="11062"/>
        </ext>
      </extLst>
    </bk>
    <bk>
      <extLst>
        <ext uri="{3e2802c4-a4d2-4d8b-9148-e3be6c30e623}">
          <xlrd:rvb i="11063"/>
        </ext>
      </extLst>
    </bk>
    <bk>
      <extLst>
        <ext uri="{3e2802c4-a4d2-4d8b-9148-e3be6c30e623}">
          <xlrd:rvb i="11064"/>
        </ext>
      </extLst>
    </bk>
    <bk>
      <extLst>
        <ext uri="{3e2802c4-a4d2-4d8b-9148-e3be6c30e623}">
          <xlrd:rvb i="11065"/>
        </ext>
      </extLst>
    </bk>
    <bk>
      <extLst>
        <ext uri="{3e2802c4-a4d2-4d8b-9148-e3be6c30e623}">
          <xlrd:rvb i="11066"/>
        </ext>
      </extLst>
    </bk>
    <bk>
      <extLst>
        <ext uri="{3e2802c4-a4d2-4d8b-9148-e3be6c30e623}">
          <xlrd:rvb i="11067"/>
        </ext>
      </extLst>
    </bk>
    <bk>
      <extLst>
        <ext uri="{3e2802c4-a4d2-4d8b-9148-e3be6c30e623}">
          <xlrd:rvb i="11068"/>
        </ext>
      </extLst>
    </bk>
    <bk>
      <extLst>
        <ext uri="{3e2802c4-a4d2-4d8b-9148-e3be6c30e623}">
          <xlrd:rvb i="11069"/>
        </ext>
      </extLst>
    </bk>
    <bk>
      <extLst>
        <ext uri="{3e2802c4-a4d2-4d8b-9148-e3be6c30e623}">
          <xlrd:rvb i="11070"/>
        </ext>
      </extLst>
    </bk>
    <bk>
      <extLst>
        <ext uri="{3e2802c4-a4d2-4d8b-9148-e3be6c30e623}">
          <xlrd:rvb i="11071"/>
        </ext>
      </extLst>
    </bk>
    <bk>
      <extLst>
        <ext uri="{3e2802c4-a4d2-4d8b-9148-e3be6c30e623}">
          <xlrd:rvb i="11072"/>
        </ext>
      </extLst>
    </bk>
    <bk>
      <extLst>
        <ext uri="{3e2802c4-a4d2-4d8b-9148-e3be6c30e623}">
          <xlrd:rvb i="11073"/>
        </ext>
      </extLst>
    </bk>
    <bk>
      <extLst>
        <ext uri="{3e2802c4-a4d2-4d8b-9148-e3be6c30e623}">
          <xlrd:rvb i="11074"/>
        </ext>
      </extLst>
    </bk>
    <bk>
      <extLst>
        <ext uri="{3e2802c4-a4d2-4d8b-9148-e3be6c30e623}">
          <xlrd:rvb i="11075"/>
        </ext>
      </extLst>
    </bk>
    <bk>
      <extLst>
        <ext uri="{3e2802c4-a4d2-4d8b-9148-e3be6c30e623}">
          <xlrd:rvb i="11076"/>
        </ext>
      </extLst>
    </bk>
    <bk>
      <extLst>
        <ext uri="{3e2802c4-a4d2-4d8b-9148-e3be6c30e623}">
          <xlrd:rvb i="11077"/>
        </ext>
      </extLst>
    </bk>
    <bk>
      <extLst>
        <ext uri="{3e2802c4-a4d2-4d8b-9148-e3be6c30e623}">
          <xlrd:rvb i="11078"/>
        </ext>
      </extLst>
    </bk>
    <bk>
      <extLst>
        <ext uri="{3e2802c4-a4d2-4d8b-9148-e3be6c30e623}">
          <xlrd:rvb i="11079"/>
        </ext>
      </extLst>
    </bk>
    <bk>
      <extLst>
        <ext uri="{3e2802c4-a4d2-4d8b-9148-e3be6c30e623}">
          <xlrd:rvb i="11080"/>
        </ext>
      </extLst>
    </bk>
    <bk>
      <extLst>
        <ext uri="{3e2802c4-a4d2-4d8b-9148-e3be6c30e623}">
          <xlrd:rvb i="11081"/>
        </ext>
      </extLst>
    </bk>
    <bk>
      <extLst>
        <ext uri="{3e2802c4-a4d2-4d8b-9148-e3be6c30e623}">
          <xlrd:rvb i="11082"/>
        </ext>
      </extLst>
    </bk>
    <bk>
      <extLst>
        <ext uri="{3e2802c4-a4d2-4d8b-9148-e3be6c30e623}">
          <xlrd:rvb i="11083"/>
        </ext>
      </extLst>
    </bk>
    <bk>
      <extLst>
        <ext uri="{3e2802c4-a4d2-4d8b-9148-e3be6c30e623}">
          <xlrd:rvb i="11084"/>
        </ext>
      </extLst>
    </bk>
    <bk>
      <extLst>
        <ext uri="{3e2802c4-a4d2-4d8b-9148-e3be6c30e623}">
          <xlrd:rvb i="11085"/>
        </ext>
      </extLst>
    </bk>
    <bk>
      <extLst>
        <ext uri="{3e2802c4-a4d2-4d8b-9148-e3be6c30e623}">
          <xlrd:rvb i="11086"/>
        </ext>
      </extLst>
    </bk>
    <bk>
      <extLst>
        <ext uri="{3e2802c4-a4d2-4d8b-9148-e3be6c30e623}">
          <xlrd:rvb i="11087"/>
        </ext>
      </extLst>
    </bk>
    <bk>
      <extLst>
        <ext uri="{3e2802c4-a4d2-4d8b-9148-e3be6c30e623}">
          <xlrd:rvb i="11088"/>
        </ext>
      </extLst>
    </bk>
    <bk>
      <extLst>
        <ext uri="{3e2802c4-a4d2-4d8b-9148-e3be6c30e623}">
          <xlrd:rvb i="11089"/>
        </ext>
      </extLst>
    </bk>
    <bk>
      <extLst>
        <ext uri="{3e2802c4-a4d2-4d8b-9148-e3be6c30e623}">
          <xlrd:rvb i="11090"/>
        </ext>
      </extLst>
    </bk>
    <bk>
      <extLst>
        <ext uri="{3e2802c4-a4d2-4d8b-9148-e3be6c30e623}">
          <xlrd:rvb i="11091"/>
        </ext>
      </extLst>
    </bk>
    <bk>
      <extLst>
        <ext uri="{3e2802c4-a4d2-4d8b-9148-e3be6c30e623}">
          <xlrd:rvb i="11092"/>
        </ext>
      </extLst>
    </bk>
    <bk>
      <extLst>
        <ext uri="{3e2802c4-a4d2-4d8b-9148-e3be6c30e623}">
          <xlrd:rvb i="11093"/>
        </ext>
      </extLst>
    </bk>
    <bk>
      <extLst>
        <ext uri="{3e2802c4-a4d2-4d8b-9148-e3be6c30e623}">
          <xlrd:rvb i="11094"/>
        </ext>
      </extLst>
    </bk>
    <bk>
      <extLst>
        <ext uri="{3e2802c4-a4d2-4d8b-9148-e3be6c30e623}">
          <xlrd:rvb i="11095"/>
        </ext>
      </extLst>
    </bk>
    <bk>
      <extLst>
        <ext uri="{3e2802c4-a4d2-4d8b-9148-e3be6c30e623}">
          <xlrd:rvb i="11096"/>
        </ext>
      </extLst>
    </bk>
    <bk>
      <extLst>
        <ext uri="{3e2802c4-a4d2-4d8b-9148-e3be6c30e623}">
          <xlrd:rvb i="11097"/>
        </ext>
      </extLst>
    </bk>
    <bk>
      <extLst>
        <ext uri="{3e2802c4-a4d2-4d8b-9148-e3be6c30e623}">
          <xlrd:rvb i="11098"/>
        </ext>
      </extLst>
    </bk>
    <bk>
      <extLst>
        <ext uri="{3e2802c4-a4d2-4d8b-9148-e3be6c30e623}">
          <xlrd:rvb i="11099"/>
        </ext>
      </extLst>
    </bk>
    <bk>
      <extLst>
        <ext uri="{3e2802c4-a4d2-4d8b-9148-e3be6c30e623}">
          <xlrd:rvb i="11100"/>
        </ext>
      </extLst>
    </bk>
    <bk>
      <extLst>
        <ext uri="{3e2802c4-a4d2-4d8b-9148-e3be6c30e623}">
          <xlrd:rvb i="11101"/>
        </ext>
      </extLst>
    </bk>
    <bk>
      <extLst>
        <ext uri="{3e2802c4-a4d2-4d8b-9148-e3be6c30e623}">
          <xlrd:rvb i="11102"/>
        </ext>
      </extLst>
    </bk>
    <bk>
      <extLst>
        <ext uri="{3e2802c4-a4d2-4d8b-9148-e3be6c30e623}">
          <xlrd:rvb i="11103"/>
        </ext>
      </extLst>
    </bk>
    <bk>
      <extLst>
        <ext uri="{3e2802c4-a4d2-4d8b-9148-e3be6c30e623}">
          <xlrd:rvb i="11104"/>
        </ext>
      </extLst>
    </bk>
    <bk>
      <extLst>
        <ext uri="{3e2802c4-a4d2-4d8b-9148-e3be6c30e623}">
          <xlrd:rvb i="11105"/>
        </ext>
      </extLst>
    </bk>
    <bk>
      <extLst>
        <ext uri="{3e2802c4-a4d2-4d8b-9148-e3be6c30e623}">
          <xlrd:rvb i="11106"/>
        </ext>
      </extLst>
    </bk>
    <bk>
      <extLst>
        <ext uri="{3e2802c4-a4d2-4d8b-9148-e3be6c30e623}">
          <xlrd:rvb i="11107"/>
        </ext>
      </extLst>
    </bk>
    <bk>
      <extLst>
        <ext uri="{3e2802c4-a4d2-4d8b-9148-e3be6c30e623}">
          <xlrd:rvb i="11108"/>
        </ext>
      </extLst>
    </bk>
    <bk>
      <extLst>
        <ext uri="{3e2802c4-a4d2-4d8b-9148-e3be6c30e623}">
          <xlrd:rvb i="11109"/>
        </ext>
      </extLst>
    </bk>
    <bk>
      <extLst>
        <ext uri="{3e2802c4-a4d2-4d8b-9148-e3be6c30e623}">
          <xlrd:rvb i="11110"/>
        </ext>
      </extLst>
    </bk>
    <bk>
      <extLst>
        <ext uri="{3e2802c4-a4d2-4d8b-9148-e3be6c30e623}">
          <xlrd:rvb i="11111"/>
        </ext>
      </extLst>
    </bk>
    <bk>
      <extLst>
        <ext uri="{3e2802c4-a4d2-4d8b-9148-e3be6c30e623}">
          <xlrd:rvb i="11112"/>
        </ext>
      </extLst>
    </bk>
    <bk>
      <extLst>
        <ext uri="{3e2802c4-a4d2-4d8b-9148-e3be6c30e623}">
          <xlrd:rvb i="11113"/>
        </ext>
      </extLst>
    </bk>
    <bk>
      <extLst>
        <ext uri="{3e2802c4-a4d2-4d8b-9148-e3be6c30e623}">
          <xlrd:rvb i="11114"/>
        </ext>
      </extLst>
    </bk>
    <bk>
      <extLst>
        <ext uri="{3e2802c4-a4d2-4d8b-9148-e3be6c30e623}">
          <xlrd:rvb i="11115"/>
        </ext>
      </extLst>
    </bk>
    <bk>
      <extLst>
        <ext uri="{3e2802c4-a4d2-4d8b-9148-e3be6c30e623}">
          <xlrd:rvb i="11116"/>
        </ext>
      </extLst>
    </bk>
    <bk>
      <extLst>
        <ext uri="{3e2802c4-a4d2-4d8b-9148-e3be6c30e623}">
          <xlrd:rvb i="11117"/>
        </ext>
      </extLst>
    </bk>
    <bk>
      <extLst>
        <ext uri="{3e2802c4-a4d2-4d8b-9148-e3be6c30e623}">
          <xlrd:rvb i="11118"/>
        </ext>
      </extLst>
    </bk>
    <bk>
      <extLst>
        <ext uri="{3e2802c4-a4d2-4d8b-9148-e3be6c30e623}">
          <xlrd:rvb i="11119"/>
        </ext>
      </extLst>
    </bk>
    <bk>
      <extLst>
        <ext uri="{3e2802c4-a4d2-4d8b-9148-e3be6c30e623}">
          <xlrd:rvb i="11120"/>
        </ext>
      </extLst>
    </bk>
    <bk>
      <extLst>
        <ext uri="{3e2802c4-a4d2-4d8b-9148-e3be6c30e623}">
          <xlrd:rvb i="11121"/>
        </ext>
      </extLst>
    </bk>
    <bk>
      <extLst>
        <ext uri="{3e2802c4-a4d2-4d8b-9148-e3be6c30e623}">
          <xlrd:rvb i="11122"/>
        </ext>
      </extLst>
    </bk>
    <bk>
      <extLst>
        <ext uri="{3e2802c4-a4d2-4d8b-9148-e3be6c30e623}">
          <xlrd:rvb i="11123"/>
        </ext>
      </extLst>
    </bk>
    <bk>
      <extLst>
        <ext uri="{3e2802c4-a4d2-4d8b-9148-e3be6c30e623}">
          <xlrd:rvb i="11124"/>
        </ext>
      </extLst>
    </bk>
    <bk>
      <extLst>
        <ext uri="{3e2802c4-a4d2-4d8b-9148-e3be6c30e623}">
          <xlrd:rvb i="11125"/>
        </ext>
      </extLst>
    </bk>
    <bk>
      <extLst>
        <ext uri="{3e2802c4-a4d2-4d8b-9148-e3be6c30e623}">
          <xlrd:rvb i="11126"/>
        </ext>
      </extLst>
    </bk>
    <bk>
      <extLst>
        <ext uri="{3e2802c4-a4d2-4d8b-9148-e3be6c30e623}">
          <xlrd:rvb i="11127"/>
        </ext>
      </extLst>
    </bk>
    <bk>
      <extLst>
        <ext uri="{3e2802c4-a4d2-4d8b-9148-e3be6c30e623}">
          <xlrd:rvb i="11128"/>
        </ext>
      </extLst>
    </bk>
    <bk>
      <extLst>
        <ext uri="{3e2802c4-a4d2-4d8b-9148-e3be6c30e623}">
          <xlrd:rvb i="11129"/>
        </ext>
      </extLst>
    </bk>
    <bk>
      <extLst>
        <ext uri="{3e2802c4-a4d2-4d8b-9148-e3be6c30e623}">
          <xlrd:rvb i="11130"/>
        </ext>
      </extLst>
    </bk>
    <bk>
      <extLst>
        <ext uri="{3e2802c4-a4d2-4d8b-9148-e3be6c30e623}">
          <xlrd:rvb i="11131"/>
        </ext>
      </extLst>
    </bk>
    <bk>
      <extLst>
        <ext uri="{3e2802c4-a4d2-4d8b-9148-e3be6c30e623}">
          <xlrd:rvb i="11132"/>
        </ext>
      </extLst>
    </bk>
    <bk>
      <extLst>
        <ext uri="{3e2802c4-a4d2-4d8b-9148-e3be6c30e623}">
          <xlrd:rvb i="11133"/>
        </ext>
      </extLst>
    </bk>
    <bk>
      <extLst>
        <ext uri="{3e2802c4-a4d2-4d8b-9148-e3be6c30e623}">
          <xlrd:rvb i="11134"/>
        </ext>
      </extLst>
    </bk>
    <bk>
      <extLst>
        <ext uri="{3e2802c4-a4d2-4d8b-9148-e3be6c30e623}">
          <xlrd:rvb i="11135"/>
        </ext>
      </extLst>
    </bk>
    <bk>
      <extLst>
        <ext uri="{3e2802c4-a4d2-4d8b-9148-e3be6c30e623}">
          <xlrd:rvb i="11136"/>
        </ext>
      </extLst>
    </bk>
    <bk>
      <extLst>
        <ext uri="{3e2802c4-a4d2-4d8b-9148-e3be6c30e623}">
          <xlrd:rvb i="11137"/>
        </ext>
      </extLst>
    </bk>
    <bk>
      <extLst>
        <ext uri="{3e2802c4-a4d2-4d8b-9148-e3be6c30e623}">
          <xlrd:rvb i="11138"/>
        </ext>
      </extLst>
    </bk>
    <bk>
      <extLst>
        <ext uri="{3e2802c4-a4d2-4d8b-9148-e3be6c30e623}">
          <xlrd:rvb i="11139"/>
        </ext>
      </extLst>
    </bk>
    <bk>
      <extLst>
        <ext uri="{3e2802c4-a4d2-4d8b-9148-e3be6c30e623}">
          <xlrd:rvb i="11140"/>
        </ext>
      </extLst>
    </bk>
    <bk>
      <extLst>
        <ext uri="{3e2802c4-a4d2-4d8b-9148-e3be6c30e623}">
          <xlrd:rvb i="11141"/>
        </ext>
      </extLst>
    </bk>
    <bk>
      <extLst>
        <ext uri="{3e2802c4-a4d2-4d8b-9148-e3be6c30e623}">
          <xlrd:rvb i="11142"/>
        </ext>
      </extLst>
    </bk>
    <bk>
      <extLst>
        <ext uri="{3e2802c4-a4d2-4d8b-9148-e3be6c30e623}">
          <xlrd:rvb i="11143"/>
        </ext>
      </extLst>
    </bk>
    <bk>
      <extLst>
        <ext uri="{3e2802c4-a4d2-4d8b-9148-e3be6c30e623}">
          <xlrd:rvb i="11144"/>
        </ext>
      </extLst>
    </bk>
    <bk>
      <extLst>
        <ext uri="{3e2802c4-a4d2-4d8b-9148-e3be6c30e623}">
          <xlrd:rvb i="11145"/>
        </ext>
      </extLst>
    </bk>
    <bk>
      <extLst>
        <ext uri="{3e2802c4-a4d2-4d8b-9148-e3be6c30e623}">
          <xlrd:rvb i="11146"/>
        </ext>
      </extLst>
    </bk>
    <bk>
      <extLst>
        <ext uri="{3e2802c4-a4d2-4d8b-9148-e3be6c30e623}">
          <xlrd:rvb i="11147"/>
        </ext>
      </extLst>
    </bk>
    <bk>
      <extLst>
        <ext uri="{3e2802c4-a4d2-4d8b-9148-e3be6c30e623}">
          <xlrd:rvb i="11148"/>
        </ext>
      </extLst>
    </bk>
    <bk>
      <extLst>
        <ext uri="{3e2802c4-a4d2-4d8b-9148-e3be6c30e623}">
          <xlrd:rvb i="11149"/>
        </ext>
      </extLst>
    </bk>
    <bk>
      <extLst>
        <ext uri="{3e2802c4-a4d2-4d8b-9148-e3be6c30e623}">
          <xlrd:rvb i="11150"/>
        </ext>
      </extLst>
    </bk>
    <bk>
      <extLst>
        <ext uri="{3e2802c4-a4d2-4d8b-9148-e3be6c30e623}">
          <xlrd:rvb i="11151"/>
        </ext>
      </extLst>
    </bk>
    <bk>
      <extLst>
        <ext uri="{3e2802c4-a4d2-4d8b-9148-e3be6c30e623}">
          <xlrd:rvb i="11152"/>
        </ext>
      </extLst>
    </bk>
    <bk>
      <extLst>
        <ext uri="{3e2802c4-a4d2-4d8b-9148-e3be6c30e623}">
          <xlrd:rvb i="11153"/>
        </ext>
      </extLst>
    </bk>
    <bk>
      <extLst>
        <ext uri="{3e2802c4-a4d2-4d8b-9148-e3be6c30e623}">
          <xlrd:rvb i="11154"/>
        </ext>
      </extLst>
    </bk>
    <bk>
      <extLst>
        <ext uri="{3e2802c4-a4d2-4d8b-9148-e3be6c30e623}">
          <xlrd:rvb i="11155"/>
        </ext>
      </extLst>
    </bk>
    <bk>
      <extLst>
        <ext uri="{3e2802c4-a4d2-4d8b-9148-e3be6c30e623}">
          <xlrd:rvb i="11156"/>
        </ext>
      </extLst>
    </bk>
    <bk>
      <extLst>
        <ext uri="{3e2802c4-a4d2-4d8b-9148-e3be6c30e623}">
          <xlrd:rvb i="11157"/>
        </ext>
      </extLst>
    </bk>
    <bk>
      <extLst>
        <ext uri="{3e2802c4-a4d2-4d8b-9148-e3be6c30e623}">
          <xlrd:rvb i="11158"/>
        </ext>
      </extLst>
    </bk>
    <bk>
      <extLst>
        <ext uri="{3e2802c4-a4d2-4d8b-9148-e3be6c30e623}">
          <xlrd:rvb i="11159"/>
        </ext>
      </extLst>
    </bk>
    <bk>
      <extLst>
        <ext uri="{3e2802c4-a4d2-4d8b-9148-e3be6c30e623}">
          <xlrd:rvb i="11160"/>
        </ext>
      </extLst>
    </bk>
    <bk>
      <extLst>
        <ext uri="{3e2802c4-a4d2-4d8b-9148-e3be6c30e623}">
          <xlrd:rvb i="11161"/>
        </ext>
      </extLst>
    </bk>
    <bk>
      <extLst>
        <ext uri="{3e2802c4-a4d2-4d8b-9148-e3be6c30e623}">
          <xlrd:rvb i="11162"/>
        </ext>
      </extLst>
    </bk>
    <bk>
      <extLst>
        <ext uri="{3e2802c4-a4d2-4d8b-9148-e3be6c30e623}">
          <xlrd:rvb i="11163"/>
        </ext>
      </extLst>
    </bk>
    <bk>
      <extLst>
        <ext uri="{3e2802c4-a4d2-4d8b-9148-e3be6c30e623}">
          <xlrd:rvb i="11164"/>
        </ext>
      </extLst>
    </bk>
    <bk>
      <extLst>
        <ext uri="{3e2802c4-a4d2-4d8b-9148-e3be6c30e623}">
          <xlrd:rvb i="11165"/>
        </ext>
      </extLst>
    </bk>
    <bk>
      <extLst>
        <ext uri="{3e2802c4-a4d2-4d8b-9148-e3be6c30e623}">
          <xlrd:rvb i="11166"/>
        </ext>
      </extLst>
    </bk>
    <bk>
      <extLst>
        <ext uri="{3e2802c4-a4d2-4d8b-9148-e3be6c30e623}">
          <xlrd:rvb i="11167"/>
        </ext>
      </extLst>
    </bk>
    <bk>
      <extLst>
        <ext uri="{3e2802c4-a4d2-4d8b-9148-e3be6c30e623}">
          <xlrd:rvb i="11168"/>
        </ext>
      </extLst>
    </bk>
    <bk>
      <extLst>
        <ext uri="{3e2802c4-a4d2-4d8b-9148-e3be6c30e623}">
          <xlrd:rvb i="11169"/>
        </ext>
      </extLst>
    </bk>
    <bk>
      <extLst>
        <ext uri="{3e2802c4-a4d2-4d8b-9148-e3be6c30e623}">
          <xlrd:rvb i="11170"/>
        </ext>
      </extLst>
    </bk>
    <bk>
      <extLst>
        <ext uri="{3e2802c4-a4d2-4d8b-9148-e3be6c30e623}">
          <xlrd:rvb i="11171"/>
        </ext>
      </extLst>
    </bk>
    <bk>
      <extLst>
        <ext uri="{3e2802c4-a4d2-4d8b-9148-e3be6c30e623}">
          <xlrd:rvb i="11172"/>
        </ext>
      </extLst>
    </bk>
    <bk>
      <extLst>
        <ext uri="{3e2802c4-a4d2-4d8b-9148-e3be6c30e623}">
          <xlrd:rvb i="11173"/>
        </ext>
      </extLst>
    </bk>
    <bk>
      <extLst>
        <ext uri="{3e2802c4-a4d2-4d8b-9148-e3be6c30e623}">
          <xlrd:rvb i="11174"/>
        </ext>
      </extLst>
    </bk>
    <bk>
      <extLst>
        <ext uri="{3e2802c4-a4d2-4d8b-9148-e3be6c30e623}">
          <xlrd:rvb i="11175"/>
        </ext>
      </extLst>
    </bk>
    <bk>
      <extLst>
        <ext uri="{3e2802c4-a4d2-4d8b-9148-e3be6c30e623}">
          <xlrd:rvb i="11176"/>
        </ext>
      </extLst>
    </bk>
    <bk>
      <extLst>
        <ext uri="{3e2802c4-a4d2-4d8b-9148-e3be6c30e623}">
          <xlrd:rvb i="11177"/>
        </ext>
      </extLst>
    </bk>
    <bk>
      <extLst>
        <ext uri="{3e2802c4-a4d2-4d8b-9148-e3be6c30e623}">
          <xlrd:rvb i="11178"/>
        </ext>
      </extLst>
    </bk>
    <bk>
      <extLst>
        <ext uri="{3e2802c4-a4d2-4d8b-9148-e3be6c30e623}">
          <xlrd:rvb i="11179"/>
        </ext>
      </extLst>
    </bk>
    <bk>
      <extLst>
        <ext uri="{3e2802c4-a4d2-4d8b-9148-e3be6c30e623}">
          <xlrd:rvb i="11180"/>
        </ext>
      </extLst>
    </bk>
    <bk>
      <extLst>
        <ext uri="{3e2802c4-a4d2-4d8b-9148-e3be6c30e623}">
          <xlrd:rvb i="11181"/>
        </ext>
      </extLst>
    </bk>
    <bk>
      <extLst>
        <ext uri="{3e2802c4-a4d2-4d8b-9148-e3be6c30e623}">
          <xlrd:rvb i="11182"/>
        </ext>
      </extLst>
    </bk>
    <bk>
      <extLst>
        <ext uri="{3e2802c4-a4d2-4d8b-9148-e3be6c30e623}">
          <xlrd:rvb i="11183"/>
        </ext>
      </extLst>
    </bk>
    <bk>
      <extLst>
        <ext uri="{3e2802c4-a4d2-4d8b-9148-e3be6c30e623}">
          <xlrd:rvb i="11184"/>
        </ext>
      </extLst>
    </bk>
    <bk>
      <extLst>
        <ext uri="{3e2802c4-a4d2-4d8b-9148-e3be6c30e623}">
          <xlrd:rvb i="11185"/>
        </ext>
      </extLst>
    </bk>
    <bk>
      <extLst>
        <ext uri="{3e2802c4-a4d2-4d8b-9148-e3be6c30e623}">
          <xlrd:rvb i="11186"/>
        </ext>
      </extLst>
    </bk>
    <bk>
      <extLst>
        <ext uri="{3e2802c4-a4d2-4d8b-9148-e3be6c30e623}">
          <xlrd:rvb i="11187"/>
        </ext>
      </extLst>
    </bk>
    <bk>
      <extLst>
        <ext uri="{3e2802c4-a4d2-4d8b-9148-e3be6c30e623}">
          <xlrd:rvb i="11188"/>
        </ext>
      </extLst>
    </bk>
    <bk>
      <extLst>
        <ext uri="{3e2802c4-a4d2-4d8b-9148-e3be6c30e623}">
          <xlrd:rvb i="11189"/>
        </ext>
      </extLst>
    </bk>
    <bk>
      <extLst>
        <ext uri="{3e2802c4-a4d2-4d8b-9148-e3be6c30e623}">
          <xlrd:rvb i="11190"/>
        </ext>
      </extLst>
    </bk>
    <bk>
      <extLst>
        <ext uri="{3e2802c4-a4d2-4d8b-9148-e3be6c30e623}">
          <xlrd:rvb i="11191"/>
        </ext>
      </extLst>
    </bk>
    <bk>
      <extLst>
        <ext uri="{3e2802c4-a4d2-4d8b-9148-e3be6c30e623}">
          <xlrd:rvb i="11192"/>
        </ext>
      </extLst>
    </bk>
    <bk>
      <extLst>
        <ext uri="{3e2802c4-a4d2-4d8b-9148-e3be6c30e623}">
          <xlrd:rvb i="11193"/>
        </ext>
      </extLst>
    </bk>
    <bk>
      <extLst>
        <ext uri="{3e2802c4-a4d2-4d8b-9148-e3be6c30e623}">
          <xlrd:rvb i="11194"/>
        </ext>
      </extLst>
    </bk>
    <bk>
      <extLst>
        <ext uri="{3e2802c4-a4d2-4d8b-9148-e3be6c30e623}">
          <xlrd:rvb i="11195"/>
        </ext>
      </extLst>
    </bk>
    <bk>
      <extLst>
        <ext uri="{3e2802c4-a4d2-4d8b-9148-e3be6c30e623}">
          <xlrd:rvb i="11196"/>
        </ext>
      </extLst>
    </bk>
    <bk>
      <extLst>
        <ext uri="{3e2802c4-a4d2-4d8b-9148-e3be6c30e623}">
          <xlrd:rvb i="11197"/>
        </ext>
      </extLst>
    </bk>
    <bk>
      <extLst>
        <ext uri="{3e2802c4-a4d2-4d8b-9148-e3be6c30e623}">
          <xlrd:rvb i="11198"/>
        </ext>
      </extLst>
    </bk>
    <bk>
      <extLst>
        <ext uri="{3e2802c4-a4d2-4d8b-9148-e3be6c30e623}">
          <xlrd:rvb i="11199"/>
        </ext>
      </extLst>
    </bk>
    <bk>
      <extLst>
        <ext uri="{3e2802c4-a4d2-4d8b-9148-e3be6c30e623}">
          <xlrd:rvb i="11200"/>
        </ext>
      </extLst>
    </bk>
    <bk>
      <extLst>
        <ext uri="{3e2802c4-a4d2-4d8b-9148-e3be6c30e623}">
          <xlrd:rvb i="11201"/>
        </ext>
      </extLst>
    </bk>
    <bk>
      <extLst>
        <ext uri="{3e2802c4-a4d2-4d8b-9148-e3be6c30e623}">
          <xlrd:rvb i="11202"/>
        </ext>
      </extLst>
    </bk>
    <bk>
      <extLst>
        <ext uri="{3e2802c4-a4d2-4d8b-9148-e3be6c30e623}">
          <xlrd:rvb i="11203"/>
        </ext>
      </extLst>
    </bk>
    <bk>
      <extLst>
        <ext uri="{3e2802c4-a4d2-4d8b-9148-e3be6c30e623}">
          <xlrd:rvb i="11204"/>
        </ext>
      </extLst>
    </bk>
    <bk>
      <extLst>
        <ext uri="{3e2802c4-a4d2-4d8b-9148-e3be6c30e623}">
          <xlrd:rvb i="11205"/>
        </ext>
      </extLst>
    </bk>
    <bk>
      <extLst>
        <ext uri="{3e2802c4-a4d2-4d8b-9148-e3be6c30e623}">
          <xlrd:rvb i="11206"/>
        </ext>
      </extLst>
    </bk>
    <bk>
      <extLst>
        <ext uri="{3e2802c4-a4d2-4d8b-9148-e3be6c30e623}">
          <xlrd:rvb i="11207"/>
        </ext>
      </extLst>
    </bk>
    <bk>
      <extLst>
        <ext uri="{3e2802c4-a4d2-4d8b-9148-e3be6c30e623}">
          <xlrd:rvb i="11208"/>
        </ext>
      </extLst>
    </bk>
    <bk>
      <extLst>
        <ext uri="{3e2802c4-a4d2-4d8b-9148-e3be6c30e623}">
          <xlrd:rvb i="11209"/>
        </ext>
      </extLst>
    </bk>
    <bk>
      <extLst>
        <ext uri="{3e2802c4-a4d2-4d8b-9148-e3be6c30e623}">
          <xlrd:rvb i="11210"/>
        </ext>
      </extLst>
    </bk>
    <bk>
      <extLst>
        <ext uri="{3e2802c4-a4d2-4d8b-9148-e3be6c30e623}">
          <xlrd:rvb i="11211"/>
        </ext>
      </extLst>
    </bk>
    <bk>
      <extLst>
        <ext uri="{3e2802c4-a4d2-4d8b-9148-e3be6c30e623}">
          <xlrd:rvb i="11212"/>
        </ext>
      </extLst>
    </bk>
    <bk>
      <extLst>
        <ext uri="{3e2802c4-a4d2-4d8b-9148-e3be6c30e623}">
          <xlrd:rvb i="11213"/>
        </ext>
      </extLst>
    </bk>
    <bk>
      <extLst>
        <ext uri="{3e2802c4-a4d2-4d8b-9148-e3be6c30e623}">
          <xlrd:rvb i="11214"/>
        </ext>
      </extLst>
    </bk>
    <bk>
      <extLst>
        <ext uri="{3e2802c4-a4d2-4d8b-9148-e3be6c30e623}">
          <xlrd:rvb i="11215"/>
        </ext>
      </extLst>
    </bk>
    <bk>
      <extLst>
        <ext uri="{3e2802c4-a4d2-4d8b-9148-e3be6c30e623}">
          <xlrd:rvb i="11216"/>
        </ext>
      </extLst>
    </bk>
    <bk>
      <extLst>
        <ext uri="{3e2802c4-a4d2-4d8b-9148-e3be6c30e623}">
          <xlrd:rvb i="11217"/>
        </ext>
      </extLst>
    </bk>
    <bk>
      <extLst>
        <ext uri="{3e2802c4-a4d2-4d8b-9148-e3be6c30e623}">
          <xlrd:rvb i="11218"/>
        </ext>
      </extLst>
    </bk>
    <bk>
      <extLst>
        <ext uri="{3e2802c4-a4d2-4d8b-9148-e3be6c30e623}">
          <xlrd:rvb i="11219"/>
        </ext>
      </extLst>
    </bk>
    <bk>
      <extLst>
        <ext uri="{3e2802c4-a4d2-4d8b-9148-e3be6c30e623}">
          <xlrd:rvb i="11220"/>
        </ext>
      </extLst>
    </bk>
    <bk>
      <extLst>
        <ext uri="{3e2802c4-a4d2-4d8b-9148-e3be6c30e623}">
          <xlrd:rvb i="11221"/>
        </ext>
      </extLst>
    </bk>
    <bk>
      <extLst>
        <ext uri="{3e2802c4-a4d2-4d8b-9148-e3be6c30e623}">
          <xlrd:rvb i="11222"/>
        </ext>
      </extLst>
    </bk>
    <bk>
      <extLst>
        <ext uri="{3e2802c4-a4d2-4d8b-9148-e3be6c30e623}">
          <xlrd:rvb i="11223"/>
        </ext>
      </extLst>
    </bk>
    <bk>
      <extLst>
        <ext uri="{3e2802c4-a4d2-4d8b-9148-e3be6c30e623}">
          <xlrd:rvb i="11224"/>
        </ext>
      </extLst>
    </bk>
    <bk>
      <extLst>
        <ext uri="{3e2802c4-a4d2-4d8b-9148-e3be6c30e623}">
          <xlrd:rvb i="11225"/>
        </ext>
      </extLst>
    </bk>
    <bk>
      <extLst>
        <ext uri="{3e2802c4-a4d2-4d8b-9148-e3be6c30e623}">
          <xlrd:rvb i="11226"/>
        </ext>
      </extLst>
    </bk>
    <bk>
      <extLst>
        <ext uri="{3e2802c4-a4d2-4d8b-9148-e3be6c30e623}">
          <xlrd:rvb i="11227"/>
        </ext>
      </extLst>
    </bk>
    <bk>
      <extLst>
        <ext uri="{3e2802c4-a4d2-4d8b-9148-e3be6c30e623}">
          <xlrd:rvb i="11228"/>
        </ext>
      </extLst>
    </bk>
    <bk>
      <extLst>
        <ext uri="{3e2802c4-a4d2-4d8b-9148-e3be6c30e623}">
          <xlrd:rvb i="11229"/>
        </ext>
      </extLst>
    </bk>
    <bk>
      <extLst>
        <ext uri="{3e2802c4-a4d2-4d8b-9148-e3be6c30e623}">
          <xlrd:rvb i="11230"/>
        </ext>
      </extLst>
    </bk>
    <bk>
      <extLst>
        <ext uri="{3e2802c4-a4d2-4d8b-9148-e3be6c30e623}">
          <xlrd:rvb i="11231"/>
        </ext>
      </extLst>
    </bk>
    <bk>
      <extLst>
        <ext uri="{3e2802c4-a4d2-4d8b-9148-e3be6c30e623}">
          <xlrd:rvb i="11232"/>
        </ext>
      </extLst>
    </bk>
    <bk>
      <extLst>
        <ext uri="{3e2802c4-a4d2-4d8b-9148-e3be6c30e623}">
          <xlrd:rvb i="11233"/>
        </ext>
      </extLst>
    </bk>
    <bk>
      <extLst>
        <ext uri="{3e2802c4-a4d2-4d8b-9148-e3be6c30e623}">
          <xlrd:rvb i="11234"/>
        </ext>
      </extLst>
    </bk>
    <bk>
      <extLst>
        <ext uri="{3e2802c4-a4d2-4d8b-9148-e3be6c30e623}">
          <xlrd:rvb i="11235"/>
        </ext>
      </extLst>
    </bk>
    <bk>
      <extLst>
        <ext uri="{3e2802c4-a4d2-4d8b-9148-e3be6c30e623}">
          <xlrd:rvb i="11236"/>
        </ext>
      </extLst>
    </bk>
    <bk>
      <extLst>
        <ext uri="{3e2802c4-a4d2-4d8b-9148-e3be6c30e623}">
          <xlrd:rvb i="11237"/>
        </ext>
      </extLst>
    </bk>
    <bk>
      <extLst>
        <ext uri="{3e2802c4-a4d2-4d8b-9148-e3be6c30e623}">
          <xlrd:rvb i="11238"/>
        </ext>
      </extLst>
    </bk>
    <bk>
      <extLst>
        <ext uri="{3e2802c4-a4d2-4d8b-9148-e3be6c30e623}">
          <xlrd:rvb i="11239"/>
        </ext>
      </extLst>
    </bk>
    <bk>
      <extLst>
        <ext uri="{3e2802c4-a4d2-4d8b-9148-e3be6c30e623}">
          <xlrd:rvb i="11240"/>
        </ext>
      </extLst>
    </bk>
    <bk>
      <extLst>
        <ext uri="{3e2802c4-a4d2-4d8b-9148-e3be6c30e623}">
          <xlrd:rvb i="11241"/>
        </ext>
      </extLst>
    </bk>
    <bk>
      <extLst>
        <ext uri="{3e2802c4-a4d2-4d8b-9148-e3be6c30e623}">
          <xlrd:rvb i="11242"/>
        </ext>
      </extLst>
    </bk>
    <bk>
      <extLst>
        <ext uri="{3e2802c4-a4d2-4d8b-9148-e3be6c30e623}">
          <xlrd:rvb i="11243"/>
        </ext>
      </extLst>
    </bk>
    <bk>
      <extLst>
        <ext uri="{3e2802c4-a4d2-4d8b-9148-e3be6c30e623}">
          <xlrd:rvb i="11244"/>
        </ext>
      </extLst>
    </bk>
    <bk>
      <extLst>
        <ext uri="{3e2802c4-a4d2-4d8b-9148-e3be6c30e623}">
          <xlrd:rvb i="11245"/>
        </ext>
      </extLst>
    </bk>
    <bk>
      <extLst>
        <ext uri="{3e2802c4-a4d2-4d8b-9148-e3be6c30e623}">
          <xlrd:rvb i="11246"/>
        </ext>
      </extLst>
    </bk>
    <bk>
      <extLst>
        <ext uri="{3e2802c4-a4d2-4d8b-9148-e3be6c30e623}">
          <xlrd:rvb i="11247"/>
        </ext>
      </extLst>
    </bk>
    <bk>
      <extLst>
        <ext uri="{3e2802c4-a4d2-4d8b-9148-e3be6c30e623}">
          <xlrd:rvb i="11248"/>
        </ext>
      </extLst>
    </bk>
    <bk>
      <extLst>
        <ext uri="{3e2802c4-a4d2-4d8b-9148-e3be6c30e623}">
          <xlrd:rvb i="11249"/>
        </ext>
      </extLst>
    </bk>
    <bk>
      <extLst>
        <ext uri="{3e2802c4-a4d2-4d8b-9148-e3be6c30e623}">
          <xlrd:rvb i="11250"/>
        </ext>
      </extLst>
    </bk>
    <bk>
      <extLst>
        <ext uri="{3e2802c4-a4d2-4d8b-9148-e3be6c30e623}">
          <xlrd:rvb i="11251"/>
        </ext>
      </extLst>
    </bk>
    <bk>
      <extLst>
        <ext uri="{3e2802c4-a4d2-4d8b-9148-e3be6c30e623}">
          <xlrd:rvb i="11252"/>
        </ext>
      </extLst>
    </bk>
    <bk>
      <extLst>
        <ext uri="{3e2802c4-a4d2-4d8b-9148-e3be6c30e623}">
          <xlrd:rvb i="11253"/>
        </ext>
      </extLst>
    </bk>
    <bk>
      <extLst>
        <ext uri="{3e2802c4-a4d2-4d8b-9148-e3be6c30e623}">
          <xlrd:rvb i="11254"/>
        </ext>
      </extLst>
    </bk>
    <bk>
      <extLst>
        <ext uri="{3e2802c4-a4d2-4d8b-9148-e3be6c30e623}">
          <xlrd:rvb i="11255"/>
        </ext>
      </extLst>
    </bk>
    <bk>
      <extLst>
        <ext uri="{3e2802c4-a4d2-4d8b-9148-e3be6c30e623}">
          <xlrd:rvb i="11256"/>
        </ext>
      </extLst>
    </bk>
    <bk>
      <extLst>
        <ext uri="{3e2802c4-a4d2-4d8b-9148-e3be6c30e623}">
          <xlrd:rvb i="11257"/>
        </ext>
      </extLst>
    </bk>
    <bk>
      <extLst>
        <ext uri="{3e2802c4-a4d2-4d8b-9148-e3be6c30e623}">
          <xlrd:rvb i="11258"/>
        </ext>
      </extLst>
    </bk>
    <bk>
      <extLst>
        <ext uri="{3e2802c4-a4d2-4d8b-9148-e3be6c30e623}">
          <xlrd:rvb i="11259"/>
        </ext>
      </extLst>
    </bk>
    <bk>
      <extLst>
        <ext uri="{3e2802c4-a4d2-4d8b-9148-e3be6c30e623}">
          <xlrd:rvb i="11260"/>
        </ext>
      </extLst>
    </bk>
    <bk>
      <extLst>
        <ext uri="{3e2802c4-a4d2-4d8b-9148-e3be6c30e623}">
          <xlrd:rvb i="11261"/>
        </ext>
      </extLst>
    </bk>
    <bk>
      <extLst>
        <ext uri="{3e2802c4-a4d2-4d8b-9148-e3be6c30e623}">
          <xlrd:rvb i="11262"/>
        </ext>
      </extLst>
    </bk>
    <bk>
      <extLst>
        <ext uri="{3e2802c4-a4d2-4d8b-9148-e3be6c30e623}">
          <xlrd:rvb i="11263"/>
        </ext>
      </extLst>
    </bk>
    <bk>
      <extLst>
        <ext uri="{3e2802c4-a4d2-4d8b-9148-e3be6c30e623}">
          <xlrd:rvb i="11264"/>
        </ext>
      </extLst>
    </bk>
    <bk>
      <extLst>
        <ext uri="{3e2802c4-a4d2-4d8b-9148-e3be6c30e623}">
          <xlrd:rvb i="11265"/>
        </ext>
      </extLst>
    </bk>
    <bk>
      <extLst>
        <ext uri="{3e2802c4-a4d2-4d8b-9148-e3be6c30e623}">
          <xlrd:rvb i="11266"/>
        </ext>
      </extLst>
    </bk>
    <bk>
      <extLst>
        <ext uri="{3e2802c4-a4d2-4d8b-9148-e3be6c30e623}">
          <xlrd:rvb i="11267"/>
        </ext>
      </extLst>
    </bk>
    <bk>
      <extLst>
        <ext uri="{3e2802c4-a4d2-4d8b-9148-e3be6c30e623}">
          <xlrd:rvb i="11268"/>
        </ext>
      </extLst>
    </bk>
    <bk>
      <extLst>
        <ext uri="{3e2802c4-a4d2-4d8b-9148-e3be6c30e623}">
          <xlrd:rvb i="11269"/>
        </ext>
      </extLst>
    </bk>
    <bk>
      <extLst>
        <ext uri="{3e2802c4-a4d2-4d8b-9148-e3be6c30e623}">
          <xlrd:rvb i="11270"/>
        </ext>
      </extLst>
    </bk>
    <bk>
      <extLst>
        <ext uri="{3e2802c4-a4d2-4d8b-9148-e3be6c30e623}">
          <xlrd:rvb i="11271"/>
        </ext>
      </extLst>
    </bk>
    <bk>
      <extLst>
        <ext uri="{3e2802c4-a4d2-4d8b-9148-e3be6c30e623}">
          <xlrd:rvb i="11272"/>
        </ext>
      </extLst>
    </bk>
    <bk>
      <extLst>
        <ext uri="{3e2802c4-a4d2-4d8b-9148-e3be6c30e623}">
          <xlrd:rvb i="11273"/>
        </ext>
      </extLst>
    </bk>
    <bk>
      <extLst>
        <ext uri="{3e2802c4-a4d2-4d8b-9148-e3be6c30e623}">
          <xlrd:rvb i="11274"/>
        </ext>
      </extLst>
    </bk>
    <bk>
      <extLst>
        <ext uri="{3e2802c4-a4d2-4d8b-9148-e3be6c30e623}">
          <xlrd:rvb i="11275"/>
        </ext>
      </extLst>
    </bk>
    <bk>
      <extLst>
        <ext uri="{3e2802c4-a4d2-4d8b-9148-e3be6c30e623}">
          <xlrd:rvb i="11276"/>
        </ext>
      </extLst>
    </bk>
    <bk>
      <extLst>
        <ext uri="{3e2802c4-a4d2-4d8b-9148-e3be6c30e623}">
          <xlrd:rvb i="11277"/>
        </ext>
      </extLst>
    </bk>
    <bk>
      <extLst>
        <ext uri="{3e2802c4-a4d2-4d8b-9148-e3be6c30e623}">
          <xlrd:rvb i="11278"/>
        </ext>
      </extLst>
    </bk>
    <bk>
      <extLst>
        <ext uri="{3e2802c4-a4d2-4d8b-9148-e3be6c30e623}">
          <xlrd:rvb i="11279"/>
        </ext>
      </extLst>
    </bk>
    <bk>
      <extLst>
        <ext uri="{3e2802c4-a4d2-4d8b-9148-e3be6c30e623}">
          <xlrd:rvb i="11280"/>
        </ext>
      </extLst>
    </bk>
    <bk>
      <extLst>
        <ext uri="{3e2802c4-a4d2-4d8b-9148-e3be6c30e623}">
          <xlrd:rvb i="11281"/>
        </ext>
      </extLst>
    </bk>
    <bk>
      <extLst>
        <ext uri="{3e2802c4-a4d2-4d8b-9148-e3be6c30e623}">
          <xlrd:rvb i="11282"/>
        </ext>
      </extLst>
    </bk>
    <bk>
      <extLst>
        <ext uri="{3e2802c4-a4d2-4d8b-9148-e3be6c30e623}">
          <xlrd:rvb i="11283"/>
        </ext>
      </extLst>
    </bk>
    <bk>
      <extLst>
        <ext uri="{3e2802c4-a4d2-4d8b-9148-e3be6c30e623}">
          <xlrd:rvb i="11284"/>
        </ext>
      </extLst>
    </bk>
    <bk>
      <extLst>
        <ext uri="{3e2802c4-a4d2-4d8b-9148-e3be6c30e623}">
          <xlrd:rvb i="11285"/>
        </ext>
      </extLst>
    </bk>
    <bk>
      <extLst>
        <ext uri="{3e2802c4-a4d2-4d8b-9148-e3be6c30e623}">
          <xlrd:rvb i="11286"/>
        </ext>
      </extLst>
    </bk>
    <bk>
      <extLst>
        <ext uri="{3e2802c4-a4d2-4d8b-9148-e3be6c30e623}">
          <xlrd:rvb i="11287"/>
        </ext>
      </extLst>
    </bk>
    <bk>
      <extLst>
        <ext uri="{3e2802c4-a4d2-4d8b-9148-e3be6c30e623}">
          <xlrd:rvb i="11288"/>
        </ext>
      </extLst>
    </bk>
    <bk>
      <extLst>
        <ext uri="{3e2802c4-a4d2-4d8b-9148-e3be6c30e623}">
          <xlrd:rvb i="11289"/>
        </ext>
      </extLst>
    </bk>
    <bk>
      <extLst>
        <ext uri="{3e2802c4-a4d2-4d8b-9148-e3be6c30e623}">
          <xlrd:rvb i="11290"/>
        </ext>
      </extLst>
    </bk>
    <bk>
      <extLst>
        <ext uri="{3e2802c4-a4d2-4d8b-9148-e3be6c30e623}">
          <xlrd:rvb i="11291"/>
        </ext>
      </extLst>
    </bk>
    <bk>
      <extLst>
        <ext uri="{3e2802c4-a4d2-4d8b-9148-e3be6c30e623}">
          <xlrd:rvb i="11292"/>
        </ext>
      </extLst>
    </bk>
    <bk>
      <extLst>
        <ext uri="{3e2802c4-a4d2-4d8b-9148-e3be6c30e623}">
          <xlrd:rvb i="11293"/>
        </ext>
      </extLst>
    </bk>
    <bk>
      <extLst>
        <ext uri="{3e2802c4-a4d2-4d8b-9148-e3be6c30e623}">
          <xlrd:rvb i="11294"/>
        </ext>
      </extLst>
    </bk>
    <bk>
      <extLst>
        <ext uri="{3e2802c4-a4d2-4d8b-9148-e3be6c30e623}">
          <xlrd:rvb i="11295"/>
        </ext>
      </extLst>
    </bk>
    <bk>
      <extLst>
        <ext uri="{3e2802c4-a4d2-4d8b-9148-e3be6c30e623}">
          <xlrd:rvb i="11296"/>
        </ext>
      </extLst>
    </bk>
    <bk>
      <extLst>
        <ext uri="{3e2802c4-a4d2-4d8b-9148-e3be6c30e623}">
          <xlrd:rvb i="11297"/>
        </ext>
      </extLst>
    </bk>
    <bk>
      <extLst>
        <ext uri="{3e2802c4-a4d2-4d8b-9148-e3be6c30e623}">
          <xlrd:rvb i="11298"/>
        </ext>
      </extLst>
    </bk>
    <bk>
      <extLst>
        <ext uri="{3e2802c4-a4d2-4d8b-9148-e3be6c30e623}">
          <xlrd:rvb i="11299"/>
        </ext>
      </extLst>
    </bk>
    <bk>
      <extLst>
        <ext uri="{3e2802c4-a4d2-4d8b-9148-e3be6c30e623}">
          <xlrd:rvb i="11300"/>
        </ext>
      </extLst>
    </bk>
    <bk>
      <extLst>
        <ext uri="{3e2802c4-a4d2-4d8b-9148-e3be6c30e623}">
          <xlrd:rvb i="11301"/>
        </ext>
      </extLst>
    </bk>
    <bk>
      <extLst>
        <ext uri="{3e2802c4-a4d2-4d8b-9148-e3be6c30e623}">
          <xlrd:rvb i="11302"/>
        </ext>
      </extLst>
    </bk>
    <bk>
      <extLst>
        <ext uri="{3e2802c4-a4d2-4d8b-9148-e3be6c30e623}">
          <xlrd:rvb i="11303"/>
        </ext>
      </extLst>
    </bk>
    <bk>
      <extLst>
        <ext uri="{3e2802c4-a4d2-4d8b-9148-e3be6c30e623}">
          <xlrd:rvb i="11304"/>
        </ext>
      </extLst>
    </bk>
    <bk>
      <extLst>
        <ext uri="{3e2802c4-a4d2-4d8b-9148-e3be6c30e623}">
          <xlrd:rvb i="11305"/>
        </ext>
      </extLst>
    </bk>
    <bk>
      <extLst>
        <ext uri="{3e2802c4-a4d2-4d8b-9148-e3be6c30e623}">
          <xlrd:rvb i="11306"/>
        </ext>
      </extLst>
    </bk>
    <bk>
      <extLst>
        <ext uri="{3e2802c4-a4d2-4d8b-9148-e3be6c30e623}">
          <xlrd:rvb i="11307"/>
        </ext>
      </extLst>
    </bk>
    <bk>
      <extLst>
        <ext uri="{3e2802c4-a4d2-4d8b-9148-e3be6c30e623}">
          <xlrd:rvb i="11308"/>
        </ext>
      </extLst>
    </bk>
    <bk>
      <extLst>
        <ext uri="{3e2802c4-a4d2-4d8b-9148-e3be6c30e623}">
          <xlrd:rvb i="11309"/>
        </ext>
      </extLst>
    </bk>
    <bk>
      <extLst>
        <ext uri="{3e2802c4-a4d2-4d8b-9148-e3be6c30e623}">
          <xlrd:rvb i="11310"/>
        </ext>
      </extLst>
    </bk>
    <bk>
      <extLst>
        <ext uri="{3e2802c4-a4d2-4d8b-9148-e3be6c30e623}">
          <xlrd:rvb i="11311"/>
        </ext>
      </extLst>
    </bk>
    <bk>
      <extLst>
        <ext uri="{3e2802c4-a4d2-4d8b-9148-e3be6c30e623}">
          <xlrd:rvb i="11312"/>
        </ext>
      </extLst>
    </bk>
    <bk>
      <extLst>
        <ext uri="{3e2802c4-a4d2-4d8b-9148-e3be6c30e623}">
          <xlrd:rvb i="11313"/>
        </ext>
      </extLst>
    </bk>
    <bk>
      <extLst>
        <ext uri="{3e2802c4-a4d2-4d8b-9148-e3be6c30e623}">
          <xlrd:rvb i="11314"/>
        </ext>
      </extLst>
    </bk>
    <bk>
      <extLst>
        <ext uri="{3e2802c4-a4d2-4d8b-9148-e3be6c30e623}">
          <xlrd:rvb i="11315"/>
        </ext>
      </extLst>
    </bk>
    <bk>
      <extLst>
        <ext uri="{3e2802c4-a4d2-4d8b-9148-e3be6c30e623}">
          <xlrd:rvb i="11316"/>
        </ext>
      </extLst>
    </bk>
    <bk>
      <extLst>
        <ext uri="{3e2802c4-a4d2-4d8b-9148-e3be6c30e623}">
          <xlrd:rvb i="11317"/>
        </ext>
      </extLst>
    </bk>
    <bk>
      <extLst>
        <ext uri="{3e2802c4-a4d2-4d8b-9148-e3be6c30e623}">
          <xlrd:rvb i="11318"/>
        </ext>
      </extLst>
    </bk>
    <bk>
      <extLst>
        <ext uri="{3e2802c4-a4d2-4d8b-9148-e3be6c30e623}">
          <xlrd:rvb i="11319"/>
        </ext>
      </extLst>
    </bk>
    <bk>
      <extLst>
        <ext uri="{3e2802c4-a4d2-4d8b-9148-e3be6c30e623}">
          <xlrd:rvb i="11320"/>
        </ext>
      </extLst>
    </bk>
    <bk>
      <extLst>
        <ext uri="{3e2802c4-a4d2-4d8b-9148-e3be6c30e623}">
          <xlrd:rvb i="11321"/>
        </ext>
      </extLst>
    </bk>
    <bk>
      <extLst>
        <ext uri="{3e2802c4-a4d2-4d8b-9148-e3be6c30e623}">
          <xlrd:rvb i="11322"/>
        </ext>
      </extLst>
    </bk>
    <bk>
      <extLst>
        <ext uri="{3e2802c4-a4d2-4d8b-9148-e3be6c30e623}">
          <xlrd:rvb i="11323"/>
        </ext>
      </extLst>
    </bk>
    <bk>
      <extLst>
        <ext uri="{3e2802c4-a4d2-4d8b-9148-e3be6c30e623}">
          <xlrd:rvb i="11324"/>
        </ext>
      </extLst>
    </bk>
    <bk>
      <extLst>
        <ext uri="{3e2802c4-a4d2-4d8b-9148-e3be6c30e623}">
          <xlrd:rvb i="11325"/>
        </ext>
      </extLst>
    </bk>
    <bk>
      <extLst>
        <ext uri="{3e2802c4-a4d2-4d8b-9148-e3be6c30e623}">
          <xlrd:rvb i="11326"/>
        </ext>
      </extLst>
    </bk>
    <bk>
      <extLst>
        <ext uri="{3e2802c4-a4d2-4d8b-9148-e3be6c30e623}">
          <xlrd:rvb i="11327"/>
        </ext>
      </extLst>
    </bk>
    <bk>
      <extLst>
        <ext uri="{3e2802c4-a4d2-4d8b-9148-e3be6c30e623}">
          <xlrd:rvb i="11328"/>
        </ext>
      </extLst>
    </bk>
    <bk>
      <extLst>
        <ext uri="{3e2802c4-a4d2-4d8b-9148-e3be6c30e623}">
          <xlrd:rvb i="11329"/>
        </ext>
      </extLst>
    </bk>
    <bk>
      <extLst>
        <ext uri="{3e2802c4-a4d2-4d8b-9148-e3be6c30e623}">
          <xlrd:rvb i="11330"/>
        </ext>
      </extLst>
    </bk>
    <bk>
      <extLst>
        <ext uri="{3e2802c4-a4d2-4d8b-9148-e3be6c30e623}">
          <xlrd:rvb i="11331"/>
        </ext>
      </extLst>
    </bk>
    <bk>
      <extLst>
        <ext uri="{3e2802c4-a4d2-4d8b-9148-e3be6c30e623}">
          <xlrd:rvb i="11332"/>
        </ext>
      </extLst>
    </bk>
    <bk>
      <extLst>
        <ext uri="{3e2802c4-a4d2-4d8b-9148-e3be6c30e623}">
          <xlrd:rvb i="11333"/>
        </ext>
      </extLst>
    </bk>
    <bk>
      <extLst>
        <ext uri="{3e2802c4-a4d2-4d8b-9148-e3be6c30e623}">
          <xlrd:rvb i="11334"/>
        </ext>
      </extLst>
    </bk>
    <bk>
      <extLst>
        <ext uri="{3e2802c4-a4d2-4d8b-9148-e3be6c30e623}">
          <xlrd:rvb i="11335"/>
        </ext>
      </extLst>
    </bk>
    <bk>
      <extLst>
        <ext uri="{3e2802c4-a4d2-4d8b-9148-e3be6c30e623}">
          <xlrd:rvb i="11336"/>
        </ext>
      </extLst>
    </bk>
    <bk>
      <extLst>
        <ext uri="{3e2802c4-a4d2-4d8b-9148-e3be6c30e623}">
          <xlrd:rvb i="11337"/>
        </ext>
      </extLst>
    </bk>
    <bk>
      <extLst>
        <ext uri="{3e2802c4-a4d2-4d8b-9148-e3be6c30e623}">
          <xlrd:rvb i="11338"/>
        </ext>
      </extLst>
    </bk>
    <bk>
      <extLst>
        <ext uri="{3e2802c4-a4d2-4d8b-9148-e3be6c30e623}">
          <xlrd:rvb i="11339"/>
        </ext>
      </extLst>
    </bk>
    <bk>
      <extLst>
        <ext uri="{3e2802c4-a4d2-4d8b-9148-e3be6c30e623}">
          <xlrd:rvb i="11340"/>
        </ext>
      </extLst>
    </bk>
    <bk>
      <extLst>
        <ext uri="{3e2802c4-a4d2-4d8b-9148-e3be6c30e623}">
          <xlrd:rvb i="11341"/>
        </ext>
      </extLst>
    </bk>
    <bk>
      <extLst>
        <ext uri="{3e2802c4-a4d2-4d8b-9148-e3be6c30e623}">
          <xlrd:rvb i="11342"/>
        </ext>
      </extLst>
    </bk>
    <bk>
      <extLst>
        <ext uri="{3e2802c4-a4d2-4d8b-9148-e3be6c30e623}">
          <xlrd:rvb i="11343"/>
        </ext>
      </extLst>
    </bk>
    <bk>
      <extLst>
        <ext uri="{3e2802c4-a4d2-4d8b-9148-e3be6c30e623}">
          <xlrd:rvb i="11344"/>
        </ext>
      </extLst>
    </bk>
    <bk>
      <extLst>
        <ext uri="{3e2802c4-a4d2-4d8b-9148-e3be6c30e623}">
          <xlrd:rvb i="11345"/>
        </ext>
      </extLst>
    </bk>
    <bk>
      <extLst>
        <ext uri="{3e2802c4-a4d2-4d8b-9148-e3be6c30e623}">
          <xlrd:rvb i="11346"/>
        </ext>
      </extLst>
    </bk>
    <bk>
      <extLst>
        <ext uri="{3e2802c4-a4d2-4d8b-9148-e3be6c30e623}">
          <xlrd:rvb i="11347"/>
        </ext>
      </extLst>
    </bk>
    <bk>
      <extLst>
        <ext uri="{3e2802c4-a4d2-4d8b-9148-e3be6c30e623}">
          <xlrd:rvb i="11348"/>
        </ext>
      </extLst>
    </bk>
    <bk>
      <extLst>
        <ext uri="{3e2802c4-a4d2-4d8b-9148-e3be6c30e623}">
          <xlrd:rvb i="11349"/>
        </ext>
      </extLst>
    </bk>
    <bk>
      <extLst>
        <ext uri="{3e2802c4-a4d2-4d8b-9148-e3be6c30e623}">
          <xlrd:rvb i="11350"/>
        </ext>
      </extLst>
    </bk>
    <bk>
      <extLst>
        <ext uri="{3e2802c4-a4d2-4d8b-9148-e3be6c30e623}">
          <xlrd:rvb i="11351"/>
        </ext>
      </extLst>
    </bk>
    <bk>
      <extLst>
        <ext uri="{3e2802c4-a4d2-4d8b-9148-e3be6c30e623}">
          <xlrd:rvb i="11352"/>
        </ext>
      </extLst>
    </bk>
    <bk>
      <extLst>
        <ext uri="{3e2802c4-a4d2-4d8b-9148-e3be6c30e623}">
          <xlrd:rvb i="11353"/>
        </ext>
      </extLst>
    </bk>
    <bk>
      <extLst>
        <ext uri="{3e2802c4-a4d2-4d8b-9148-e3be6c30e623}">
          <xlrd:rvb i="11354"/>
        </ext>
      </extLst>
    </bk>
    <bk>
      <extLst>
        <ext uri="{3e2802c4-a4d2-4d8b-9148-e3be6c30e623}">
          <xlrd:rvb i="11355"/>
        </ext>
      </extLst>
    </bk>
    <bk>
      <extLst>
        <ext uri="{3e2802c4-a4d2-4d8b-9148-e3be6c30e623}">
          <xlrd:rvb i="11356"/>
        </ext>
      </extLst>
    </bk>
    <bk>
      <extLst>
        <ext uri="{3e2802c4-a4d2-4d8b-9148-e3be6c30e623}">
          <xlrd:rvb i="11357"/>
        </ext>
      </extLst>
    </bk>
    <bk>
      <extLst>
        <ext uri="{3e2802c4-a4d2-4d8b-9148-e3be6c30e623}">
          <xlrd:rvb i="11358"/>
        </ext>
      </extLst>
    </bk>
    <bk>
      <extLst>
        <ext uri="{3e2802c4-a4d2-4d8b-9148-e3be6c30e623}">
          <xlrd:rvb i="11359"/>
        </ext>
      </extLst>
    </bk>
    <bk>
      <extLst>
        <ext uri="{3e2802c4-a4d2-4d8b-9148-e3be6c30e623}">
          <xlrd:rvb i="11360"/>
        </ext>
      </extLst>
    </bk>
    <bk>
      <extLst>
        <ext uri="{3e2802c4-a4d2-4d8b-9148-e3be6c30e623}">
          <xlrd:rvb i="11361"/>
        </ext>
      </extLst>
    </bk>
    <bk>
      <extLst>
        <ext uri="{3e2802c4-a4d2-4d8b-9148-e3be6c30e623}">
          <xlrd:rvb i="11362"/>
        </ext>
      </extLst>
    </bk>
    <bk>
      <extLst>
        <ext uri="{3e2802c4-a4d2-4d8b-9148-e3be6c30e623}">
          <xlrd:rvb i="11363"/>
        </ext>
      </extLst>
    </bk>
    <bk>
      <extLst>
        <ext uri="{3e2802c4-a4d2-4d8b-9148-e3be6c30e623}">
          <xlrd:rvb i="11364"/>
        </ext>
      </extLst>
    </bk>
    <bk>
      <extLst>
        <ext uri="{3e2802c4-a4d2-4d8b-9148-e3be6c30e623}">
          <xlrd:rvb i="11365"/>
        </ext>
      </extLst>
    </bk>
    <bk>
      <extLst>
        <ext uri="{3e2802c4-a4d2-4d8b-9148-e3be6c30e623}">
          <xlrd:rvb i="11366"/>
        </ext>
      </extLst>
    </bk>
    <bk>
      <extLst>
        <ext uri="{3e2802c4-a4d2-4d8b-9148-e3be6c30e623}">
          <xlrd:rvb i="11367"/>
        </ext>
      </extLst>
    </bk>
    <bk>
      <extLst>
        <ext uri="{3e2802c4-a4d2-4d8b-9148-e3be6c30e623}">
          <xlrd:rvb i="11368"/>
        </ext>
      </extLst>
    </bk>
    <bk>
      <extLst>
        <ext uri="{3e2802c4-a4d2-4d8b-9148-e3be6c30e623}">
          <xlrd:rvb i="11369"/>
        </ext>
      </extLst>
    </bk>
    <bk>
      <extLst>
        <ext uri="{3e2802c4-a4d2-4d8b-9148-e3be6c30e623}">
          <xlrd:rvb i="11370"/>
        </ext>
      </extLst>
    </bk>
    <bk>
      <extLst>
        <ext uri="{3e2802c4-a4d2-4d8b-9148-e3be6c30e623}">
          <xlrd:rvb i="11371"/>
        </ext>
      </extLst>
    </bk>
    <bk>
      <extLst>
        <ext uri="{3e2802c4-a4d2-4d8b-9148-e3be6c30e623}">
          <xlrd:rvb i="11372"/>
        </ext>
      </extLst>
    </bk>
    <bk>
      <extLst>
        <ext uri="{3e2802c4-a4d2-4d8b-9148-e3be6c30e623}">
          <xlrd:rvb i="11373"/>
        </ext>
      </extLst>
    </bk>
    <bk>
      <extLst>
        <ext uri="{3e2802c4-a4d2-4d8b-9148-e3be6c30e623}">
          <xlrd:rvb i="11374"/>
        </ext>
      </extLst>
    </bk>
    <bk>
      <extLst>
        <ext uri="{3e2802c4-a4d2-4d8b-9148-e3be6c30e623}">
          <xlrd:rvb i="11375"/>
        </ext>
      </extLst>
    </bk>
    <bk>
      <extLst>
        <ext uri="{3e2802c4-a4d2-4d8b-9148-e3be6c30e623}">
          <xlrd:rvb i="11376"/>
        </ext>
      </extLst>
    </bk>
    <bk>
      <extLst>
        <ext uri="{3e2802c4-a4d2-4d8b-9148-e3be6c30e623}">
          <xlrd:rvb i="11377"/>
        </ext>
      </extLst>
    </bk>
    <bk>
      <extLst>
        <ext uri="{3e2802c4-a4d2-4d8b-9148-e3be6c30e623}">
          <xlrd:rvb i="11378"/>
        </ext>
      </extLst>
    </bk>
    <bk>
      <extLst>
        <ext uri="{3e2802c4-a4d2-4d8b-9148-e3be6c30e623}">
          <xlrd:rvb i="11379"/>
        </ext>
      </extLst>
    </bk>
    <bk>
      <extLst>
        <ext uri="{3e2802c4-a4d2-4d8b-9148-e3be6c30e623}">
          <xlrd:rvb i="11380"/>
        </ext>
      </extLst>
    </bk>
    <bk>
      <extLst>
        <ext uri="{3e2802c4-a4d2-4d8b-9148-e3be6c30e623}">
          <xlrd:rvb i="11381"/>
        </ext>
      </extLst>
    </bk>
    <bk>
      <extLst>
        <ext uri="{3e2802c4-a4d2-4d8b-9148-e3be6c30e623}">
          <xlrd:rvb i="11382"/>
        </ext>
      </extLst>
    </bk>
    <bk>
      <extLst>
        <ext uri="{3e2802c4-a4d2-4d8b-9148-e3be6c30e623}">
          <xlrd:rvb i="11383"/>
        </ext>
      </extLst>
    </bk>
    <bk>
      <extLst>
        <ext uri="{3e2802c4-a4d2-4d8b-9148-e3be6c30e623}">
          <xlrd:rvb i="11384"/>
        </ext>
      </extLst>
    </bk>
    <bk>
      <extLst>
        <ext uri="{3e2802c4-a4d2-4d8b-9148-e3be6c30e623}">
          <xlrd:rvb i="11385"/>
        </ext>
      </extLst>
    </bk>
    <bk>
      <extLst>
        <ext uri="{3e2802c4-a4d2-4d8b-9148-e3be6c30e623}">
          <xlrd:rvb i="11386"/>
        </ext>
      </extLst>
    </bk>
    <bk>
      <extLst>
        <ext uri="{3e2802c4-a4d2-4d8b-9148-e3be6c30e623}">
          <xlrd:rvb i="11387"/>
        </ext>
      </extLst>
    </bk>
    <bk>
      <extLst>
        <ext uri="{3e2802c4-a4d2-4d8b-9148-e3be6c30e623}">
          <xlrd:rvb i="11388"/>
        </ext>
      </extLst>
    </bk>
    <bk>
      <extLst>
        <ext uri="{3e2802c4-a4d2-4d8b-9148-e3be6c30e623}">
          <xlrd:rvb i="11389"/>
        </ext>
      </extLst>
    </bk>
    <bk>
      <extLst>
        <ext uri="{3e2802c4-a4d2-4d8b-9148-e3be6c30e623}">
          <xlrd:rvb i="11390"/>
        </ext>
      </extLst>
    </bk>
    <bk>
      <extLst>
        <ext uri="{3e2802c4-a4d2-4d8b-9148-e3be6c30e623}">
          <xlrd:rvb i="11391"/>
        </ext>
      </extLst>
    </bk>
    <bk>
      <extLst>
        <ext uri="{3e2802c4-a4d2-4d8b-9148-e3be6c30e623}">
          <xlrd:rvb i="11392"/>
        </ext>
      </extLst>
    </bk>
    <bk>
      <extLst>
        <ext uri="{3e2802c4-a4d2-4d8b-9148-e3be6c30e623}">
          <xlrd:rvb i="11393"/>
        </ext>
      </extLst>
    </bk>
    <bk>
      <extLst>
        <ext uri="{3e2802c4-a4d2-4d8b-9148-e3be6c30e623}">
          <xlrd:rvb i="11394"/>
        </ext>
      </extLst>
    </bk>
    <bk>
      <extLst>
        <ext uri="{3e2802c4-a4d2-4d8b-9148-e3be6c30e623}">
          <xlrd:rvb i="11395"/>
        </ext>
      </extLst>
    </bk>
    <bk>
      <extLst>
        <ext uri="{3e2802c4-a4d2-4d8b-9148-e3be6c30e623}">
          <xlrd:rvb i="11396"/>
        </ext>
      </extLst>
    </bk>
    <bk>
      <extLst>
        <ext uri="{3e2802c4-a4d2-4d8b-9148-e3be6c30e623}">
          <xlrd:rvb i="11397"/>
        </ext>
      </extLst>
    </bk>
    <bk>
      <extLst>
        <ext uri="{3e2802c4-a4d2-4d8b-9148-e3be6c30e623}">
          <xlrd:rvb i="11398"/>
        </ext>
      </extLst>
    </bk>
    <bk>
      <extLst>
        <ext uri="{3e2802c4-a4d2-4d8b-9148-e3be6c30e623}">
          <xlrd:rvb i="11399"/>
        </ext>
      </extLst>
    </bk>
    <bk>
      <extLst>
        <ext uri="{3e2802c4-a4d2-4d8b-9148-e3be6c30e623}">
          <xlrd:rvb i="11400"/>
        </ext>
      </extLst>
    </bk>
    <bk>
      <extLst>
        <ext uri="{3e2802c4-a4d2-4d8b-9148-e3be6c30e623}">
          <xlrd:rvb i="11401"/>
        </ext>
      </extLst>
    </bk>
    <bk>
      <extLst>
        <ext uri="{3e2802c4-a4d2-4d8b-9148-e3be6c30e623}">
          <xlrd:rvb i="11402"/>
        </ext>
      </extLst>
    </bk>
    <bk>
      <extLst>
        <ext uri="{3e2802c4-a4d2-4d8b-9148-e3be6c30e623}">
          <xlrd:rvb i="11403"/>
        </ext>
      </extLst>
    </bk>
    <bk>
      <extLst>
        <ext uri="{3e2802c4-a4d2-4d8b-9148-e3be6c30e623}">
          <xlrd:rvb i="11404"/>
        </ext>
      </extLst>
    </bk>
    <bk>
      <extLst>
        <ext uri="{3e2802c4-a4d2-4d8b-9148-e3be6c30e623}">
          <xlrd:rvb i="11405"/>
        </ext>
      </extLst>
    </bk>
    <bk>
      <extLst>
        <ext uri="{3e2802c4-a4d2-4d8b-9148-e3be6c30e623}">
          <xlrd:rvb i="11406"/>
        </ext>
      </extLst>
    </bk>
    <bk>
      <extLst>
        <ext uri="{3e2802c4-a4d2-4d8b-9148-e3be6c30e623}">
          <xlrd:rvb i="11407"/>
        </ext>
      </extLst>
    </bk>
    <bk>
      <extLst>
        <ext uri="{3e2802c4-a4d2-4d8b-9148-e3be6c30e623}">
          <xlrd:rvb i="11408"/>
        </ext>
      </extLst>
    </bk>
    <bk>
      <extLst>
        <ext uri="{3e2802c4-a4d2-4d8b-9148-e3be6c30e623}">
          <xlrd:rvb i="11409"/>
        </ext>
      </extLst>
    </bk>
    <bk>
      <extLst>
        <ext uri="{3e2802c4-a4d2-4d8b-9148-e3be6c30e623}">
          <xlrd:rvb i="11410"/>
        </ext>
      </extLst>
    </bk>
    <bk>
      <extLst>
        <ext uri="{3e2802c4-a4d2-4d8b-9148-e3be6c30e623}">
          <xlrd:rvb i="11411"/>
        </ext>
      </extLst>
    </bk>
    <bk>
      <extLst>
        <ext uri="{3e2802c4-a4d2-4d8b-9148-e3be6c30e623}">
          <xlrd:rvb i="11412"/>
        </ext>
      </extLst>
    </bk>
    <bk>
      <extLst>
        <ext uri="{3e2802c4-a4d2-4d8b-9148-e3be6c30e623}">
          <xlrd:rvb i="11413"/>
        </ext>
      </extLst>
    </bk>
    <bk>
      <extLst>
        <ext uri="{3e2802c4-a4d2-4d8b-9148-e3be6c30e623}">
          <xlrd:rvb i="11414"/>
        </ext>
      </extLst>
    </bk>
    <bk>
      <extLst>
        <ext uri="{3e2802c4-a4d2-4d8b-9148-e3be6c30e623}">
          <xlrd:rvb i="11415"/>
        </ext>
      </extLst>
    </bk>
    <bk>
      <extLst>
        <ext uri="{3e2802c4-a4d2-4d8b-9148-e3be6c30e623}">
          <xlrd:rvb i="11416"/>
        </ext>
      </extLst>
    </bk>
    <bk>
      <extLst>
        <ext uri="{3e2802c4-a4d2-4d8b-9148-e3be6c30e623}">
          <xlrd:rvb i="11417"/>
        </ext>
      </extLst>
    </bk>
    <bk>
      <extLst>
        <ext uri="{3e2802c4-a4d2-4d8b-9148-e3be6c30e623}">
          <xlrd:rvb i="11418"/>
        </ext>
      </extLst>
    </bk>
    <bk>
      <extLst>
        <ext uri="{3e2802c4-a4d2-4d8b-9148-e3be6c30e623}">
          <xlrd:rvb i="11419"/>
        </ext>
      </extLst>
    </bk>
    <bk>
      <extLst>
        <ext uri="{3e2802c4-a4d2-4d8b-9148-e3be6c30e623}">
          <xlrd:rvb i="11420"/>
        </ext>
      </extLst>
    </bk>
    <bk>
      <extLst>
        <ext uri="{3e2802c4-a4d2-4d8b-9148-e3be6c30e623}">
          <xlrd:rvb i="11421"/>
        </ext>
      </extLst>
    </bk>
    <bk>
      <extLst>
        <ext uri="{3e2802c4-a4d2-4d8b-9148-e3be6c30e623}">
          <xlrd:rvb i="11422"/>
        </ext>
      </extLst>
    </bk>
    <bk>
      <extLst>
        <ext uri="{3e2802c4-a4d2-4d8b-9148-e3be6c30e623}">
          <xlrd:rvb i="11423"/>
        </ext>
      </extLst>
    </bk>
    <bk>
      <extLst>
        <ext uri="{3e2802c4-a4d2-4d8b-9148-e3be6c30e623}">
          <xlrd:rvb i="11424"/>
        </ext>
      </extLst>
    </bk>
    <bk>
      <extLst>
        <ext uri="{3e2802c4-a4d2-4d8b-9148-e3be6c30e623}">
          <xlrd:rvb i="11425"/>
        </ext>
      </extLst>
    </bk>
    <bk>
      <extLst>
        <ext uri="{3e2802c4-a4d2-4d8b-9148-e3be6c30e623}">
          <xlrd:rvb i="11426"/>
        </ext>
      </extLst>
    </bk>
    <bk>
      <extLst>
        <ext uri="{3e2802c4-a4d2-4d8b-9148-e3be6c30e623}">
          <xlrd:rvb i="11427"/>
        </ext>
      </extLst>
    </bk>
    <bk>
      <extLst>
        <ext uri="{3e2802c4-a4d2-4d8b-9148-e3be6c30e623}">
          <xlrd:rvb i="11428"/>
        </ext>
      </extLst>
    </bk>
    <bk>
      <extLst>
        <ext uri="{3e2802c4-a4d2-4d8b-9148-e3be6c30e623}">
          <xlrd:rvb i="11429"/>
        </ext>
      </extLst>
    </bk>
    <bk>
      <extLst>
        <ext uri="{3e2802c4-a4d2-4d8b-9148-e3be6c30e623}">
          <xlrd:rvb i="11430"/>
        </ext>
      </extLst>
    </bk>
    <bk>
      <extLst>
        <ext uri="{3e2802c4-a4d2-4d8b-9148-e3be6c30e623}">
          <xlrd:rvb i="11431"/>
        </ext>
      </extLst>
    </bk>
    <bk>
      <extLst>
        <ext uri="{3e2802c4-a4d2-4d8b-9148-e3be6c30e623}">
          <xlrd:rvb i="11432"/>
        </ext>
      </extLst>
    </bk>
    <bk>
      <extLst>
        <ext uri="{3e2802c4-a4d2-4d8b-9148-e3be6c30e623}">
          <xlrd:rvb i="11433"/>
        </ext>
      </extLst>
    </bk>
    <bk>
      <extLst>
        <ext uri="{3e2802c4-a4d2-4d8b-9148-e3be6c30e623}">
          <xlrd:rvb i="11434"/>
        </ext>
      </extLst>
    </bk>
    <bk>
      <extLst>
        <ext uri="{3e2802c4-a4d2-4d8b-9148-e3be6c30e623}">
          <xlrd:rvb i="11435"/>
        </ext>
      </extLst>
    </bk>
    <bk>
      <extLst>
        <ext uri="{3e2802c4-a4d2-4d8b-9148-e3be6c30e623}">
          <xlrd:rvb i="11436"/>
        </ext>
      </extLst>
    </bk>
    <bk>
      <extLst>
        <ext uri="{3e2802c4-a4d2-4d8b-9148-e3be6c30e623}">
          <xlrd:rvb i="11437"/>
        </ext>
      </extLst>
    </bk>
    <bk>
      <extLst>
        <ext uri="{3e2802c4-a4d2-4d8b-9148-e3be6c30e623}">
          <xlrd:rvb i="11438"/>
        </ext>
      </extLst>
    </bk>
    <bk>
      <extLst>
        <ext uri="{3e2802c4-a4d2-4d8b-9148-e3be6c30e623}">
          <xlrd:rvb i="11439"/>
        </ext>
      </extLst>
    </bk>
    <bk>
      <extLst>
        <ext uri="{3e2802c4-a4d2-4d8b-9148-e3be6c30e623}">
          <xlrd:rvb i="11440"/>
        </ext>
      </extLst>
    </bk>
    <bk>
      <extLst>
        <ext uri="{3e2802c4-a4d2-4d8b-9148-e3be6c30e623}">
          <xlrd:rvb i="11441"/>
        </ext>
      </extLst>
    </bk>
    <bk>
      <extLst>
        <ext uri="{3e2802c4-a4d2-4d8b-9148-e3be6c30e623}">
          <xlrd:rvb i="11442"/>
        </ext>
      </extLst>
    </bk>
    <bk>
      <extLst>
        <ext uri="{3e2802c4-a4d2-4d8b-9148-e3be6c30e623}">
          <xlrd:rvb i="11443"/>
        </ext>
      </extLst>
    </bk>
    <bk>
      <extLst>
        <ext uri="{3e2802c4-a4d2-4d8b-9148-e3be6c30e623}">
          <xlrd:rvb i="11444"/>
        </ext>
      </extLst>
    </bk>
    <bk>
      <extLst>
        <ext uri="{3e2802c4-a4d2-4d8b-9148-e3be6c30e623}">
          <xlrd:rvb i="11445"/>
        </ext>
      </extLst>
    </bk>
    <bk>
      <extLst>
        <ext uri="{3e2802c4-a4d2-4d8b-9148-e3be6c30e623}">
          <xlrd:rvb i="11446"/>
        </ext>
      </extLst>
    </bk>
    <bk>
      <extLst>
        <ext uri="{3e2802c4-a4d2-4d8b-9148-e3be6c30e623}">
          <xlrd:rvb i="11447"/>
        </ext>
      </extLst>
    </bk>
    <bk>
      <extLst>
        <ext uri="{3e2802c4-a4d2-4d8b-9148-e3be6c30e623}">
          <xlrd:rvb i="11448"/>
        </ext>
      </extLst>
    </bk>
    <bk>
      <extLst>
        <ext uri="{3e2802c4-a4d2-4d8b-9148-e3be6c30e623}">
          <xlrd:rvb i="11449"/>
        </ext>
      </extLst>
    </bk>
    <bk>
      <extLst>
        <ext uri="{3e2802c4-a4d2-4d8b-9148-e3be6c30e623}">
          <xlrd:rvb i="11450"/>
        </ext>
      </extLst>
    </bk>
    <bk>
      <extLst>
        <ext uri="{3e2802c4-a4d2-4d8b-9148-e3be6c30e623}">
          <xlrd:rvb i="11451"/>
        </ext>
      </extLst>
    </bk>
    <bk>
      <extLst>
        <ext uri="{3e2802c4-a4d2-4d8b-9148-e3be6c30e623}">
          <xlrd:rvb i="11452"/>
        </ext>
      </extLst>
    </bk>
    <bk>
      <extLst>
        <ext uri="{3e2802c4-a4d2-4d8b-9148-e3be6c30e623}">
          <xlrd:rvb i="11453"/>
        </ext>
      </extLst>
    </bk>
    <bk>
      <extLst>
        <ext uri="{3e2802c4-a4d2-4d8b-9148-e3be6c30e623}">
          <xlrd:rvb i="11454"/>
        </ext>
      </extLst>
    </bk>
    <bk>
      <extLst>
        <ext uri="{3e2802c4-a4d2-4d8b-9148-e3be6c30e623}">
          <xlrd:rvb i="11455"/>
        </ext>
      </extLst>
    </bk>
    <bk>
      <extLst>
        <ext uri="{3e2802c4-a4d2-4d8b-9148-e3be6c30e623}">
          <xlrd:rvb i="11456"/>
        </ext>
      </extLst>
    </bk>
    <bk>
      <extLst>
        <ext uri="{3e2802c4-a4d2-4d8b-9148-e3be6c30e623}">
          <xlrd:rvb i="11457"/>
        </ext>
      </extLst>
    </bk>
    <bk>
      <extLst>
        <ext uri="{3e2802c4-a4d2-4d8b-9148-e3be6c30e623}">
          <xlrd:rvb i="11458"/>
        </ext>
      </extLst>
    </bk>
    <bk>
      <extLst>
        <ext uri="{3e2802c4-a4d2-4d8b-9148-e3be6c30e623}">
          <xlrd:rvb i="11459"/>
        </ext>
      </extLst>
    </bk>
    <bk>
      <extLst>
        <ext uri="{3e2802c4-a4d2-4d8b-9148-e3be6c30e623}">
          <xlrd:rvb i="11460"/>
        </ext>
      </extLst>
    </bk>
    <bk>
      <extLst>
        <ext uri="{3e2802c4-a4d2-4d8b-9148-e3be6c30e623}">
          <xlrd:rvb i="11461"/>
        </ext>
      </extLst>
    </bk>
    <bk>
      <extLst>
        <ext uri="{3e2802c4-a4d2-4d8b-9148-e3be6c30e623}">
          <xlrd:rvb i="11462"/>
        </ext>
      </extLst>
    </bk>
    <bk>
      <extLst>
        <ext uri="{3e2802c4-a4d2-4d8b-9148-e3be6c30e623}">
          <xlrd:rvb i="11463"/>
        </ext>
      </extLst>
    </bk>
    <bk>
      <extLst>
        <ext uri="{3e2802c4-a4d2-4d8b-9148-e3be6c30e623}">
          <xlrd:rvb i="11464"/>
        </ext>
      </extLst>
    </bk>
    <bk>
      <extLst>
        <ext uri="{3e2802c4-a4d2-4d8b-9148-e3be6c30e623}">
          <xlrd:rvb i="11465"/>
        </ext>
      </extLst>
    </bk>
    <bk>
      <extLst>
        <ext uri="{3e2802c4-a4d2-4d8b-9148-e3be6c30e623}">
          <xlrd:rvb i="11466"/>
        </ext>
      </extLst>
    </bk>
    <bk>
      <extLst>
        <ext uri="{3e2802c4-a4d2-4d8b-9148-e3be6c30e623}">
          <xlrd:rvb i="11467"/>
        </ext>
      </extLst>
    </bk>
    <bk>
      <extLst>
        <ext uri="{3e2802c4-a4d2-4d8b-9148-e3be6c30e623}">
          <xlrd:rvb i="11468"/>
        </ext>
      </extLst>
    </bk>
    <bk>
      <extLst>
        <ext uri="{3e2802c4-a4d2-4d8b-9148-e3be6c30e623}">
          <xlrd:rvb i="11469"/>
        </ext>
      </extLst>
    </bk>
    <bk>
      <extLst>
        <ext uri="{3e2802c4-a4d2-4d8b-9148-e3be6c30e623}">
          <xlrd:rvb i="11470"/>
        </ext>
      </extLst>
    </bk>
    <bk>
      <extLst>
        <ext uri="{3e2802c4-a4d2-4d8b-9148-e3be6c30e623}">
          <xlrd:rvb i="11471"/>
        </ext>
      </extLst>
    </bk>
    <bk>
      <extLst>
        <ext uri="{3e2802c4-a4d2-4d8b-9148-e3be6c30e623}">
          <xlrd:rvb i="11472"/>
        </ext>
      </extLst>
    </bk>
    <bk>
      <extLst>
        <ext uri="{3e2802c4-a4d2-4d8b-9148-e3be6c30e623}">
          <xlrd:rvb i="11473"/>
        </ext>
      </extLst>
    </bk>
    <bk>
      <extLst>
        <ext uri="{3e2802c4-a4d2-4d8b-9148-e3be6c30e623}">
          <xlrd:rvb i="11474"/>
        </ext>
      </extLst>
    </bk>
    <bk>
      <extLst>
        <ext uri="{3e2802c4-a4d2-4d8b-9148-e3be6c30e623}">
          <xlrd:rvb i="11475"/>
        </ext>
      </extLst>
    </bk>
    <bk>
      <extLst>
        <ext uri="{3e2802c4-a4d2-4d8b-9148-e3be6c30e623}">
          <xlrd:rvb i="11476"/>
        </ext>
      </extLst>
    </bk>
    <bk>
      <extLst>
        <ext uri="{3e2802c4-a4d2-4d8b-9148-e3be6c30e623}">
          <xlrd:rvb i="11477"/>
        </ext>
      </extLst>
    </bk>
    <bk>
      <extLst>
        <ext uri="{3e2802c4-a4d2-4d8b-9148-e3be6c30e623}">
          <xlrd:rvb i="11478"/>
        </ext>
      </extLst>
    </bk>
    <bk>
      <extLst>
        <ext uri="{3e2802c4-a4d2-4d8b-9148-e3be6c30e623}">
          <xlrd:rvb i="11479"/>
        </ext>
      </extLst>
    </bk>
    <bk>
      <extLst>
        <ext uri="{3e2802c4-a4d2-4d8b-9148-e3be6c30e623}">
          <xlrd:rvb i="11480"/>
        </ext>
      </extLst>
    </bk>
    <bk>
      <extLst>
        <ext uri="{3e2802c4-a4d2-4d8b-9148-e3be6c30e623}">
          <xlrd:rvb i="11481"/>
        </ext>
      </extLst>
    </bk>
    <bk>
      <extLst>
        <ext uri="{3e2802c4-a4d2-4d8b-9148-e3be6c30e623}">
          <xlrd:rvb i="11482"/>
        </ext>
      </extLst>
    </bk>
    <bk>
      <extLst>
        <ext uri="{3e2802c4-a4d2-4d8b-9148-e3be6c30e623}">
          <xlrd:rvb i="11483"/>
        </ext>
      </extLst>
    </bk>
    <bk>
      <extLst>
        <ext uri="{3e2802c4-a4d2-4d8b-9148-e3be6c30e623}">
          <xlrd:rvb i="11484"/>
        </ext>
      </extLst>
    </bk>
    <bk>
      <extLst>
        <ext uri="{3e2802c4-a4d2-4d8b-9148-e3be6c30e623}">
          <xlrd:rvb i="11485"/>
        </ext>
      </extLst>
    </bk>
    <bk>
      <extLst>
        <ext uri="{3e2802c4-a4d2-4d8b-9148-e3be6c30e623}">
          <xlrd:rvb i="11486"/>
        </ext>
      </extLst>
    </bk>
    <bk>
      <extLst>
        <ext uri="{3e2802c4-a4d2-4d8b-9148-e3be6c30e623}">
          <xlrd:rvb i="11487"/>
        </ext>
      </extLst>
    </bk>
    <bk>
      <extLst>
        <ext uri="{3e2802c4-a4d2-4d8b-9148-e3be6c30e623}">
          <xlrd:rvb i="11488"/>
        </ext>
      </extLst>
    </bk>
    <bk>
      <extLst>
        <ext uri="{3e2802c4-a4d2-4d8b-9148-e3be6c30e623}">
          <xlrd:rvb i="11489"/>
        </ext>
      </extLst>
    </bk>
    <bk>
      <extLst>
        <ext uri="{3e2802c4-a4d2-4d8b-9148-e3be6c30e623}">
          <xlrd:rvb i="11490"/>
        </ext>
      </extLst>
    </bk>
    <bk>
      <extLst>
        <ext uri="{3e2802c4-a4d2-4d8b-9148-e3be6c30e623}">
          <xlrd:rvb i="11491"/>
        </ext>
      </extLst>
    </bk>
    <bk>
      <extLst>
        <ext uri="{3e2802c4-a4d2-4d8b-9148-e3be6c30e623}">
          <xlrd:rvb i="11492"/>
        </ext>
      </extLst>
    </bk>
    <bk>
      <extLst>
        <ext uri="{3e2802c4-a4d2-4d8b-9148-e3be6c30e623}">
          <xlrd:rvb i="11493"/>
        </ext>
      </extLst>
    </bk>
    <bk>
      <extLst>
        <ext uri="{3e2802c4-a4d2-4d8b-9148-e3be6c30e623}">
          <xlrd:rvb i="11494"/>
        </ext>
      </extLst>
    </bk>
    <bk>
      <extLst>
        <ext uri="{3e2802c4-a4d2-4d8b-9148-e3be6c30e623}">
          <xlrd:rvb i="11495"/>
        </ext>
      </extLst>
    </bk>
    <bk>
      <extLst>
        <ext uri="{3e2802c4-a4d2-4d8b-9148-e3be6c30e623}">
          <xlrd:rvb i="11496"/>
        </ext>
      </extLst>
    </bk>
    <bk>
      <extLst>
        <ext uri="{3e2802c4-a4d2-4d8b-9148-e3be6c30e623}">
          <xlrd:rvb i="11497"/>
        </ext>
      </extLst>
    </bk>
    <bk>
      <extLst>
        <ext uri="{3e2802c4-a4d2-4d8b-9148-e3be6c30e623}">
          <xlrd:rvb i="11498"/>
        </ext>
      </extLst>
    </bk>
    <bk>
      <extLst>
        <ext uri="{3e2802c4-a4d2-4d8b-9148-e3be6c30e623}">
          <xlrd:rvb i="11499"/>
        </ext>
      </extLst>
    </bk>
    <bk>
      <extLst>
        <ext uri="{3e2802c4-a4d2-4d8b-9148-e3be6c30e623}">
          <xlrd:rvb i="11500"/>
        </ext>
      </extLst>
    </bk>
    <bk>
      <extLst>
        <ext uri="{3e2802c4-a4d2-4d8b-9148-e3be6c30e623}">
          <xlrd:rvb i="11501"/>
        </ext>
      </extLst>
    </bk>
    <bk>
      <extLst>
        <ext uri="{3e2802c4-a4d2-4d8b-9148-e3be6c30e623}">
          <xlrd:rvb i="11502"/>
        </ext>
      </extLst>
    </bk>
    <bk>
      <extLst>
        <ext uri="{3e2802c4-a4d2-4d8b-9148-e3be6c30e623}">
          <xlrd:rvb i="11503"/>
        </ext>
      </extLst>
    </bk>
    <bk>
      <extLst>
        <ext uri="{3e2802c4-a4d2-4d8b-9148-e3be6c30e623}">
          <xlrd:rvb i="11504"/>
        </ext>
      </extLst>
    </bk>
    <bk>
      <extLst>
        <ext uri="{3e2802c4-a4d2-4d8b-9148-e3be6c30e623}">
          <xlrd:rvb i="11505"/>
        </ext>
      </extLst>
    </bk>
    <bk>
      <extLst>
        <ext uri="{3e2802c4-a4d2-4d8b-9148-e3be6c30e623}">
          <xlrd:rvb i="11506"/>
        </ext>
      </extLst>
    </bk>
    <bk>
      <extLst>
        <ext uri="{3e2802c4-a4d2-4d8b-9148-e3be6c30e623}">
          <xlrd:rvb i="11507"/>
        </ext>
      </extLst>
    </bk>
    <bk>
      <extLst>
        <ext uri="{3e2802c4-a4d2-4d8b-9148-e3be6c30e623}">
          <xlrd:rvb i="11508"/>
        </ext>
      </extLst>
    </bk>
    <bk>
      <extLst>
        <ext uri="{3e2802c4-a4d2-4d8b-9148-e3be6c30e623}">
          <xlrd:rvb i="11509"/>
        </ext>
      </extLst>
    </bk>
    <bk>
      <extLst>
        <ext uri="{3e2802c4-a4d2-4d8b-9148-e3be6c30e623}">
          <xlrd:rvb i="11510"/>
        </ext>
      </extLst>
    </bk>
    <bk>
      <extLst>
        <ext uri="{3e2802c4-a4d2-4d8b-9148-e3be6c30e623}">
          <xlrd:rvb i="11511"/>
        </ext>
      </extLst>
    </bk>
    <bk>
      <extLst>
        <ext uri="{3e2802c4-a4d2-4d8b-9148-e3be6c30e623}">
          <xlrd:rvb i="11512"/>
        </ext>
      </extLst>
    </bk>
    <bk>
      <extLst>
        <ext uri="{3e2802c4-a4d2-4d8b-9148-e3be6c30e623}">
          <xlrd:rvb i="11513"/>
        </ext>
      </extLst>
    </bk>
    <bk>
      <extLst>
        <ext uri="{3e2802c4-a4d2-4d8b-9148-e3be6c30e623}">
          <xlrd:rvb i="11514"/>
        </ext>
      </extLst>
    </bk>
    <bk>
      <extLst>
        <ext uri="{3e2802c4-a4d2-4d8b-9148-e3be6c30e623}">
          <xlrd:rvb i="11515"/>
        </ext>
      </extLst>
    </bk>
    <bk>
      <extLst>
        <ext uri="{3e2802c4-a4d2-4d8b-9148-e3be6c30e623}">
          <xlrd:rvb i="11516"/>
        </ext>
      </extLst>
    </bk>
    <bk>
      <extLst>
        <ext uri="{3e2802c4-a4d2-4d8b-9148-e3be6c30e623}">
          <xlrd:rvb i="11517"/>
        </ext>
      </extLst>
    </bk>
    <bk>
      <extLst>
        <ext uri="{3e2802c4-a4d2-4d8b-9148-e3be6c30e623}">
          <xlrd:rvb i="11518"/>
        </ext>
      </extLst>
    </bk>
    <bk>
      <extLst>
        <ext uri="{3e2802c4-a4d2-4d8b-9148-e3be6c30e623}">
          <xlrd:rvb i="11519"/>
        </ext>
      </extLst>
    </bk>
    <bk>
      <extLst>
        <ext uri="{3e2802c4-a4d2-4d8b-9148-e3be6c30e623}">
          <xlrd:rvb i="11520"/>
        </ext>
      </extLst>
    </bk>
    <bk>
      <extLst>
        <ext uri="{3e2802c4-a4d2-4d8b-9148-e3be6c30e623}">
          <xlrd:rvb i="11521"/>
        </ext>
      </extLst>
    </bk>
    <bk>
      <extLst>
        <ext uri="{3e2802c4-a4d2-4d8b-9148-e3be6c30e623}">
          <xlrd:rvb i="11522"/>
        </ext>
      </extLst>
    </bk>
    <bk>
      <extLst>
        <ext uri="{3e2802c4-a4d2-4d8b-9148-e3be6c30e623}">
          <xlrd:rvb i="11523"/>
        </ext>
      </extLst>
    </bk>
    <bk>
      <extLst>
        <ext uri="{3e2802c4-a4d2-4d8b-9148-e3be6c30e623}">
          <xlrd:rvb i="11524"/>
        </ext>
      </extLst>
    </bk>
    <bk>
      <extLst>
        <ext uri="{3e2802c4-a4d2-4d8b-9148-e3be6c30e623}">
          <xlrd:rvb i="11525"/>
        </ext>
      </extLst>
    </bk>
    <bk>
      <extLst>
        <ext uri="{3e2802c4-a4d2-4d8b-9148-e3be6c30e623}">
          <xlrd:rvb i="11526"/>
        </ext>
      </extLst>
    </bk>
    <bk>
      <extLst>
        <ext uri="{3e2802c4-a4d2-4d8b-9148-e3be6c30e623}">
          <xlrd:rvb i="11527"/>
        </ext>
      </extLst>
    </bk>
    <bk>
      <extLst>
        <ext uri="{3e2802c4-a4d2-4d8b-9148-e3be6c30e623}">
          <xlrd:rvb i="11528"/>
        </ext>
      </extLst>
    </bk>
    <bk>
      <extLst>
        <ext uri="{3e2802c4-a4d2-4d8b-9148-e3be6c30e623}">
          <xlrd:rvb i="11529"/>
        </ext>
      </extLst>
    </bk>
    <bk>
      <extLst>
        <ext uri="{3e2802c4-a4d2-4d8b-9148-e3be6c30e623}">
          <xlrd:rvb i="11530"/>
        </ext>
      </extLst>
    </bk>
    <bk>
      <extLst>
        <ext uri="{3e2802c4-a4d2-4d8b-9148-e3be6c30e623}">
          <xlrd:rvb i="11531"/>
        </ext>
      </extLst>
    </bk>
    <bk>
      <extLst>
        <ext uri="{3e2802c4-a4d2-4d8b-9148-e3be6c30e623}">
          <xlrd:rvb i="11532"/>
        </ext>
      </extLst>
    </bk>
    <bk>
      <extLst>
        <ext uri="{3e2802c4-a4d2-4d8b-9148-e3be6c30e623}">
          <xlrd:rvb i="11533"/>
        </ext>
      </extLst>
    </bk>
    <bk>
      <extLst>
        <ext uri="{3e2802c4-a4d2-4d8b-9148-e3be6c30e623}">
          <xlrd:rvb i="11534"/>
        </ext>
      </extLst>
    </bk>
    <bk>
      <extLst>
        <ext uri="{3e2802c4-a4d2-4d8b-9148-e3be6c30e623}">
          <xlrd:rvb i="11535"/>
        </ext>
      </extLst>
    </bk>
    <bk>
      <extLst>
        <ext uri="{3e2802c4-a4d2-4d8b-9148-e3be6c30e623}">
          <xlrd:rvb i="11536"/>
        </ext>
      </extLst>
    </bk>
    <bk>
      <extLst>
        <ext uri="{3e2802c4-a4d2-4d8b-9148-e3be6c30e623}">
          <xlrd:rvb i="11537"/>
        </ext>
      </extLst>
    </bk>
    <bk>
      <extLst>
        <ext uri="{3e2802c4-a4d2-4d8b-9148-e3be6c30e623}">
          <xlrd:rvb i="11538"/>
        </ext>
      </extLst>
    </bk>
    <bk>
      <extLst>
        <ext uri="{3e2802c4-a4d2-4d8b-9148-e3be6c30e623}">
          <xlrd:rvb i="11539"/>
        </ext>
      </extLst>
    </bk>
    <bk>
      <extLst>
        <ext uri="{3e2802c4-a4d2-4d8b-9148-e3be6c30e623}">
          <xlrd:rvb i="11540"/>
        </ext>
      </extLst>
    </bk>
    <bk>
      <extLst>
        <ext uri="{3e2802c4-a4d2-4d8b-9148-e3be6c30e623}">
          <xlrd:rvb i="11541"/>
        </ext>
      </extLst>
    </bk>
    <bk>
      <extLst>
        <ext uri="{3e2802c4-a4d2-4d8b-9148-e3be6c30e623}">
          <xlrd:rvb i="11542"/>
        </ext>
      </extLst>
    </bk>
    <bk>
      <extLst>
        <ext uri="{3e2802c4-a4d2-4d8b-9148-e3be6c30e623}">
          <xlrd:rvb i="11543"/>
        </ext>
      </extLst>
    </bk>
    <bk>
      <extLst>
        <ext uri="{3e2802c4-a4d2-4d8b-9148-e3be6c30e623}">
          <xlrd:rvb i="11544"/>
        </ext>
      </extLst>
    </bk>
    <bk>
      <extLst>
        <ext uri="{3e2802c4-a4d2-4d8b-9148-e3be6c30e623}">
          <xlrd:rvb i="11545"/>
        </ext>
      </extLst>
    </bk>
    <bk>
      <extLst>
        <ext uri="{3e2802c4-a4d2-4d8b-9148-e3be6c30e623}">
          <xlrd:rvb i="11546"/>
        </ext>
      </extLst>
    </bk>
    <bk>
      <extLst>
        <ext uri="{3e2802c4-a4d2-4d8b-9148-e3be6c30e623}">
          <xlrd:rvb i="11547"/>
        </ext>
      </extLst>
    </bk>
    <bk>
      <extLst>
        <ext uri="{3e2802c4-a4d2-4d8b-9148-e3be6c30e623}">
          <xlrd:rvb i="11548"/>
        </ext>
      </extLst>
    </bk>
    <bk>
      <extLst>
        <ext uri="{3e2802c4-a4d2-4d8b-9148-e3be6c30e623}">
          <xlrd:rvb i="11549"/>
        </ext>
      </extLst>
    </bk>
    <bk>
      <extLst>
        <ext uri="{3e2802c4-a4d2-4d8b-9148-e3be6c30e623}">
          <xlrd:rvb i="11550"/>
        </ext>
      </extLst>
    </bk>
    <bk>
      <extLst>
        <ext uri="{3e2802c4-a4d2-4d8b-9148-e3be6c30e623}">
          <xlrd:rvb i="11551"/>
        </ext>
      </extLst>
    </bk>
    <bk>
      <extLst>
        <ext uri="{3e2802c4-a4d2-4d8b-9148-e3be6c30e623}">
          <xlrd:rvb i="11552"/>
        </ext>
      </extLst>
    </bk>
    <bk>
      <extLst>
        <ext uri="{3e2802c4-a4d2-4d8b-9148-e3be6c30e623}">
          <xlrd:rvb i="11553"/>
        </ext>
      </extLst>
    </bk>
    <bk>
      <extLst>
        <ext uri="{3e2802c4-a4d2-4d8b-9148-e3be6c30e623}">
          <xlrd:rvb i="11554"/>
        </ext>
      </extLst>
    </bk>
    <bk>
      <extLst>
        <ext uri="{3e2802c4-a4d2-4d8b-9148-e3be6c30e623}">
          <xlrd:rvb i="11555"/>
        </ext>
      </extLst>
    </bk>
    <bk>
      <extLst>
        <ext uri="{3e2802c4-a4d2-4d8b-9148-e3be6c30e623}">
          <xlrd:rvb i="11556"/>
        </ext>
      </extLst>
    </bk>
    <bk>
      <extLst>
        <ext uri="{3e2802c4-a4d2-4d8b-9148-e3be6c30e623}">
          <xlrd:rvb i="11557"/>
        </ext>
      </extLst>
    </bk>
    <bk>
      <extLst>
        <ext uri="{3e2802c4-a4d2-4d8b-9148-e3be6c30e623}">
          <xlrd:rvb i="11558"/>
        </ext>
      </extLst>
    </bk>
    <bk>
      <extLst>
        <ext uri="{3e2802c4-a4d2-4d8b-9148-e3be6c30e623}">
          <xlrd:rvb i="11559"/>
        </ext>
      </extLst>
    </bk>
    <bk>
      <extLst>
        <ext uri="{3e2802c4-a4d2-4d8b-9148-e3be6c30e623}">
          <xlrd:rvb i="11560"/>
        </ext>
      </extLst>
    </bk>
    <bk>
      <extLst>
        <ext uri="{3e2802c4-a4d2-4d8b-9148-e3be6c30e623}">
          <xlrd:rvb i="11561"/>
        </ext>
      </extLst>
    </bk>
    <bk>
      <extLst>
        <ext uri="{3e2802c4-a4d2-4d8b-9148-e3be6c30e623}">
          <xlrd:rvb i="11562"/>
        </ext>
      </extLst>
    </bk>
    <bk>
      <extLst>
        <ext uri="{3e2802c4-a4d2-4d8b-9148-e3be6c30e623}">
          <xlrd:rvb i="11563"/>
        </ext>
      </extLst>
    </bk>
    <bk>
      <extLst>
        <ext uri="{3e2802c4-a4d2-4d8b-9148-e3be6c30e623}">
          <xlrd:rvb i="11564"/>
        </ext>
      </extLst>
    </bk>
    <bk>
      <extLst>
        <ext uri="{3e2802c4-a4d2-4d8b-9148-e3be6c30e623}">
          <xlrd:rvb i="11565"/>
        </ext>
      </extLst>
    </bk>
    <bk>
      <extLst>
        <ext uri="{3e2802c4-a4d2-4d8b-9148-e3be6c30e623}">
          <xlrd:rvb i="11566"/>
        </ext>
      </extLst>
    </bk>
    <bk>
      <extLst>
        <ext uri="{3e2802c4-a4d2-4d8b-9148-e3be6c30e623}">
          <xlrd:rvb i="11567"/>
        </ext>
      </extLst>
    </bk>
    <bk>
      <extLst>
        <ext uri="{3e2802c4-a4d2-4d8b-9148-e3be6c30e623}">
          <xlrd:rvb i="11568"/>
        </ext>
      </extLst>
    </bk>
    <bk>
      <extLst>
        <ext uri="{3e2802c4-a4d2-4d8b-9148-e3be6c30e623}">
          <xlrd:rvb i="11569"/>
        </ext>
      </extLst>
    </bk>
    <bk>
      <extLst>
        <ext uri="{3e2802c4-a4d2-4d8b-9148-e3be6c30e623}">
          <xlrd:rvb i="11570"/>
        </ext>
      </extLst>
    </bk>
    <bk>
      <extLst>
        <ext uri="{3e2802c4-a4d2-4d8b-9148-e3be6c30e623}">
          <xlrd:rvb i="11571"/>
        </ext>
      </extLst>
    </bk>
    <bk>
      <extLst>
        <ext uri="{3e2802c4-a4d2-4d8b-9148-e3be6c30e623}">
          <xlrd:rvb i="11572"/>
        </ext>
      </extLst>
    </bk>
    <bk>
      <extLst>
        <ext uri="{3e2802c4-a4d2-4d8b-9148-e3be6c30e623}">
          <xlrd:rvb i="11573"/>
        </ext>
      </extLst>
    </bk>
    <bk>
      <extLst>
        <ext uri="{3e2802c4-a4d2-4d8b-9148-e3be6c30e623}">
          <xlrd:rvb i="11574"/>
        </ext>
      </extLst>
    </bk>
    <bk>
      <extLst>
        <ext uri="{3e2802c4-a4d2-4d8b-9148-e3be6c30e623}">
          <xlrd:rvb i="11575"/>
        </ext>
      </extLst>
    </bk>
    <bk>
      <extLst>
        <ext uri="{3e2802c4-a4d2-4d8b-9148-e3be6c30e623}">
          <xlrd:rvb i="11576"/>
        </ext>
      </extLst>
    </bk>
    <bk>
      <extLst>
        <ext uri="{3e2802c4-a4d2-4d8b-9148-e3be6c30e623}">
          <xlrd:rvb i="11577"/>
        </ext>
      </extLst>
    </bk>
    <bk>
      <extLst>
        <ext uri="{3e2802c4-a4d2-4d8b-9148-e3be6c30e623}">
          <xlrd:rvb i="11578"/>
        </ext>
      </extLst>
    </bk>
    <bk>
      <extLst>
        <ext uri="{3e2802c4-a4d2-4d8b-9148-e3be6c30e623}">
          <xlrd:rvb i="11579"/>
        </ext>
      </extLst>
    </bk>
    <bk>
      <extLst>
        <ext uri="{3e2802c4-a4d2-4d8b-9148-e3be6c30e623}">
          <xlrd:rvb i="11580"/>
        </ext>
      </extLst>
    </bk>
    <bk>
      <extLst>
        <ext uri="{3e2802c4-a4d2-4d8b-9148-e3be6c30e623}">
          <xlrd:rvb i="11581"/>
        </ext>
      </extLst>
    </bk>
    <bk>
      <extLst>
        <ext uri="{3e2802c4-a4d2-4d8b-9148-e3be6c30e623}">
          <xlrd:rvb i="11582"/>
        </ext>
      </extLst>
    </bk>
    <bk>
      <extLst>
        <ext uri="{3e2802c4-a4d2-4d8b-9148-e3be6c30e623}">
          <xlrd:rvb i="11583"/>
        </ext>
      </extLst>
    </bk>
    <bk>
      <extLst>
        <ext uri="{3e2802c4-a4d2-4d8b-9148-e3be6c30e623}">
          <xlrd:rvb i="11584"/>
        </ext>
      </extLst>
    </bk>
    <bk>
      <extLst>
        <ext uri="{3e2802c4-a4d2-4d8b-9148-e3be6c30e623}">
          <xlrd:rvb i="11585"/>
        </ext>
      </extLst>
    </bk>
    <bk>
      <extLst>
        <ext uri="{3e2802c4-a4d2-4d8b-9148-e3be6c30e623}">
          <xlrd:rvb i="11586"/>
        </ext>
      </extLst>
    </bk>
    <bk>
      <extLst>
        <ext uri="{3e2802c4-a4d2-4d8b-9148-e3be6c30e623}">
          <xlrd:rvb i="11587"/>
        </ext>
      </extLst>
    </bk>
    <bk>
      <extLst>
        <ext uri="{3e2802c4-a4d2-4d8b-9148-e3be6c30e623}">
          <xlrd:rvb i="11588"/>
        </ext>
      </extLst>
    </bk>
    <bk>
      <extLst>
        <ext uri="{3e2802c4-a4d2-4d8b-9148-e3be6c30e623}">
          <xlrd:rvb i="11589"/>
        </ext>
      </extLst>
    </bk>
    <bk>
      <extLst>
        <ext uri="{3e2802c4-a4d2-4d8b-9148-e3be6c30e623}">
          <xlrd:rvb i="11590"/>
        </ext>
      </extLst>
    </bk>
    <bk>
      <extLst>
        <ext uri="{3e2802c4-a4d2-4d8b-9148-e3be6c30e623}">
          <xlrd:rvb i="11591"/>
        </ext>
      </extLst>
    </bk>
    <bk>
      <extLst>
        <ext uri="{3e2802c4-a4d2-4d8b-9148-e3be6c30e623}">
          <xlrd:rvb i="11592"/>
        </ext>
      </extLst>
    </bk>
    <bk>
      <extLst>
        <ext uri="{3e2802c4-a4d2-4d8b-9148-e3be6c30e623}">
          <xlrd:rvb i="11593"/>
        </ext>
      </extLst>
    </bk>
    <bk>
      <extLst>
        <ext uri="{3e2802c4-a4d2-4d8b-9148-e3be6c30e623}">
          <xlrd:rvb i="11594"/>
        </ext>
      </extLst>
    </bk>
    <bk>
      <extLst>
        <ext uri="{3e2802c4-a4d2-4d8b-9148-e3be6c30e623}">
          <xlrd:rvb i="11595"/>
        </ext>
      </extLst>
    </bk>
    <bk>
      <extLst>
        <ext uri="{3e2802c4-a4d2-4d8b-9148-e3be6c30e623}">
          <xlrd:rvb i="11596"/>
        </ext>
      </extLst>
    </bk>
    <bk>
      <extLst>
        <ext uri="{3e2802c4-a4d2-4d8b-9148-e3be6c30e623}">
          <xlrd:rvb i="11597"/>
        </ext>
      </extLst>
    </bk>
    <bk>
      <extLst>
        <ext uri="{3e2802c4-a4d2-4d8b-9148-e3be6c30e623}">
          <xlrd:rvb i="11598"/>
        </ext>
      </extLst>
    </bk>
    <bk>
      <extLst>
        <ext uri="{3e2802c4-a4d2-4d8b-9148-e3be6c30e623}">
          <xlrd:rvb i="11599"/>
        </ext>
      </extLst>
    </bk>
    <bk>
      <extLst>
        <ext uri="{3e2802c4-a4d2-4d8b-9148-e3be6c30e623}">
          <xlrd:rvb i="11600"/>
        </ext>
      </extLst>
    </bk>
    <bk>
      <extLst>
        <ext uri="{3e2802c4-a4d2-4d8b-9148-e3be6c30e623}">
          <xlrd:rvb i="11601"/>
        </ext>
      </extLst>
    </bk>
    <bk>
      <extLst>
        <ext uri="{3e2802c4-a4d2-4d8b-9148-e3be6c30e623}">
          <xlrd:rvb i="11602"/>
        </ext>
      </extLst>
    </bk>
    <bk>
      <extLst>
        <ext uri="{3e2802c4-a4d2-4d8b-9148-e3be6c30e623}">
          <xlrd:rvb i="11603"/>
        </ext>
      </extLst>
    </bk>
    <bk>
      <extLst>
        <ext uri="{3e2802c4-a4d2-4d8b-9148-e3be6c30e623}">
          <xlrd:rvb i="11604"/>
        </ext>
      </extLst>
    </bk>
    <bk>
      <extLst>
        <ext uri="{3e2802c4-a4d2-4d8b-9148-e3be6c30e623}">
          <xlrd:rvb i="11605"/>
        </ext>
      </extLst>
    </bk>
    <bk>
      <extLst>
        <ext uri="{3e2802c4-a4d2-4d8b-9148-e3be6c30e623}">
          <xlrd:rvb i="11606"/>
        </ext>
      </extLst>
    </bk>
    <bk>
      <extLst>
        <ext uri="{3e2802c4-a4d2-4d8b-9148-e3be6c30e623}">
          <xlrd:rvb i="11607"/>
        </ext>
      </extLst>
    </bk>
    <bk>
      <extLst>
        <ext uri="{3e2802c4-a4d2-4d8b-9148-e3be6c30e623}">
          <xlrd:rvb i="11608"/>
        </ext>
      </extLst>
    </bk>
    <bk>
      <extLst>
        <ext uri="{3e2802c4-a4d2-4d8b-9148-e3be6c30e623}">
          <xlrd:rvb i="11609"/>
        </ext>
      </extLst>
    </bk>
    <bk>
      <extLst>
        <ext uri="{3e2802c4-a4d2-4d8b-9148-e3be6c30e623}">
          <xlrd:rvb i="11610"/>
        </ext>
      </extLst>
    </bk>
    <bk>
      <extLst>
        <ext uri="{3e2802c4-a4d2-4d8b-9148-e3be6c30e623}">
          <xlrd:rvb i="11611"/>
        </ext>
      </extLst>
    </bk>
    <bk>
      <extLst>
        <ext uri="{3e2802c4-a4d2-4d8b-9148-e3be6c30e623}">
          <xlrd:rvb i="11612"/>
        </ext>
      </extLst>
    </bk>
    <bk>
      <extLst>
        <ext uri="{3e2802c4-a4d2-4d8b-9148-e3be6c30e623}">
          <xlrd:rvb i="11613"/>
        </ext>
      </extLst>
    </bk>
    <bk>
      <extLst>
        <ext uri="{3e2802c4-a4d2-4d8b-9148-e3be6c30e623}">
          <xlrd:rvb i="11614"/>
        </ext>
      </extLst>
    </bk>
    <bk>
      <extLst>
        <ext uri="{3e2802c4-a4d2-4d8b-9148-e3be6c30e623}">
          <xlrd:rvb i="11615"/>
        </ext>
      </extLst>
    </bk>
    <bk>
      <extLst>
        <ext uri="{3e2802c4-a4d2-4d8b-9148-e3be6c30e623}">
          <xlrd:rvb i="11616"/>
        </ext>
      </extLst>
    </bk>
    <bk>
      <extLst>
        <ext uri="{3e2802c4-a4d2-4d8b-9148-e3be6c30e623}">
          <xlrd:rvb i="11617"/>
        </ext>
      </extLst>
    </bk>
    <bk>
      <extLst>
        <ext uri="{3e2802c4-a4d2-4d8b-9148-e3be6c30e623}">
          <xlrd:rvb i="11618"/>
        </ext>
      </extLst>
    </bk>
    <bk>
      <extLst>
        <ext uri="{3e2802c4-a4d2-4d8b-9148-e3be6c30e623}">
          <xlrd:rvb i="11619"/>
        </ext>
      </extLst>
    </bk>
    <bk>
      <extLst>
        <ext uri="{3e2802c4-a4d2-4d8b-9148-e3be6c30e623}">
          <xlrd:rvb i="11620"/>
        </ext>
      </extLst>
    </bk>
    <bk>
      <extLst>
        <ext uri="{3e2802c4-a4d2-4d8b-9148-e3be6c30e623}">
          <xlrd:rvb i="11621"/>
        </ext>
      </extLst>
    </bk>
    <bk>
      <extLst>
        <ext uri="{3e2802c4-a4d2-4d8b-9148-e3be6c30e623}">
          <xlrd:rvb i="11622"/>
        </ext>
      </extLst>
    </bk>
    <bk>
      <extLst>
        <ext uri="{3e2802c4-a4d2-4d8b-9148-e3be6c30e623}">
          <xlrd:rvb i="11623"/>
        </ext>
      </extLst>
    </bk>
    <bk>
      <extLst>
        <ext uri="{3e2802c4-a4d2-4d8b-9148-e3be6c30e623}">
          <xlrd:rvb i="11624"/>
        </ext>
      </extLst>
    </bk>
    <bk>
      <extLst>
        <ext uri="{3e2802c4-a4d2-4d8b-9148-e3be6c30e623}">
          <xlrd:rvb i="11625"/>
        </ext>
      </extLst>
    </bk>
    <bk>
      <extLst>
        <ext uri="{3e2802c4-a4d2-4d8b-9148-e3be6c30e623}">
          <xlrd:rvb i="11626"/>
        </ext>
      </extLst>
    </bk>
    <bk>
      <extLst>
        <ext uri="{3e2802c4-a4d2-4d8b-9148-e3be6c30e623}">
          <xlrd:rvb i="11627"/>
        </ext>
      </extLst>
    </bk>
    <bk>
      <extLst>
        <ext uri="{3e2802c4-a4d2-4d8b-9148-e3be6c30e623}">
          <xlrd:rvb i="11628"/>
        </ext>
      </extLst>
    </bk>
    <bk>
      <extLst>
        <ext uri="{3e2802c4-a4d2-4d8b-9148-e3be6c30e623}">
          <xlrd:rvb i="11629"/>
        </ext>
      </extLst>
    </bk>
    <bk>
      <extLst>
        <ext uri="{3e2802c4-a4d2-4d8b-9148-e3be6c30e623}">
          <xlrd:rvb i="11630"/>
        </ext>
      </extLst>
    </bk>
    <bk>
      <extLst>
        <ext uri="{3e2802c4-a4d2-4d8b-9148-e3be6c30e623}">
          <xlrd:rvb i="11631"/>
        </ext>
      </extLst>
    </bk>
    <bk>
      <extLst>
        <ext uri="{3e2802c4-a4d2-4d8b-9148-e3be6c30e623}">
          <xlrd:rvb i="11632"/>
        </ext>
      </extLst>
    </bk>
    <bk>
      <extLst>
        <ext uri="{3e2802c4-a4d2-4d8b-9148-e3be6c30e623}">
          <xlrd:rvb i="11633"/>
        </ext>
      </extLst>
    </bk>
    <bk>
      <extLst>
        <ext uri="{3e2802c4-a4d2-4d8b-9148-e3be6c30e623}">
          <xlrd:rvb i="11634"/>
        </ext>
      </extLst>
    </bk>
    <bk>
      <extLst>
        <ext uri="{3e2802c4-a4d2-4d8b-9148-e3be6c30e623}">
          <xlrd:rvb i="11635"/>
        </ext>
      </extLst>
    </bk>
    <bk>
      <extLst>
        <ext uri="{3e2802c4-a4d2-4d8b-9148-e3be6c30e623}">
          <xlrd:rvb i="11636"/>
        </ext>
      </extLst>
    </bk>
    <bk>
      <extLst>
        <ext uri="{3e2802c4-a4d2-4d8b-9148-e3be6c30e623}">
          <xlrd:rvb i="11637"/>
        </ext>
      </extLst>
    </bk>
    <bk>
      <extLst>
        <ext uri="{3e2802c4-a4d2-4d8b-9148-e3be6c30e623}">
          <xlrd:rvb i="11638"/>
        </ext>
      </extLst>
    </bk>
    <bk>
      <extLst>
        <ext uri="{3e2802c4-a4d2-4d8b-9148-e3be6c30e623}">
          <xlrd:rvb i="11639"/>
        </ext>
      </extLst>
    </bk>
    <bk>
      <extLst>
        <ext uri="{3e2802c4-a4d2-4d8b-9148-e3be6c30e623}">
          <xlrd:rvb i="11640"/>
        </ext>
      </extLst>
    </bk>
    <bk>
      <extLst>
        <ext uri="{3e2802c4-a4d2-4d8b-9148-e3be6c30e623}">
          <xlrd:rvb i="11641"/>
        </ext>
      </extLst>
    </bk>
    <bk>
      <extLst>
        <ext uri="{3e2802c4-a4d2-4d8b-9148-e3be6c30e623}">
          <xlrd:rvb i="11642"/>
        </ext>
      </extLst>
    </bk>
    <bk>
      <extLst>
        <ext uri="{3e2802c4-a4d2-4d8b-9148-e3be6c30e623}">
          <xlrd:rvb i="11643"/>
        </ext>
      </extLst>
    </bk>
    <bk>
      <extLst>
        <ext uri="{3e2802c4-a4d2-4d8b-9148-e3be6c30e623}">
          <xlrd:rvb i="11644"/>
        </ext>
      </extLst>
    </bk>
    <bk>
      <extLst>
        <ext uri="{3e2802c4-a4d2-4d8b-9148-e3be6c30e623}">
          <xlrd:rvb i="11645"/>
        </ext>
      </extLst>
    </bk>
    <bk>
      <extLst>
        <ext uri="{3e2802c4-a4d2-4d8b-9148-e3be6c30e623}">
          <xlrd:rvb i="11646"/>
        </ext>
      </extLst>
    </bk>
    <bk>
      <extLst>
        <ext uri="{3e2802c4-a4d2-4d8b-9148-e3be6c30e623}">
          <xlrd:rvb i="11647"/>
        </ext>
      </extLst>
    </bk>
    <bk>
      <extLst>
        <ext uri="{3e2802c4-a4d2-4d8b-9148-e3be6c30e623}">
          <xlrd:rvb i="11648"/>
        </ext>
      </extLst>
    </bk>
    <bk>
      <extLst>
        <ext uri="{3e2802c4-a4d2-4d8b-9148-e3be6c30e623}">
          <xlrd:rvb i="11649"/>
        </ext>
      </extLst>
    </bk>
    <bk>
      <extLst>
        <ext uri="{3e2802c4-a4d2-4d8b-9148-e3be6c30e623}">
          <xlrd:rvb i="11650"/>
        </ext>
      </extLst>
    </bk>
    <bk>
      <extLst>
        <ext uri="{3e2802c4-a4d2-4d8b-9148-e3be6c30e623}">
          <xlrd:rvb i="11651"/>
        </ext>
      </extLst>
    </bk>
    <bk>
      <extLst>
        <ext uri="{3e2802c4-a4d2-4d8b-9148-e3be6c30e623}">
          <xlrd:rvb i="11652"/>
        </ext>
      </extLst>
    </bk>
    <bk>
      <extLst>
        <ext uri="{3e2802c4-a4d2-4d8b-9148-e3be6c30e623}">
          <xlrd:rvb i="11653"/>
        </ext>
      </extLst>
    </bk>
    <bk>
      <extLst>
        <ext uri="{3e2802c4-a4d2-4d8b-9148-e3be6c30e623}">
          <xlrd:rvb i="11654"/>
        </ext>
      </extLst>
    </bk>
    <bk>
      <extLst>
        <ext uri="{3e2802c4-a4d2-4d8b-9148-e3be6c30e623}">
          <xlrd:rvb i="11655"/>
        </ext>
      </extLst>
    </bk>
    <bk>
      <extLst>
        <ext uri="{3e2802c4-a4d2-4d8b-9148-e3be6c30e623}">
          <xlrd:rvb i="11656"/>
        </ext>
      </extLst>
    </bk>
    <bk>
      <extLst>
        <ext uri="{3e2802c4-a4d2-4d8b-9148-e3be6c30e623}">
          <xlrd:rvb i="11657"/>
        </ext>
      </extLst>
    </bk>
    <bk>
      <extLst>
        <ext uri="{3e2802c4-a4d2-4d8b-9148-e3be6c30e623}">
          <xlrd:rvb i="11658"/>
        </ext>
      </extLst>
    </bk>
    <bk>
      <extLst>
        <ext uri="{3e2802c4-a4d2-4d8b-9148-e3be6c30e623}">
          <xlrd:rvb i="11659"/>
        </ext>
      </extLst>
    </bk>
    <bk>
      <extLst>
        <ext uri="{3e2802c4-a4d2-4d8b-9148-e3be6c30e623}">
          <xlrd:rvb i="11660"/>
        </ext>
      </extLst>
    </bk>
    <bk>
      <extLst>
        <ext uri="{3e2802c4-a4d2-4d8b-9148-e3be6c30e623}">
          <xlrd:rvb i="11661"/>
        </ext>
      </extLst>
    </bk>
    <bk>
      <extLst>
        <ext uri="{3e2802c4-a4d2-4d8b-9148-e3be6c30e623}">
          <xlrd:rvb i="11662"/>
        </ext>
      </extLst>
    </bk>
    <bk>
      <extLst>
        <ext uri="{3e2802c4-a4d2-4d8b-9148-e3be6c30e623}">
          <xlrd:rvb i="11663"/>
        </ext>
      </extLst>
    </bk>
    <bk>
      <extLst>
        <ext uri="{3e2802c4-a4d2-4d8b-9148-e3be6c30e623}">
          <xlrd:rvb i="11664"/>
        </ext>
      </extLst>
    </bk>
    <bk>
      <extLst>
        <ext uri="{3e2802c4-a4d2-4d8b-9148-e3be6c30e623}">
          <xlrd:rvb i="11665"/>
        </ext>
      </extLst>
    </bk>
    <bk>
      <extLst>
        <ext uri="{3e2802c4-a4d2-4d8b-9148-e3be6c30e623}">
          <xlrd:rvb i="11666"/>
        </ext>
      </extLst>
    </bk>
    <bk>
      <extLst>
        <ext uri="{3e2802c4-a4d2-4d8b-9148-e3be6c30e623}">
          <xlrd:rvb i="11667"/>
        </ext>
      </extLst>
    </bk>
    <bk>
      <extLst>
        <ext uri="{3e2802c4-a4d2-4d8b-9148-e3be6c30e623}">
          <xlrd:rvb i="11668"/>
        </ext>
      </extLst>
    </bk>
    <bk>
      <extLst>
        <ext uri="{3e2802c4-a4d2-4d8b-9148-e3be6c30e623}">
          <xlrd:rvb i="11669"/>
        </ext>
      </extLst>
    </bk>
    <bk>
      <extLst>
        <ext uri="{3e2802c4-a4d2-4d8b-9148-e3be6c30e623}">
          <xlrd:rvb i="11670"/>
        </ext>
      </extLst>
    </bk>
    <bk>
      <extLst>
        <ext uri="{3e2802c4-a4d2-4d8b-9148-e3be6c30e623}">
          <xlrd:rvb i="11671"/>
        </ext>
      </extLst>
    </bk>
    <bk>
      <extLst>
        <ext uri="{3e2802c4-a4d2-4d8b-9148-e3be6c30e623}">
          <xlrd:rvb i="11672"/>
        </ext>
      </extLst>
    </bk>
    <bk>
      <extLst>
        <ext uri="{3e2802c4-a4d2-4d8b-9148-e3be6c30e623}">
          <xlrd:rvb i="11673"/>
        </ext>
      </extLst>
    </bk>
    <bk>
      <extLst>
        <ext uri="{3e2802c4-a4d2-4d8b-9148-e3be6c30e623}">
          <xlrd:rvb i="11674"/>
        </ext>
      </extLst>
    </bk>
    <bk>
      <extLst>
        <ext uri="{3e2802c4-a4d2-4d8b-9148-e3be6c30e623}">
          <xlrd:rvb i="11675"/>
        </ext>
      </extLst>
    </bk>
    <bk>
      <extLst>
        <ext uri="{3e2802c4-a4d2-4d8b-9148-e3be6c30e623}">
          <xlrd:rvb i="11676"/>
        </ext>
      </extLst>
    </bk>
    <bk>
      <extLst>
        <ext uri="{3e2802c4-a4d2-4d8b-9148-e3be6c30e623}">
          <xlrd:rvb i="11677"/>
        </ext>
      </extLst>
    </bk>
    <bk>
      <extLst>
        <ext uri="{3e2802c4-a4d2-4d8b-9148-e3be6c30e623}">
          <xlrd:rvb i="11678"/>
        </ext>
      </extLst>
    </bk>
    <bk>
      <extLst>
        <ext uri="{3e2802c4-a4d2-4d8b-9148-e3be6c30e623}">
          <xlrd:rvb i="11679"/>
        </ext>
      </extLst>
    </bk>
    <bk>
      <extLst>
        <ext uri="{3e2802c4-a4d2-4d8b-9148-e3be6c30e623}">
          <xlrd:rvb i="11680"/>
        </ext>
      </extLst>
    </bk>
    <bk>
      <extLst>
        <ext uri="{3e2802c4-a4d2-4d8b-9148-e3be6c30e623}">
          <xlrd:rvb i="11681"/>
        </ext>
      </extLst>
    </bk>
    <bk>
      <extLst>
        <ext uri="{3e2802c4-a4d2-4d8b-9148-e3be6c30e623}">
          <xlrd:rvb i="11682"/>
        </ext>
      </extLst>
    </bk>
    <bk>
      <extLst>
        <ext uri="{3e2802c4-a4d2-4d8b-9148-e3be6c30e623}">
          <xlrd:rvb i="11683"/>
        </ext>
      </extLst>
    </bk>
    <bk>
      <extLst>
        <ext uri="{3e2802c4-a4d2-4d8b-9148-e3be6c30e623}">
          <xlrd:rvb i="11684"/>
        </ext>
      </extLst>
    </bk>
    <bk>
      <extLst>
        <ext uri="{3e2802c4-a4d2-4d8b-9148-e3be6c30e623}">
          <xlrd:rvb i="11685"/>
        </ext>
      </extLst>
    </bk>
    <bk>
      <extLst>
        <ext uri="{3e2802c4-a4d2-4d8b-9148-e3be6c30e623}">
          <xlrd:rvb i="11686"/>
        </ext>
      </extLst>
    </bk>
    <bk>
      <extLst>
        <ext uri="{3e2802c4-a4d2-4d8b-9148-e3be6c30e623}">
          <xlrd:rvb i="11687"/>
        </ext>
      </extLst>
    </bk>
    <bk>
      <extLst>
        <ext uri="{3e2802c4-a4d2-4d8b-9148-e3be6c30e623}">
          <xlrd:rvb i="11688"/>
        </ext>
      </extLst>
    </bk>
    <bk>
      <extLst>
        <ext uri="{3e2802c4-a4d2-4d8b-9148-e3be6c30e623}">
          <xlrd:rvb i="11689"/>
        </ext>
      </extLst>
    </bk>
    <bk>
      <extLst>
        <ext uri="{3e2802c4-a4d2-4d8b-9148-e3be6c30e623}">
          <xlrd:rvb i="11690"/>
        </ext>
      </extLst>
    </bk>
    <bk>
      <extLst>
        <ext uri="{3e2802c4-a4d2-4d8b-9148-e3be6c30e623}">
          <xlrd:rvb i="11691"/>
        </ext>
      </extLst>
    </bk>
    <bk>
      <extLst>
        <ext uri="{3e2802c4-a4d2-4d8b-9148-e3be6c30e623}">
          <xlrd:rvb i="11692"/>
        </ext>
      </extLst>
    </bk>
    <bk>
      <extLst>
        <ext uri="{3e2802c4-a4d2-4d8b-9148-e3be6c30e623}">
          <xlrd:rvb i="11693"/>
        </ext>
      </extLst>
    </bk>
    <bk>
      <extLst>
        <ext uri="{3e2802c4-a4d2-4d8b-9148-e3be6c30e623}">
          <xlrd:rvb i="11694"/>
        </ext>
      </extLst>
    </bk>
    <bk>
      <extLst>
        <ext uri="{3e2802c4-a4d2-4d8b-9148-e3be6c30e623}">
          <xlrd:rvb i="11695"/>
        </ext>
      </extLst>
    </bk>
    <bk>
      <extLst>
        <ext uri="{3e2802c4-a4d2-4d8b-9148-e3be6c30e623}">
          <xlrd:rvb i="11696"/>
        </ext>
      </extLst>
    </bk>
    <bk>
      <extLst>
        <ext uri="{3e2802c4-a4d2-4d8b-9148-e3be6c30e623}">
          <xlrd:rvb i="11697"/>
        </ext>
      </extLst>
    </bk>
    <bk>
      <extLst>
        <ext uri="{3e2802c4-a4d2-4d8b-9148-e3be6c30e623}">
          <xlrd:rvb i="11698"/>
        </ext>
      </extLst>
    </bk>
    <bk>
      <extLst>
        <ext uri="{3e2802c4-a4d2-4d8b-9148-e3be6c30e623}">
          <xlrd:rvb i="11699"/>
        </ext>
      </extLst>
    </bk>
    <bk>
      <extLst>
        <ext uri="{3e2802c4-a4d2-4d8b-9148-e3be6c30e623}">
          <xlrd:rvb i="11700"/>
        </ext>
      </extLst>
    </bk>
    <bk>
      <extLst>
        <ext uri="{3e2802c4-a4d2-4d8b-9148-e3be6c30e623}">
          <xlrd:rvb i="11701"/>
        </ext>
      </extLst>
    </bk>
    <bk>
      <extLst>
        <ext uri="{3e2802c4-a4d2-4d8b-9148-e3be6c30e623}">
          <xlrd:rvb i="11702"/>
        </ext>
      </extLst>
    </bk>
    <bk>
      <extLst>
        <ext uri="{3e2802c4-a4d2-4d8b-9148-e3be6c30e623}">
          <xlrd:rvb i="11703"/>
        </ext>
      </extLst>
    </bk>
    <bk>
      <extLst>
        <ext uri="{3e2802c4-a4d2-4d8b-9148-e3be6c30e623}">
          <xlrd:rvb i="11704"/>
        </ext>
      </extLst>
    </bk>
    <bk>
      <extLst>
        <ext uri="{3e2802c4-a4d2-4d8b-9148-e3be6c30e623}">
          <xlrd:rvb i="11705"/>
        </ext>
      </extLst>
    </bk>
    <bk>
      <extLst>
        <ext uri="{3e2802c4-a4d2-4d8b-9148-e3be6c30e623}">
          <xlrd:rvb i="11706"/>
        </ext>
      </extLst>
    </bk>
    <bk>
      <extLst>
        <ext uri="{3e2802c4-a4d2-4d8b-9148-e3be6c30e623}">
          <xlrd:rvb i="11707"/>
        </ext>
      </extLst>
    </bk>
    <bk>
      <extLst>
        <ext uri="{3e2802c4-a4d2-4d8b-9148-e3be6c30e623}">
          <xlrd:rvb i="11708"/>
        </ext>
      </extLst>
    </bk>
    <bk>
      <extLst>
        <ext uri="{3e2802c4-a4d2-4d8b-9148-e3be6c30e623}">
          <xlrd:rvb i="11709"/>
        </ext>
      </extLst>
    </bk>
    <bk>
      <extLst>
        <ext uri="{3e2802c4-a4d2-4d8b-9148-e3be6c30e623}">
          <xlrd:rvb i="11710"/>
        </ext>
      </extLst>
    </bk>
    <bk>
      <extLst>
        <ext uri="{3e2802c4-a4d2-4d8b-9148-e3be6c30e623}">
          <xlrd:rvb i="11711"/>
        </ext>
      </extLst>
    </bk>
    <bk>
      <extLst>
        <ext uri="{3e2802c4-a4d2-4d8b-9148-e3be6c30e623}">
          <xlrd:rvb i="11712"/>
        </ext>
      </extLst>
    </bk>
    <bk>
      <extLst>
        <ext uri="{3e2802c4-a4d2-4d8b-9148-e3be6c30e623}">
          <xlrd:rvb i="11713"/>
        </ext>
      </extLst>
    </bk>
    <bk>
      <extLst>
        <ext uri="{3e2802c4-a4d2-4d8b-9148-e3be6c30e623}">
          <xlrd:rvb i="11714"/>
        </ext>
      </extLst>
    </bk>
    <bk>
      <extLst>
        <ext uri="{3e2802c4-a4d2-4d8b-9148-e3be6c30e623}">
          <xlrd:rvb i="11715"/>
        </ext>
      </extLst>
    </bk>
    <bk>
      <extLst>
        <ext uri="{3e2802c4-a4d2-4d8b-9148-e3be6c30e623}">
          <xlrd:rvb i="11716"/>
        </ext>
      </extLst>
    </bk>
    <bk>
      <extLst>
        <ext uri="{3e2802c4-a4d2-4d8b-9148-e3be6c30e623}">
          <xlrd:rvb i="11717"/>
        </ext>
      </extLst>
    </bk>
    <bk>
      <extLst>
        <ext uri="{3e2802c4-a4d2-4d8b-9148-e3be6c30e623}">
          <xlrd:rvb i="11718"/>
        </ext>
      </extLst>
    </bk>
    <bk>
      <extLst>
        <ext uri="{3e2802c4-a4d2-4d8b-9148-e3be6c30e623}">
          <xlrd:rvb i="11719"/>
        </ext>
      </extLst>
    </bk>
    <bk>
      <extLst>
        <ext uri="{3e2802c4-a4d2-4d8b-9148-e3be6c30e623}">
          <xlrd:rvb i="11720"/>
        </ext>
      </extLst>
    </bk>
    <bk>
      <extLst>
        <ext uri="{3e2802c4-a4d2-4d8b-9148-e3be6c30e623}">
          <xlrd:rvb i="11721"/>
        </ext>
      </extLst>
    </bk>
    <bk>
      <extLst>
        <ext uri="{3e2802c4-a4d2-4d8b-9148-e3be6c30e623}">
          <xlrd:rvb i="11722"/>
        </ext>
      </extLst>
    </bk>
    <bk>
      <extLst>
        <ext uri="{3e2802c4-a4d2-4d8b-9148-e3be6c30e623}">
          <xlrd:rvb i="11723"/>
        </ext>
      </extLst>
    </bk>
    <bk>
      <extLst>
        <ext uri="{3e2802c4-a4d2-4d8b-9148-e3be6c30e623}">
          <xlrd:rvb i="11724"/>
        </ext>
      </extLst>
    </bk>
    <bk>
      <extLst>
        <ext uri="{3e2802c4-a4d2-4d8b-9148-e3be6c30e623}">
          <xlrd:rvb i="11725"/>
        </ext>
      </extLst>
    </bk>
    <bk>
      <extLst>
        <ext uri="{3e2802c4-a4d2-4d8b-9148-e3be6c30e623}">
          <xlrd:rvb i="11726"/>
        </ext>
      </extLst>
    </bk>
    <bk>
      <extLst>
        <ext uri="{3e2802c4-a4d2-4d8b-9148-e3be6c30e623}">
          <xlrd:rvb i="11727"/>
        </ext>
      </extLst>
    </bk>
    <bk>
      <extLst>
        <ext uri="{3e2802c4-a4d2-4d8b-9148-e3be6c30e623}">
          <xlrd:rvb i="11728"/>
        </ext>
      </extLst>
    </bk>
    <bk>
      <extLst>
        <ext uri="{3e2802c4-a4d2-4d8b-9148-e3be6c30e623}">
          <xlrd:rvb i="11729"/>
        </ext>
      </extLst>
    </bk>
    <bk>
      <extLst>
        <ext uri="{3e2802c4-a4d2-4d8b-9148-e3be6c30e623}">
          <xlrd:rvb i="11730"/>
        </ext>
      </extLst>
    </bk>
    <bk>
      <extLst>
        <ext uri="{3e2802c4-a4d2-4d8b-9148-e3be6c30e623}">
          <xlrd:rvb i="11731"/>
        </ext>
      </extLst>
    </bk>
    <bk>
      <extLst>
        <ext uri="{3e2802c4-a4d2-4d8b-9148-e3be6c30e623}">
          <xlrd:rvb i="11732"/>
        </ext>
      </extLst>
    </bk>
    <bk>
      <extLst>
        <ext uri="{3e2802c4-a4d2-4d8b-9148-e3be6c30e623}">
          <xlrd:rvb i="11733"/>
        </ext>
      </extLst>
    </bk>
    <bk>
      <extLst>
        <ext uri="{3e2802c4-a4d2-4d8b-9148-e3be6c30e623}">
          <xlrd:rvb i="11734"/>
        </ext>
      </extLst>
    </bk>
    <bk>
      <extLst>
        <ext uri="{3e2802c4-a4d2-4d8b-9148-e3be6c30e623}">
          <xlrd:rvb i="11735"/>
        </ext>
      </extLst>
    </bk>
    <bk>
      <extLst>
        <ext uri="{3e2802c4-a4d2-4d8b-9148-e3be6c30e623}">
          <xlrd:rvb i="11736"/>
        </ext>
      </extLst>
    </bk>
    <bk>
      <extLst>
        <ext uri="{3e2802c4-a4d2-4d8b-9148-e3be6c30e623}">
          <xlrd:rvb i="11737"/>
        </ext>
      </extLst>
    </bk>
    <bk>
      <extLst>
        <ext uri="{3e2802c4-a4d2-4d8b-9148-e3be6c30e623}">
          <xlrd:rvb i="11738"/>
        </ext>
      </extLst>
    </bk>
    <bk>
      <extLst>
        <ext uri="{3e2802c4-a4d2-4d8b-9148-e3be6c30e623}">
          <xlrd:rvb i="11739"/>
        </ext>
      </extLst>
    </bk>
    <bk>
      <extLst>
        <ext uri="{3e2802c4-a4d2-4d8b-9148-e3be6c30e623}">
          <xlrd:rvb i="11740"/>
        </ext>
      </extLst>
    </bk>
    <bk>
      <extLst>
        <ext uri="{3e2802c4-a4d2-4d8b-9148-e3be6c30e623}">
          <xlrd:rvb i="11741"/>
        </ext>
      </extLst>
    </bk>
    <bk>
      <extLst>
        <ext uri="{3e2802c4-a4d2-4d8b-9148-e3be6c30e623}">
          <xlrd:rvb i="11742"/>
        </ext>
      </extLst>
    </bk>
    <bk>
      <extLst>
        <ext uri="{3e2802c4-a4d2-4d8b-9148-e3be6c30e623}">
          <xlrd:rvb i="11743"/>
        </ext>
      </extLst>
    </bk>
    <bk>
      <extLst>
        <ext uri="{3e2802c4-a4d2-4d8b-9148-e3be6c30e623}">
          <xlrd:rvb i="11744"/>
        </ext>
      </extLst>
    </bk>
    <bk>
      <extLst>
        <ext uri="{3e2802c4-a4d2-4d8b-9148-e3be6c30e623}">
          <xlrd:rvb i="11745"/>
        </ext>
      </extLst>
    </bk>
    <bk>
      <extLst>
        <ext uri="{3e2802c4-a4d2-4d8b-9148-e3be6c30e623}">
          <xlrd:rvb i="11746"/>
        </ext>
      </extLst>
    </bk>
    <bk>
      <extLst>
        <ext uri="{3e2802c4-a4d2-4d8b-9148-e3be6c30e623}">
          <xlrd:rvb i="11747"/>
        </ext>
      </extLst>
    </bk>
    <bk>
      <extLst>
        <ext uri="{3e2802c4-a4d2-4d8b-9148-e3be6c30e623}">
          <xlrd:rvb i="11748"/>
        </ext>
      </extLst>
    </bk>
    <bk>
      <extLst>
        <ext uri="{3e2802c4-a4d2-4d8b-9148-e3be6c30e623}">
          <xlrd:rvb i="11749"/>
        </ext>
      </extLst>
    </bk>
    <bk>
      <extLst>
        <ext uri="{3e2802c4-a4d2-4d8b-9148-e3be6c30e623}">
          <xlrd:rvb i="11750"/>
        </ext>
      </extLst>
    </bk>
    <bk>
      <extLst>
        <ext uri="{3e2802c4-a4d2-4d8b-9148-e3be6c30e623}">
          <xlrd:rvb i="11751"/>
        </ext>
      </extLst>
    </bk>
    <bk>
      <extLst>
        <ext uri="{3e2802c4-a4d2-4d8b-9148-e3be6c30e623}">
          <xlrd:rvb i="11752"/>
        </ext>
      </extLst>
    </bk>
    <bk>
      <extLst>
        <ext uri="{3e2802c4-a4d2-4d8b-9148-e3be6c30e623}">
          <xlrd:rvb i="11753"/>
        </ext>
      </extLst>
    </bk>
    <bk>
      <extLst>
        <ext uri="{3e2802c4-a4d2-4d8b-9148-e3be6c30e623}">
          <xlrd:rvb i="11754"/>
        </ext>
      </extLst>
    </bk>
    <bk>
      <extLst>
        <ext uri="{3e2802c4-a4d2-4d8b-9148-e3be6c30e623}">
          <xlrd:rvb i="11755"/>
        </ext>
      </extLst>
    </bk>
    <bk>
      <extLst>
        <ext uri="{3e2802c4-a4d2-4d8b-9148-e3be6c30e623}">
          <xlrd:rvb i="11756"/>
        </ext>
      </extLst>
    </bk>
    <bk>
      <extLst>
        <ext uri="{3e2802c4-a4d2-4d8b-9148-e3be6c30e623}">
          <xlrd:rvb i="11757"/>
        </ext>
      </extLst>
    </bk>
    <bk>
      <extLst>
        <ext uri="{3e2802c4-a4d2-4d8b-9148-e3be6c30e623}">
          <xlrd:rvb i="11758"/>
        </ext>
      </extLst>
    </bk>
    <bk>
      <extLst>
        <ext uri="{3e2802c4-a4d2-4d8b-9148-e3be6c30e623}">
          <xlrd:rvb i="11759"/>
        </ext>
      </extLst>
    </bk>
    <bk>
      <extLst>
        <ext uri="{3e2802c4-a4d2-4d8b-9148-e3be6c30e623}">
          <xlrd:rvb i="11760"/>
        </ext>
      </extLst>
    </bk>
    <bk>
      <extLst>
        <ext uri="{3e2802c4-a4d2-4d8b-9148-e3be6c30e623}">
          <xlrd:rvb i="11761"/>
        </ext>
      </extLst>
    </bk>
    <bk>
      <extLst>
        <ext uri="{3e2802c4-a4d2-4d8b-9148-e3be6c30e623}">
          <xlrd:rvb i="11762"/>
        </ext>
      </extLst>
    </bk>
    <bk>
      <extLst>
        <ext uri="{3e2802c4-a4d2-4d8b-9148-e3be6c30e623}">
          <xlrd:rvb i="11763"/>
        </ext>
      </extLst>
    </bk>
    <bk>
      <extLst>
        <ext uri="{3e2802c4-a4d2-4d8b-9148-e3be6c30e623}">
          <xlrd:rvb i="11764"/>
        </ext>
      </extLst>
    </bk>
    <bk>
      <extLst>
        <ext uri="{3e2802c4-a4d2-4d8b-9148-e3be6c30e623}">
          <xlrd:rvb i="11765"/>
        </ext>
      </extLst>
    </bk>
    <bk>
      <extLst>
        <ext uri="{3e2802c4-a4d2-4d8b-9148-e3be6c30e623}">
          <xlrd:rvb i="11766"/>
        </ext>
      </extLst>
    </bk>
    <bk>
      <extLst>
        <ext uri="{3e2802c4-a4d2-4d8b-9148-e3be6c30e623}">
          <xlrd:rvb i="11767"/>
        </ext>
      </extLst>
    </bk>
    <bk>
      <extLst>
        <ext uri="{3e2802c4-a4d2-4d8b-9148-e3be6c30e623}">
          <xlrd:rvb i="11768"/>
        </ext>
      </extLst>
    </bk>
    <bk>
      <extLst>
        <ext uri="{3e2802c4-a4d2-4d8b-9148-e3be6c30e623}">
          <xlrd:rvb i="11769"/>
        </ext>
      </extLst>
    </bk>
    <bk>
      <extLst>
        <ext uri="{3e2802c4-a4d2-4d8b-9148-e3be6c30e623}">
          <xlrd:rvb i="11770"/>
        </ext>
      </extLst>
    </bk>
    <bk>
      <extLst>
        <ext uri="{3e2802c4-a4d2-4d8b-9148-e3be6c30e623}">
          <xlrd:rvb i="11771"/>
        </ext>
      </extLst>
    </bk>
    <bk>
      <extLst>
        <ext uri="{3e2802c4-a4d2-4d8b-9148-e3be6c30e623}">
          <xlrd:rvb i="11772"/>
        </ext>
      </extLst>
    </bk>
    <bk>
      <extLst>
        <ext uri="{3e2802c4-a4d2-4d8b-9148-e3be6c30e623}">
          <xlrd:rvb i="11773"/>
        </ext>
      </extLst>
    </bk>
    <bk>
      <extLst>
        <ext uri="{3e2802c4-a4d2-4d8b-9148-e3be6c30e623}">
          <xlrd:rvb i="11774"/>
        </ext>
      </extLst>
    </bk>
    <bk>
      <extLst>
        <ext uri="{3e2802c4-a4d2-4d8b-9148-e3be6c30e623}">
          <xlrd:rvb i="11775"/>
        </ext>
      </extLst>
    </bk>
    <bk>
      <extLst>
        <ext uri="{3e2802c4-a4d2-4d8b-9148-e3be6c30e623}">
          <xlrd:rvb i="11776"/>
        </ext>
      </extLst>
    </bk>
    <bk>
      <extLst>
        <ext uri="{3e2802c4-a4d2-4d8b-9148-e3be6c30e623}">
          <xlrd:rvb i="11777"/>
        </ext>
      </extLst>
    </bk>
    <bk>
      <extLst>
        <ext uri="{3e2802c4-a4d2-4d8b-9148-e3be6c30e623}">
          <xlrd:rvb i="11778"/>
        </ext>
      </extLst>
    </bk>
    <bk>
      <extLst>
        <ext uri="{3e2802c4-a4d2-4d8b-9148-e3be6c30e623}">
          <xlrd:rvb i="11779"/>
        </ext>
      </extLst>
    </bk>
    <bk>
      <extLst>
        <ext uri="{3e2802c4-a4d2-4d8b-9148-e3be6c30e623}">
          <xlrd:rvb i="11780"/>
        </ext>
      </extLst>
    </bk>
    <bk>
      <extLst>
        <ext uri="{3e2802c4-a4d2-4d8b-9148-e3be6c30e623}">
          <xlrd:rvb i="11781"/>
        </ext>
      </extLst>
    </bk>
    <bk>
      <extLst>
        <ext uri="{3e2802c4-a4d2-4d8b-9148-e3be6c30e623}">
          <xlrd:rvb i="11782"/>
        </ext>
      </extLst>
    </bk>
    <bk>
      <extLst>
        <ext uri="{3e2802c4-a4d2-4d8b-9148-e3be6c30e623}">
          <xlrd:rvb i="11783"/>
        </ext>
      </extLst>
    </bk>
    <bk>
      <extLst>
        <ext uri="{3e2802c4-a4d2-4d8b-9148-e3be6c30e623}">
          <xlrd:rvb i="11784"/>
        </ext>
      </extLst>
    </bk>
    <bk>
      <extLst>
        <ext uri="{3e2802c4-a4d2-4d8b-9148-e3be6c30e623}">
          <xlrd:rvb i="11785"/>
        </ext>
      </extLst>
    </bk>
    <bk>
      <extLst>
        <ext uri="{3e2802c4-a4d2-4d8b-9148-e3be6c30e623}">
          <xlrd:rvb i="11786"/>
        </ext>
      </extLst>
    </bk>
    <bk>
      <extLst>
        <ext uri="{3e2802c4-a4d2-4d8b-9148-e3be6c30e623}">
          <xlrd:rvb i="11787"/>
        </ext>
      </extLst>
    </bk>
    <bk>
      <extLst>
        <ext uri="{3e2802c4-a4d2-4d8b-9148-e3be6c30e623}">
          <xlrd:rvb i="11788"/>
        </ext>
      </extLst>
    </bk>
    <bk>
      <extLst>
        <ext uri="{3e2802c4-a4d2-4d8b-9148-e3be6c30e623}">
          <xlrd:rvb i="11789"/>
        </ext>
      </extLst>
    </bk>
    <bk>
      <extLst>
        <ext uri="{3e2802c4-a4d2-4d8b-9148-e3be6c30e623}">
          <xlrd:rvb i="11790"/>
        </ext>
      </extLst>
    </bk>
    <bk>
      <extLst>
        <ext uri="{3e2802c4-a4d2-4d8b-9148-e3be6c30e623}">
          <xlrd:rvb i="11791"/>
        </ext>
      </extLst>
    </bk>
    <bk>
      <extLst>
        <ext uri="{3e2802c4-a4d2-4d8b-9148-e3be6c30e623}">
          <xlrd:rvb i="11792"/>
        </ext>
      </extLst>
    </bk>
    <bk>
      <extLst>
        <ext uri="{3e2802c4-a4d2-4d8b-9148-e3be6c30e623}">
          <xlrd:rvb i="11793"/>
        </ext>
      </extLst>
    </bk>
    <bk>
      <extLst>
        <ext uri="{3e2802c4-a4d2-4d8b-9148-e3be6c30e623}">
          <xlrd:rvb i="11794"/>
        </ext>
      </extLst>
    </bk>
    <bk>
      <extLst>
        <ext uri="{3e2802c4-a4d2-4d8b-9148-e3be6c30e623}">
          <xlrd:rvb i="11795"/>
        </ext>
      </extLst>
    </bk>
    <bk>
      <extLst>
        <ext uri="{3e2802c4-a4d2-4d8b-9148-e3be6c30e623}">
          <xlrd:rvb i="11796"/>
        </ext>
      </extLst>
    </bk>
    <bk>
      <extLst>
        <ext uri="{3e2802c4-a4d2-4d8b-9148-e3be6c30e623}">
          <xlrd:rvb i="11797"/>
        </ext>
      </extLst>
    </bk>
    <bk>
      <extLst>
        <ext uri="{3e2802c4-a4d2-4d8b-9148-e3be6c30e623}">
          <xlrd:rvb i="11798"/>
        </ext>
      </extLst>
    </bk>
    <bk>
      <extLst>
        <ext uri="{3e2802c4-a4d2-4d8b-9148-e3be6c30e623}">
          <xlrd:rvb i="11799"/>
        </ext>
      </extLst>
    </bk>
    <bk>
      <extLst>
        <ext uri="{3e2802c4-a4d2-4d8b-9148-e3be6c30e623}">
          <xlrd:rvb i="11800"/>
        </ext>
      </extLst>
    </bk>
    <bk>
      <extLst>
        <ext uri="{3e2802c4-a4d2-4d8b-9148-e3be6c30e623}">
          <xlrd:rvb i="11801"/>
        </ext>
      </extLst>
    </bk>
    <bk>
      <extLst>
        <ext uri="{3e2802c4-a4d2-4d8b-9148-e3be6c30e623}">
          <xlrd:rvb i="11802"/>
        </ext>
      </extLst>
    </bk>
    <bk>
      <extLst>
        <ext uri="{3e2802c4-a4d2-4d8b-9148-e3be6c30e623}">
          <xlrd:rvb i="11803"/>
        </ext>
      </extLst>
    </bk>
    <bk>
      <extLst>
        <ext uri="{3e2802c4-a4d2-4d8b-9148-e3be6c30e623}">
          <xlrd:rvb i="11804"/>
        </ext>
      </extLst>
    </bk>
    <bk>
      <extLst>
        <ext uri="{3e2802c4-a4d2-4d8b-9148-e3be6c30e623}">
          <xlrd:rvb i="11805"/>
        </ext>
      </extLst>
    </bk>
    <bk>
      <extLst>
        <ext uri="{3e2802c4-a4d2-4d8b-9148-e3be6c30e623}">
          <xlrd:rvb i="11806"/>
        </ext>
      </extLst>
    </bk>
    <bk>
      <extLst>
        <ext uri="{3e2802c4-a4d2-4d8b-9148-e3be6c30e623}">
          <xlrd:rvb i="11807"/>
        </ext>
      </extLst>
    </bk>
    <bk>
      <extLst>
        <ext uri="{3e2802c4-a4d2-4d8b-9148-e3be6c30e623}">
          <xlrd:rvb i="11808"/>
        </ext>
      </extLst>
    </bk>
    <bk>
      <extLst>
        <ext uri="{3e2802c4-a4d2-4d8b-9148-e3be6c30e623}">
          <xlrd:rvb i="11809"/>
        </ext>
      </extLst>
    </bk>
    <bk>
      <extLst>
        <ext uri="{3e2802c4-a4d2-4d8b-9148-e3be6c30e623}">
          <xlrd:rvb i="11810"/>
        </ext>
      </extLst>
    </bk>
    <bk>
      <extLst>
        <ext uri="{3e2802c4-a4d2-4d8b-9148-e3be6c30e623}">
          <xlrd:rvb i="11811"/>
        </ext>
      </extLst>
    </bk>
    <bk>
      <extLst>
        <ext uri="{3e2802c4-a4d2-4d8b-9148-e3be6c30e623}">
          <xlrd:rvb i="11812"/>
        </ext>
      </extLst>
    </bk>
    <bk>
      <extLst>
        <ext uri="{3e2802c4-a4d2-4d8b-9148-e3be6c30e623}">
          <xlrd:rvb i="11813"/>
        </ext>
      </extLst>
    </bk>
    <bk>
      <extLst>
        <ext uri="{3e2802c4-a4d2-4d8b-9148-e3be6c30e623}">
          <xlrd:rvb i="11814"/>
        </ext>
      </extLst>
    </bk>
    <bk>
      <extLst>
        <ext uri="{3e2802c4-a4d2-4d8b-9148-e3be6c30e623}">
          <xlrd:rvb i="11815"/>
        </ext>
      </extLst>
    </bk>
    <bk>
      <extLst>
        <ext uri="{3e2802c4-a4d2-4d8b-9148-e3be6c30e623}">
          <xlrd:rvb i="11816"/>
        </ext>
      </extLst>
    </bk>
    <bk>
      <extLst>
        <ext uri="{3e2802c4-a4d2-4d8b-9148-e3be6c30e623}">
          <xlrd:rvb i="11817"/>
        </ext>
      </extLst>
    </bk>
    <bk>
      <extLst>
        <ext uri="{3e2802c4-a4d2-4d8b-9148-e3be6c30e623}">
          <xlrd:rvb i="11818"/>
        </ext>
      </extLst>
    </bk>
    <bk>
      <extLst>
        <ext uri="{3e2802c4-a4d2-4d8b-9148-e3be6c30e623}">
          <xlrd:rvb i="11819"/>
        </ext>
      </extLst>
    </bk>
    <bk>
      <extLst>
        <ext uri="{3e2802c4-a4d2-4d8b-9148-e3be6c30e623}">
          <xlrd:rvb i="11820"/>
        </ext>
      </extLst>
    </bk>
    <bk>
      <extLst>
        <ext uri="{3e2802c4-a4d2-4d8b-9148-e3be6c30e623}">
          <xlrd:rvb i="11821"/>
        </ext>
      </extLst>
    </bk>
    <bk>
      <extLst>
        <ext uri="{3e2802c4-a4d2-4d8b-9148-e3be6c30e623}">
          <xlrd:rvb i="11822"/>
        </ext>
      </extLst>
    </bk>
    <bk>
      <extLst>
        <ext uri="{3e2802c4-a4d2-4d8b-9148-e3be6c30e623}">
          <xlrd:rvb i="11823"/>
        </ext>
      </extLst>
    </bk>
    <bk>
      <extLst>
        <ext uri="{3e2802c4-a4d2-4d8b-9148-e3be6c30e623}">
          <xlrd:rvb i="11824"/>
        </ext>
      </extLst>
    </bk>
    <bk>
      <extLst>
        <ext uri="{3e2802c4-a4d2-4d8b-9148-e3be6c30e623}">
          <xlrd:rvb i="11825"/>
        </ext>
      </extLst>
    </bk>
    <bk>
      <extLst>
        <ext uri="{3e2802c4-a4d2-4d8b-9148-e3be6c30e623}">
          <xlrd:rvb i="11826"/>
        </ext>
      </extLst>
    </bk>
    <bk>
      <extLst>
        <ext uri="{3e2802c4-a4d2-4d8b-9148-e3be6c30e623}">
          <xlrd:rvb i="11827"/>
        </ext>
      </extLst>
    </bk>
    <bk>
      <extLst>
        <ext uri="{3e2802c4-a4d2-4d8b-9148-e3be6c30e623}">
          <xlrd:rvb i="11828"/>
        </ext>
      </extLst>
    </bk>
    <bk>
      <extLst>
        <ext uri="{3e2802c4-a4d2-4d8b-9148-e3be6c30e623}">
          <xlrd:rvb i="11829"/>
        </ext>
      </extLst>
    </bk>
    <bk>
      <extLst>
        <ext uri="{3e2802c4-a4d2-4d8b-9148-e3be6c30e623}">
          <xlrd:rvb i="11830"/>
        </ext>
      </extLst>
    </bk>
    <bk>
      <extLst>
        <ext uri="{3e2802c4-a4d2-4d8b-9148-e3be6c30e623}">
          <xlrd:rvb i="11831"/>
        </ext>
      </extLst>
    </bk>
    <bk>
      <extLst>
        <ext uri="{3e2802c4-a4d2-4d8b-9148-e3be6c30e623}">
          <xlrd:rvb i="11832"/>
        </ext>
      </extLst>
    </bk>
    <bk>
      <extLst>
        <ext uri="{3e2802c4-a4d2-4d8b-9148-e3be6c30e623}">
          <xlrd:rvb i="11833"/>
        </ext>
      </extLst>
    </bk>
    <bk>
      <extLst>
        <ext uri="{3e2802c4-a4d2-4d8b-9148-e3be6c30e623}">
          <xlrd:rvb i="11834"/>
        </ext>
      </extLst>
    </bk>
    <bk>
      <extLst>
        <ext uri="{3e2802c4-a4d2-4d8b-9148-e3be6c30e623}">
          <xlrd:rvb i="11835"/>
        </ext>
      </extLst>
    </bk>
    <bk>
      <extLst>
        <ext uri="{3e2802c4-a4d2-4d8b-9148-e3be6c30e623}">
          <xlrd:rvb i="11836"/>
        </ext>
      </extLst>
    </bk>
    <bk>
      <extLst>
        <ext uri="{3e2802c4-a4d2-4d8b-9148-e3be6c30e623}">
          <xlrd:rvb i="11837"/>
        </ext>
      </extLst>
    </bk>
    <bk>
      <extLst>
        <ext uri="{3e2802c4-a4d2-4d8b-9148-e3be6c30e623}">
          <xlrd:rvb i="11838"/>
        </ext>
      </extLst>
    </bk>
    <bk>
      <extLst>
        <ext uri="{3e2802c4-a4d2-4d8b-9148-e3be6c30e623}">
          <xlrd:rvb i="11839"/>
        </ext>
      </extLst>
    </bk>
    <bk>
      <extLst>
        <ext uri="{3e2802c4-a4d2-4d8b-9148-e3be6c30e623}">
          <xlrd:rvb i="11840"/>
        </ext>
      </extLst>
    </bk>
    <bk>
      <extLst>
        <ext uri="{3e2802c4-a4d2-4d8b-9148-e3be6c30e623}">
          <xlrd:rvb i="11841"/>
        </ext>
      </extLst>
    </bk>
    <bk>
      <extLst>
        <ext uri="{3e2802c4-a4d2-4d8b-9148-e3be6c30e623}">
          <xlrd:rvb i="11842"/>
        </ext>
      </extLst>
    </bk>
    <bk>
      <extLst>
        <ext uri="{3e2802c4-a4d2-4d8b-9148-e3be6c30e623}">
          <xlrd:rvb i="11843"/>
        </ext>
      </extLst>
    </bk>
    <bk>
      <extLst>
        <ext uri="{3e2802c4-a4d2-4d8b-9148-e3be6c30e623}">
          <xlrd:rvb i="11844"/>
        </ext>
      </extLst>
    </bk>
    <bk>
      <extLst>
        <ext uri="{3e2802c4-a4d2-4d8b-9148-e3be6c30e623}">
          <xlrd:rvb i="11845"/>
        </ext>
      </extLst>
    </bk>
    <bk>
      <extLst>
        <ext uri="{3e2802c4-a4d2-4d8b-9148-e3be6c30e623}">
          <xlrd:rvb i="11846"/>
        </ext>
      </extLst>
    </bk>
    <bk>
      <extLst>
        <ext uri="{3e2802c4-a4d2-4d8b-9148-e3be6c30e623}">
          <xlrd:rvb i="11847"/>
        </ext>
      </extLst>
    </bk>
    <bk>
      <extLst>
        <ext uri="{3e2802c4-a4d2-4d8b-9148-e3be6c30e623}">
          <xlrd:rvb i="11848"/>
        </ext>
      </extLst>
    </bk>
    <bk>
      <extLst>
        <ext uri="{3e2802c4-a4d2-4d8b-9148-e3be6c30e623}">
          <xlrd:rvb i="11849"/>
        </ext>
      </extLst>
    </bk>
    <bk>
      <extLst>
        <ext uri="{3e2802c4-a4d2-4d8b-9148-e3be6c30e623}">
          <xlrd:rvb i="11850"/>
        </ext>
      </extLst>
    </bk>
    <bk>
      <extLst>
        <ext uri="{3e2802c4-a4d2-4d8b-9148-e3be6c30e623}">
          <xlrd:rvb i="11851"/>
        </ext>
      </extLst>
    </bk>
    <bk>
      <extLst>
        <ext uri="{3e2802c4-a4d2-4d8b-9148-e3be6c30e623}">
          <xlrd:rvb i="11852"/>
        </ext>
      </extLst>
    </bk>
    <bk>
      <extLst>
        <ext uri="{3e2802c4-a4d2-4d8b-9148-e3be6c30e623}">
          <xlrd:rvb i="11853"/>
        </ext>
      </extLst>
    </bk>
    <bk>
      <extLst>
        <ext uri="{3e2802c4-a4d2-4d8b-9148-e3be6c30e623}">
          <xlrd:rvb i="11854"/>
        </ext>
      </extLst>
    </bk>
    <bk>
      <extLst>
        <ext uri="{3e2802c4-a4d2-4d8b-9148-e3be6c30e623}">
          <xlrd:rvb i="11855"/>
        </ext>
      </extLst>
    </bk>
    <bk>
      <extLst>
        <ext uri="{3e2802c4-a4d2-4d8b-9148-e3be6c30e623}">
          <xlrd:rvb i="11856"/>
        </ext>
      </extLst>
    </bk>
    <bk>
      <extLst>
        <ext uri="{3e2802c4-a4d2-4d8b-9148-e3be6c30e623}">
          <xlrd:rvb i="11857"/>
        </ext>
      </extLst>
    </bk>
    <bk>
      <extLst>
        <ext uri="{3e2802c4-a4d2-4d8b-9148-e3be6c30e623}">
          <xlrd:rvb i="11858"/>
        </ext>
      </extLst>
    </bk>
    <bk>
      <extLst>
        <ext uri="{3e2802c4-a4d2-4d8b-9148-e3be6c30e623}">
          <xlrd:rvb i="11859"/>
        </ext>
      </extLst>
    </bk>
    <bk>
      <extLst>
        <ext uri="{3e2802c4-a4d2-4d8b-9148-e3be6c30e623}">
          <xlrd:rvb i="11860"/>
        </ext>
      </extLst>
    </bk>
    <bk>
      <extLst>
        <ext uri="{3e2802c4-a4d2-4d8b-9148-e3be6c30e623}">
          <xlrd:rvb i="11861"/>
        </ext>
      </extLst>
    </bk>
    <bk>
      <extLst>
        <ext uri="{3e2802c4-a4d2-4d8b-9148-e3be6c30e623}">
          <xlrd:rvb i="11862"/>
        </ext>
      </extLst>
    </bk>
    <bk>
      <extLst>
        <ext uri="{3e2802c4-a4d2-4d8b-9148-e3be6c30e623}">
          <xlrd:rvb i="11863"/>
        </ext>
      </extLst>
    </bk>
    <bk>
      <extLst>
        <ext uri="{3e2802c4-a4d2-4d8b-9148-e3be6c30e623}">
          <xlrd:rvb i="11864"/>
        </ext>
      </extLst>
    </bk>
    <bk>
      <extLst>
        <ext uri="{3e2802c4-a4d2-4d8b-9148-e3be6c30e623}">
          <xlrd:rvb i="11865"/>
        </ext>
      </extLst>
    </bk>
    <bk>
      <extLst>
        <ext uri="{3e2802c4-a4d2-4d8b-9148-e3be6c30e623}">
          <xlrd:rvb i="11866"/>
        </ext>
      </extLst>
    </bk>
    <bk>
      <extLst>
        <ext uri="{3e2802c4-a4d2-4d8b-9148-e3be6c30e623}">
          <xlrd:rvb i="11867"/>
        </ext>
      </extLst>
    </bk>
    <bk>
      <extLst>
        <ext uri="{3e2802c4-a4d2-4d8b-9148-e3be6c30e623}">
          <xlrd:rvb i="11868"/>
        </ext>
      </extLst>
    </bk>
    <bk>
      <extLst>
        <ext uri="{3e2802c4-a4d2-4d8b-9148-e3be6c30e623}">
          <xlrd:rvb i="11869"/>
        </ext>
      </extLst>
    </bk>
    <bk>
      <extLst>
        <ext uri="{3e2802c4-a4d2-4d8b-9148-e3be6c30e623}">
          <xlrd:rvb i="11870"/>
        </ext>
      </extLst>
    </bk>
    <bk>
      <extLst>
        <ext uri="{3e2802c4-a4d2-4d8b-9148-e3be6c30e623}">
          <xlrd:rvb i="11871"/>
        </ext>
      </extLst>
    </bk>
    <bk>
      <extLst>
        <ext uri="{3e2802c4-a4d2-4d8b-9148-e3be6c30e623}">
          <xlrd:rvb i="11872"/>
        </ext>
      </extLst>
    </bk>
    <bk>
      <extLst>
        <ext uri="{3e2802c4-a4d2-4d8b-9148-e3be6c30e623}">
          <xlrd:rvb i="11873"/>
        </ext>
      </extLst>
    </bk>
    <bk>
      <extLst>
        <ext uri="{3e2802c4-a4d2-4d8b-9148-e3be6c30e623}">
          <xlrd:rvb i="11874"/>
        </ext>
      </extLst>
    </bk>
    <bk>
      <extLst>
        <ext uri="{3e2802c4-a4d2-4d8b-9148-e3be6c30e623}">
          <xlrd:rvb i="11875"/>
        </ext>
      </extLst>
    </bk>
    <bk>
      <extLst>
        <ext uri="{3e2802c4-a4d2-4d8b-9148-e3be6c30e623}">
          <xlrd:rvb i="11876"/>
        </ext>
      </extLst>
    </bk>
    <bk>
      <extLst>
        <ext uri="{3e2802c4-a4d2-4d8b-9148-e3be6c30e623}">
          <xlrd:rvb i="11877"/>
        </ext>
      </extLst>
    </bk>
    <bk>
      <extLst>
        <ext uri="{3e2802c4-a4d2-4d8b-9148-e3be6c30e623}">
          <xlrd:rvb i="11878"/>
        </ext>
      </extLst>
    </bk>
    <bk>
      <extLst>
        <ext uri="{3e2802c4-a4d2-4d8b-9148-e3be6c30e623}">
          <xlrd:rvb i="11879"/>
        </ext>
      </extLst>
    </bk>
    <bk>
      <extLst>
        <ext uri="{3e2802c4-a4d2-4d8b-9148-e3be6c30e623}">
          <xlrd:rvb i="11880"/>
        </ext>
      </extLst>
    </bk>
    <bk>
      <extLst>
        <ext uri="{3e2802c4-a4d2-4d8b-9148-e3be6c30e623}">
          <xlrd:rvb i="11881"/>
        </ext>
      </extLst>
    </bk>
    <bk>
      <extLst>
        <ext uri="{3e2802c4-a4d2-4d8b-9148-e3be6c30e623}">
          <xlrd:rvb i="11882"/>
        </ext>
      </extLst>
    </bk>
    <bk>
      <extLst>
        <ext uri="{3e2802c4-a4d2-4d8b-9148-e3be6c30e623}">
          <xlrd:rvb i="11883"/>
        </ext>
      </extLst>
    </bk>
    <bk>
      <extLst>
        <ext uri="{3e2802c4-a4d2-4d8b-9148-e3be6c30e623}">
          <xlrd:rvb i="11884"/>
        </ext>
      </extLst>
    </bk>
    <bk>
      <extLst>
        <ext uri="{3e2802c4-a4d2-4d8b-9148-e3be6c30e623}">
          <xlrd:rvb i="11885"/>
        </ext>
      </extLst>
    </bk>
    <bk>
      <extLst>
        <ext uri="{3e2802c4-a4d2-4d8b-9148-e3be6c30e623}">
          <xlrd:rvb i="11886"/>
        </ext>
      </extLst>
    </bk>
    <bk>
      <extLst>
        <ext uri="{3e2802c4-a4d2-4d8b-9148-e3be6c30e623}">
          <xlrd:rvb i="11887"/>
        </ext>
      </extLst>
    </bk>
    <bk>
      <extLst>
        <ext uri="{3e2802c4-a4d2-4d8b-9148-e3be6c30e623}">
          <xlrd:rvb i="11888"/>
        </ext>
      </extLst>
    </bk>
    <bk>
      <extLst>
        <ext uri="{3e2802c4-a4d2-4d8b-9148-e3be6c30e623}">
          <xlrd:rvb i="11889"/>
        </ext>
      </extLst>
    </bk>
    <bk>
      <extLst>
        <ext uri="{3e2802c4-a4d2-4d8b-9148-e3be6c30e623}">
          <xlrd:rvb i="11890"/>
        </ext>
      </extLst>
    </bk>
    <bk>
      <extLst>
        <ext uri="{3e2802c4-a4d2-4d8b-9148-e3be6c30e623}">
          <xlrd:rvb i="11891"/>
        </ext>
      </extLst>
    </bk>
    <bk>
      <extLst>
        <ext uri="{3e2802c4-a4d2-4d8b-9148-e3be6c30e623}">
          <xlrd:rvb i="11892"/>
        </ext>
      </extLst>
    </bk>
    <bk>
      <extLst>
        <ext uri="{3e2802c4-a4d2-4d8b-9148-e3be6c30e623}">
          <xlrd:rvb i="11893"/>
        </ext>
      </extLst>
    </bk>
    <bk>
      <extLst>
        <ext uri="{3e2802c4-a4d2-4d8b-9148-e3be6c30e623}">
          <xlrd:rvb i="11894"/>
        </ext>
      </extLst>
    </bk>
    <bk>
      <extLst>
        <ext uri="{3e2802c4-a4d2-4d8b-9148-e3be6c30e623}">
          <xlrd:rvb i="11895"/>
        </ext>
      </extLst>
    </bk>
    <bk>
      <extLst>
        <ext uri="{3e2802c4-a4d2-4d8b-9148-e3be6c30e623}">
          <xlrd:rvb i="11896"/>
        </ext>
      </extLst>
    </bk>
    <bk>
      <extLst>
        <ext uri="{3e2802c4-a4d2-4d8b-9148-e3be6c30e623}">
          <xlrd:rvb i="11897"/>
        </ext>
      </extLst>
    </bk>
    <bk>
      <extLst>
        <ext uri="{3e2802c4-a4d2-4d8b-9148-e3be6c30e623}">
          <xlrd:rvb i="11898"/>
        </ext>
      </extLst>
    </bk>
    <bk>
      <extLst>
        <ext uri="{3e2802c4-a4d2-4d8b-9148-e3be6c30e623}">
          <xlrd:rvb i="11899"/>
        </ext>
      </extLst>
    </bk>
    <bk>
      <extLst>
        <ext uri="{3e2802c4-a4d2-4d8b-9148-e3be6c30e623}">
          <xlrd:rvb i="11900"/>
        </ext>
      </extLst>
    </bk>
    <bk>
      <extLst>
        <ext uri="{3e2802c4-a4d2-4d8b-9148-e3be6c30e623}">
          <xlrd:rvb i="11901"/>
        </ext>
      </extLst>
    </bk>
    <bk>
      <extLst>
        <ext uri="{3e2802c4-a4d2-4d8b-9148-e3be6c30e623}">
          <xlrd:rvb i="11902"/>
        </ext>
      </extLst>
    </bk>
    <bk>
      <extLst>
        <ext uri="{3e2802c4-a4d2-4d8b-9148-e3be6c30e623}">
          <xlrd:rvb i="11903"/>
        </ext>
      </extLst>
    </bk>
    <bk>
      <extLst>
        <ext uri="{3e2802c4-a4d2-4d8b-9148-e3be6c30e623}">
          <xlrd:rvb i="11904"/>
        </ext>
      </extLst>
    </bk>
    <bk>
      <extLst>
        <ext uri="{3e2802c4-a4d2-4d8b-9148-e3be6c30e623}">
          <xlrd:rvb i="11905"/>
        </ext>
      </extLst>
    </bk>
    <bk>
      <extLst>
        <ext uri="{3e2802c4-a4d2-4d8b-9148-e3be6c30e623}">
          <xlrd:rvb i="11906"/>
        </ext>
      </extLst>
    </bk>
    <bk>
      <extLst>
        <ext uri="{3e2802c4-a4d2-4d8b-9148-e3be6c30e623}">
          <xlrd:rvb i="11907"/>
        </ext>
      </extLst>
    </bk>
    <bk>
      <extLst>
        <ext uri="{3e2802c4-a4d2-4d8b-9148-e3be6c30e623}">
          <xlrd:rvb i="11908"/>
        </ext>
      </extLst>
    </bk>
    <bk>
      <extLst>
        <ext uri="{3e2802c4-a4d2-4d8b-9148-e3be6c30e623}">
          <xlrd:rvb i="11909"/>
        </ext>
      </extLst>
    </bk>
    <bk>
      <extLst>
        <ext uri="{3e2802c4-a4d2-4d8b-9148-e3be6c30e623}">
          <xlrd:rvb i="11910"/>
        </ext>
      </extLst>
    </bk>
    <bk>
      <extLst>
        <ext uri="{3e2802c4-a4d2-4d8b-9148-e3be6c30e623}">
          <xlrd:rvb i="11911"/>
        </ext>
      </extLst>
    </bk>
    <bk>
      <extLst>
        <ext uri="{3e2802c4-a4d2-4d8b-9148-e3be6c30e623}">
          <xlrd:rvb i="11912"/>
        </ext>
      </extLst>
    </bk>
    <bk>
      <extLst>
        <ext uri="{3e2802c4-a4d2-4d8b-9148-e3be6c30e623}">
          <xlrd:rvb i="11913"/>
        </ext>
      </extLst>
    </bk>
    <bk>
      <extLst>
        <ext uri="{3e2802c4-a4d2-4d8b-9148-e3be6c30e623}">
          <xlrd:rvb i="11914"/>
        </ext>
      </extLst>
    </bk>
    <bk>
      <extLst>
        <ext uri="{3e2802c4-a4d2-4d8b-9148-e3be6c30e623}">
          <xlrd:rvb i="11915"/>
        </ext>
      </extLst>
    </bk>
    <bk>
      <extLst>
        <ext uri="{3e2802c4-a4d2-4d8b-9148-e3be6c30e623}">
          <xlrd:rvb i="11916"/>
        </ext>
      </extLst>
    </bk>
    <bk>
      <extLst>
        <ext uri="{3e2802c4-a4d2-4d8b-9148-e3be6c30e623}">
          <xlrd:rvb i="11917"/>
        </ext>
      </extLst>
    </bk>
    <bk>
      <extLst>
        <ext uri="{3e2802c4-a4d2-4d8b-9148-e3be6c30e623}">
          <xlrd:rvb i="11918"/>
        </ext>
      </extLst>
    </bk>
    <bk>
      <extLst>
        <ext uri="{3e2802c4-a4d2-4d8b-9148-e3be6c30e623}">
          <xlrd:rvb i="11919"/>
        </ext>
      </extLst>
    </bk>
    <bk>
      <extLst>
        <ext uri="{3e2802c4-a4d2-4d8b-9148-e3be6c30e623}">
          <xlrd:rvb i="11920"/>
        </ext>
      </extLst>
    </bk>
    <bk>
      <extLst>
        <ext uri="{3e2802c4-a4d2-4d8b-9148-e3be6c30e623}">
          <xlrd:rvb i="11921"/>
        </ext>
      </extLst>
    </bk>
    <bk>
      <extLst>
        <ext uri="{3e2802c4-a4d2-4d8b-9148-e3be6c30e623}">
          <xlrd:rvb i="11922"/>
        </ext>
      </extLst>
    </bk>
    <bk>
      <extLst>
        <ext uri="{3e2802c4-a4d2-4d8b-9148-e3be6c30e623}">
          <xlrd:rvb i="11923"/>
        </ext>
      </extLst>
    </bk>
    <bk>
      <extLst>
        <ext uri="{3e2802c4-a4d2-4d8b-9148-e3be6c30e623}">
          <xlrd:rvb i="11924"/>
        </ext>
      </extLst>
    </bk>
    <bk>
      <extLst>
        <ext uri="{3e2802c4-a4d2-4d8b-9148-e3be6c30e623}">
          <xlrd:rvb i="11925"/>
        </ext>
      </extLst>
    </bk>
    <bk>
      <extLst>
        <ext uri="{3e2802c4-a4d2-4d8b-9148-e3be6c30e623}">
          <xlrd:rvb i="11926"/>
        </ext>
      </extLst>
    </bk>
    <bk>
      <extLst>
        <ext uri="{3e2802c4-a4d2-4d8b-9148-e3be6c30e623}">
          <xlrd:rvb i="11927"/>
        </ext>
      </extLst>
    </bk>
    <bk>
      <extLst>
        <ext uri="{3e2802c4-a4d2-4d8b-9148-e3be6c30e623}">
          <xlrd:rvb i="11928"/>
        </ext>
      </extLst>
    </bk>
    <bk>
      <extLst>
        <ext uri="{3e2802c4-a4d2-4d8b-9148-e3be6c30e623}">
          <xlrd:rvb i="11929"/>
        </ext>
      </extLst>
    </bk>
    <bk>
      <extLst>
        <ext uri="{3e2802c4-a4d2-4d8b-9148-e3be6c30e623}">
          <xlrd:rvb i="11930"/>
        </ext>
      </extLst>
    </bk>
    <bk>
      <extLst>
        <ext uri="{3e2802c4-a4d2-4d8b-9148-e3be6c30e623}">
          <xlrd:rvb i="11931"/>
        </ext>
      </extLst>
    </bk>
    <bk>
      <extLst>
        <ext uri="{3e2802c4-a4d2-4d8b-9148-e3be6c30e623}">
          <xlrd:rvb i="11932"/>
        </ext>
      </extLst>
    </bk>
    <bk>
      <extLst>
        <ext uri="{3e2802c4-a4d2-4d8b-9148-e3be6c30e623}">
          <xlrd:rvb i="11933"/>
        </ext>
      </extLst>
    </bk>
    <bk>
      <extLst>
        <ext uri="{3e2802c4-a4d2-4d8b-9148-e3be6c30e623}">
          <xlrd:rvb i="11934"/>
        </ext>
      </extLst>
    </bk>
    <bk>
      <extLst>
        <ext uri="{3e2802c4-a4d2-4d8b-9148-e3be6c30e623}">
          <xlrd:rvb i="11935"/>
        </ext>
      </extLst>
    </bk>
    <bk>
      <extLst>
        <ext uri="{3e2802c4-a4d2-4d8b-9148-e3be6c30e623}">
          <xlrd:rvb i="11936"/>
        </ext>
      </extLst>
    </bk>
    <bk>
      <extLst>
        <ext uri="{3e2802c4-a4d2-4d8b-9148-e3be6c30e623}">
          <xlrd:rvb i="11937"/>
        </ext>
      </extLst>
    </bk>
    <bk>
      <extLst>
        <ext uri="{3e2802c4-a4d2-4d8b-9148-e3be6c30e623}">
          <xlrd:rvb i="11938"/>
        </ext>
      </extLst>
    </bk>
    <bk>
      <extLst>
        <ext uri="{3e2802c4-a4d2-4d8b-9148-e3be6c30e623}">
          <xlrd:rvb i="11939"/>
        </ext>
      </extLst>
    </bk>
    <bk>
      <extLst>
        <ext uri="{3e2802c4-a4d2-4d8b-9148-e3be6c30e623}">
          <xlrd:rvb i="11940"/>
        </ext>
      </extLst>
    </bk>
    <bk>
      <extLst>
        <ext uri="{3e2802c4-a4d2-4d8b-9148-e3be6c30e623}">
          <xlrd:rvb i="11941"/>
        </ext>
      </extLst>
    </bk>
    <bk>
      <extLst>
        <ext uri="{3e2802c4-a4d2-4d8b-9148-e3be6c30e623}">
          <xlrd:rvb i="11942"/>
        </ext>
      </extLst>
    </bk>
    <bk>
      <extLst>
        <ext uri="{3e2802c4-a4d2-4d8b-9148-e3be6c30e623}">
          <xlrd:rvb i="11943"/>
        </ext>
      </extLst>
    </bk>
    <bk>
      <extLst>
        <ext uri="{3e2802c4-a4d2-4d8b-9148-e3be6c30e623}">
          <xlrd:rvb i="11944"/>
        </ext>
      </extLst>
    </bk>
    <bk>
      <extLst>
        <ext uri="{3e2802c4-a4d2-4d8b-9148-e3be6c30e623}">
          <xlrd:rvb i="11945"/>
        </ext>
      </extLst>
    </bk>
    <bk>
      <extLst>
        <ext uri="{3e2802c4-a4d2-4d8b-9148-e3be6c30e623}">
          <xlrd:rvb i="11946"/>
        </ext>
      </extLst>
    </bk>
    <bk>
      <extLst>
        <ext uri="{3e2802c4-a4d2-4d8b-9148-e3be6c30e623}">
          <xlrd:rvb i="11947"/>
        </ext>
      </extLst>
    </bk>
    <bk>
      <extLst>
        <ext uri="{3e2802c4-a4d2-4d8b-9148-e3be6c30e623}">
          <xlrd:rvb i="11948"/>
        </ext>
      </extLst>
    </bk>
    <bk>
      <extLst>
        <ext uri="{3e2802c4-a4d2-4d8b-9148-e3be6c30e623}">
          <xlrd:rvb i="11949"/>
        </ext>
      </extLst>
    </bk>
    <bk>
      <extLst>
        <ext uri="{3e2802c4-a4d2-4d8b-9148-e3be6c30e623}">
          <xlrd:rvb i="11950"/>
        </ext>
      </extLst>
    </bk>
    <bk>
      <extLst>
        <ext uri="{3e2802c4-a4d2-4d8b-9148-e3be6c30e623}">
          <xlrd:rvb i="11951"/>
        </ext>
      </extLst>
    </bk>
    <bk>
      <extLst>
        <ext uri="{3e2802c4-a4d2-4d8b-9148-e3be6c30e623}">
          <xlrd:rvb i="11952"/>
        </ext>
      </extLst>
    </bk>
    <bk>
      <extLst>
        <ext uri="{3e2802c4-a4d2-4d8b-9148-e3be6c30e623}">
          <xlrd:rvb i="11953"/>
        </ext>
      </extLst>
    </bk>
    <bk>
      <extLst>
        <ext uri="{3e2802c4-a4d2-4d8b-9148-e3be6c30e623}">
          <xlrd:rvb i="11954"/>
        </ext>
      </extLst>
    </bk>
    <bk>
      <extLst>
        <ext uri="{3e2802c4-a4d2-4d8b-9148-e3be6c30e623}">
          <xlrd:rvb i="11955"/>
        </ext>
      </extLst>
    </bk>
    <bk>
      <extLst>
        <ext uri="{3e2802c4-a4d2-4d8b-9148-e3be6c30e623}">
          <xlrd:rvb i="11956"/>
        </ext>
      </extLst>
    </bk>
    <bk>
      <extLst>
        <ext uri="{3e2802c4-a4d2-4d8b-9148-e3be6c30e623}">
          <xlrd:rvb i="11957"/>
        </ext>
      </extLst>
    </bk>
    <bk>
      <extLst>
        <ext uri="{3e2802c4-a4d2-4d8b-9148-e3be6c30e623}">
          <xlrd:rvb i="11958"/>
        </ext>
      </extLst>
    </bk>
    <bk>
      <extLst>
        <ext uri="{3e2802c4-a4d2-4d8b-9148-e3be6c30e623}">
          <xlrd:rvb i="11959"/>
        </ext>
      </extLst>
    </bk>
    <bk>
      <extLst>
        <ext uri="{3e2802c4-a4d2-4d8b-9148-e3be6c30e623}">
          <xlrd:rvb i="11960"/>
        </ext>
      </extLst>
    </bk>
    <bk>
      <extLst>
        <ext uri="{3e2802c4-a4d2-4d8b-9148-e3be6c30e623}">
          <xlrd:rvb i="11961"/>
        </ext>
      </extLst>
    </bk>
    <bk>
      <extLst>
        <ext uri="{3e2802c4-a4d2-4d8b-9148-e3be6c30e623}">
          <xlrd:rvb i="11962"/>
        </ext>
      </extLst>
    </bk>
    <bk>
      <extLst>
        <ext uri="{3e2802c4-a4d2-4d8b-9148-e3be6c30e623}">
          <xlrd:rvb i="11963"/>
        </ext>
      </extLst>
    </bk>
    <bk>
      <extLst>
        <ext uri="{3e2802c4-a4d2-4d8b-9148-e3be6c30e623}">
          <xlrd:rvb i="11964"/>
        </ext>
      </extLst>
    </bk>
    <bk>
      <extLst>
        <ext uri="{3e2802c4-a4d2-4d8b-9148-e3be6c30e623}">
          <xlrd:rvb i="11965"/>
        </ext>
      </extLst>
    </bk>
    <bk>
      <extLst>
        <ext uri="{3e2802c4-a4d2-4d8b-9148-e3be6c30e623}">
          <xlrd:rvb i="11966"/>
        </ext>
      </extLst>
    </bk>
    <bk>
      <extLst>
        <ext uri="{3e2802c4-a4d2-4d8b-9148-e3be6c30e623}">
          <xlrd:rvb i="11967"/>
        </ext>
      </extLst>
    </bk>
    <bk>
      <extLst>
        <ext uri="{3e2802c4-a4d2-4d8b-9148-e3be6c30e623}">
          <xlrd:rvb i="11968"/>
        </ext>
      </extLst>
    </bk>
    <bk>
      <extLst>
        <ext uri="{3e2802c4-a4d2-4d8b-9148-e3be6c30e623}">
          <xlrd:rvb i="11969"/>
        </ext>
      </extLst>
    </bk>
    <bk>
      <extLst>
        <ext uri="{3e2802c4-a4d2-4d8b-9148-e3be6c30e623}">
          <xlrd:rvb i="11970"/>
        </ext>
      </extLst>
    </bk>
    <bk>
      <extLst>
        <ext uri="{3e2802c4-a4d2-4d8b-9148-e3be6c30e623}">
          <xlrd:rvb i="11971"/>
        </ext>
      </extLst>
    </bk>
    <bk>
      <extLst>
        <ext uri="{3e2802c4-a4d2-4d8b-9148-e3be6c30e623}">
          <xlrd:rvb i="11972"/>
        </ext>
      </extLst>
    </bk>
    <bk>
      <extLst>
        <ext uri="{3e2802c4-a4d2-4d8b-9148-e3be6c30e623}">
          <xlrd:rvb i="11973"/>
        </ext>
      </extLst>
    </bk>
    <bk>
      <extLst>
        <ext uri="{3e2802c4-a4d2-4d8b-9148-e3be6c30e623}">
          <xlrd:rvb i="11974"/>
        </ext>
      </extLst>
    </bk>
    <bk>
      <extLst>
        <ext uri="{3e2802c4-a4d2-4d8b-9148-e3be6c30e623}">
          <xlrd:rvb i="11975"/>
        </ext>
      </extLst>
    </bk>
    <bk>
      <extLst>
        <ext uri="{3e2802c4-a4d2-4d8b-9148-e3be6c30e623}">
          <xlrd:rvb i="11976"/>
        </ext>
      </extLst>
    </bk>
    <bk>
      <extLst>
        <ext uri="{3e2802c4-a4d2-4d8b-9148-e3be6c30e623}">
          <xlrd:rvb i="11977"/>
        </ext>
      </extLst>
    </bk>
    <bk>
      <extLst>
        <ext uri="{3e2802c4-a4d2-4d8b-9148-e3be6c30e623}">
          <xlrd:rvb i="11978"/>
        </ext>
      </extLst>
    </bk>
    <bk>
      <extLst>
        <ext uri="{3e2802c4-a4d2-4d8b-9148-e3be6c30e623}">
          <xlrd:rvb i="11979"/>
        </ext>
      </extLst>
    </bk>
    <bk>
      <extLst>
        <ext uri="{3e2802c4-a4d2-4d8b-9148-e3be6c30e623}">
          <xlrd:rvb i="11980"/>
        </ext>
      </extLst>
    </bk>
    <bk>
      <extLst>
        <ext uri="{3e2802c4-a4d2-4d8b-9148-e3be6c30e623}">
          <xlrd:rvb i="11981"/>
        </ext>
      </extLst>
    </bk>
    <bk>
      <extLst>
        <ext uri="{3e2802c4-a4d2-4d8b-9148-e3be6c30e623}">
          <xlrd:rvb i="11982"/>
        </ext>
      </extLst>
    </bk>
    <bk>
      <extLst>
        <ext uri="{3e2802c4-a4d2-4d8b-9148-e3be6c30e623}">
          <xlrd:rvb i="11983"/>
        </ext>
      </extLst>
    </bk>
    <bk>
      <extLst>
        <ext uri="{3e2802c4-a4d2-4d8b-9148-e3be6c30e623}">
          <xlrd:rvb i="11984"/>
        </ext>
      </extLst>
    </bk>
    <bk>
      <extLst>
        <ext uri="{3e2802c4-a4d2-4d8b-9148-e3be6c30e623}">
          <xlrd:rvb i="11985"/>
        </ext>
      </extLst>
    </bk>
    <bk>
      <extLst>
        <ext uri="{3e2802c4-a4d2-4d8b-9148-e3be6c30e623}">
          <xlrd:rvb i="11986"/>
        </ext>
      </extLst>
    </bk>
    <bk>
      <extLst>
        <ext uri="{3e2802c4-a4d2-4d8b-9148-e3be6c30e623}">
          <xlrd:rvb i="11987"/>
        </ext>
      </extLst>
    </bk>
    <bk>
      <extLst>
        <ext uri="{3e2802c4-a4d2-4d8b-9148-e3be6c30e623}">
          <xlrd:rvb i="11988"/>
        </ext>
      </extLst>
    </bk>
    <bk>
      <extLst>
        <ext uri="{3e2802c4-a4d2-4d8b-9148-e3be6c30e623}">
          <xlrd:rvb i="11989"/>
        </ext>
      </extLst>
    </bk>
    <bk>
      <extLst>
        <ext uri="{3e2802c4-a4d2-4d8b-9148-e3be6c30e623}">
          <xlrd:rvb i="11990"/>
        </ext>
      </extLst>
    </bk>
    <bk>
      <extLst>
        <ext uri="{3e2802c4-a4d2-4d8b-9148-e3be6c30e623}">
          <xlrd:rvb i="11991"/>
        </ext>
      </extLst>
    </bk>
    <bk>
      <extLst>
        <ext uri="{3e2802c4-a4d2-4d8b-9148-e3be6c30e623}">
          <xlrd:rvb i="11992"/>
        </ext>
      </extLst>
    </bk>
    <bk>
      <extLst>
        <ext uri="{3e2802c4-a4d2-4d8b-9148-e3be6c30e623}">
          <xlrd:rvb i="11993"/>
        </ext>
      </extLst>
    </bk>
    <bk>
      <extLst>
        <ext uri="{3e2802c4-a4d2-4d8b-9148-e3be6c30e623}">
          <xlrd:rvb i="11994"/>
        </ext>
      </extLst>
    </bk>
    <bk>
      <extLst>
        <ext uri="{3e2802c4-a4d2-4d8b-9148-e3be6c30e623}">
          <xlrd:rvb i="11995"/>
        </ext>
      </extLst>
    </bk>
    <bk>
      <extLst>
        <ext uri="{3e2802c4-a4d2-4d8b-9148-e3be6c30e623}">
          <xlrd:rvb i="11996"/>
        </ext>
      </extLst>
    </bk>
    <bk>
      <extLst>
        <ext uri="{3e2802c4-a4d2-4d8b-9148-e3be6c30e623}">
          <xlrd:rvb i="11997"/>
        </ext>
      </extLst>
    </bk>
    <bk>
      <extLst>
        <ext uri="{3e2802c4-a4d2-4d8b-9148-e3be6c30e623}">
          <xlrd:rvb i="11998"/>
        </ext>
      </extLst>
    </bk>
    <bk>
      <extLst>
        <ext uri="{3e2802c4-a4d2-4d8b-9148-e3be6c30e623}">
          <xlrd:rvb i="11999"/>
        </ext>
      </extLst>
    </bk>
    <bk>
      <extLst>
        <ext uri="{3e2802c4-a4d2-4d8b-9148-e3be6c30e623}">
          <xlrd:rvb i="12000"/>
        </ext>
      </extLst>
    </bk>
    <bk>
      <extLst>
        <ext uri="{3e2802c4-a4d2-4d8b-9148-e3be6c30e623}">
          <xlrd:rvb i="12001"/>
        </ext>
      </extLst>
    </bk>
    <bk>
      <extLst>
        <ext uri="{3e2802c4-a4d2-4d8b-9148-e3be6c30e623}">
          <xlrd:rvb i="12002"/>
        </ext>
      </extLst>
    </bk>
    <bk>
      <extLst>
        <ext uri="{3e2802c4-a4d2-4d8b-9148-e3be6c30e623}">
          <xlrd:rvb i="12003"/>
        </ext>
      </extLst>
    </bk>
    <bk>
      <extLst>
        <ext uri="{3e2802c4-a4d2-4d8b-9148-e3be6c30e623}">
          <xlrd:rvb i="12004"/>
        </ext>
      </extLst>
    </bk>
    <bk>
      <extLst>
        <ext uri="{3e2802c4-a4d2-4d8b-9148-e3be6c30e623}">
          <xlrd:rvb i="12005"/>
        </ext>
      </extLst>
    </bk>
    <bk>
      <extLst>
        <ext uri="{3e2802c4-a4d2-4d8b-9148-e3be6c30e623}">
          <xlrd:rvb i="12006"/>
        </ext>
      </extLst>
    </bk>
    <bk>
      <extLst>
        <ext uri="{3e2802c4-a4d2-4d8b-9148-e3be6c30e623}">
          <xlrd:rvb i="12007"/>
        </ext>
      </extLst>
    </bk>
    <bk>
      <extLst>
        <ext uri="{3e2802c4-a4d2-4d8b-9148-e3be6c30e623}">
          <xlrd:rvb i="12008"/>
        </ext>
      </extLst>
    </bk>
    <bk>
      <extLst>
        <ext uri="{3e2802c4-a4d2-4d8b-9148-e3be6c30e623}">
          <xlrd:rvb i="12009"/>
        </ext>
      </extLst>
    </bk>
    <bk>
      <extLst>
        <ext uri="{3e2802c4-a4d2-4d8b-9148-e3be6c30e623}">
          <xlrd:rvb i="12010"/>
        </ext>
      </extLst>
    </bk>
    <bk>
      <extLst>
        <ext uri="{3e2802c4-a4d2-4d8b-9148-e3be6c30e623}">
          <xlrd:rvb i="12011"/>
        </ext>
      </extLst>
    </bk>
    <bk>
      <extLst>
        <ext uri="{3e2802c4-a4d2-4d8b-9148-e3be6c30e623}">
          <xlrd:rvb i="12012"/>
        </ext>
      </extLst>
    </bk>
    <bk>
      <extLst>
        <ext uri="{3e2802c4-a4d2-4d8b-9148-e3be6c30e623}">
          <xlrd:rvb i="12013"/>
        </ext>
      </extLst>
    </bk>
    <bk>
      <extLst>
        <ext uri="{3e2802c4-a4d2-4d8b-9148-e3be6c30e623}">
          <xlrd:rvb i="12014"/>
        </ext>
      </extLst>
    </bk>
    <bk>
      <extLst>
        <ext uri="{3e2802c4-a4d2-4d8b-9148-e3be6c30e623}">
          <xlrd:rvb i="12015"/>
        </ext>
      </extLst>
    </bk>
    <bk>
      <extLst>
        <ext uri="{3e2802c4-a4d2-4d8b-9148-e3be6c30e623}">
          <xlrd:rvb i="12016"/>
        </ext>
      </extLst>
    </bk>
    <bk>
      <extLst>
        <ext uri="{3e2802c4-a4d2-4d8b-9148-e3be6c30e623}">
          <xlrd:rvb i="12017"/>
        </ext>
      </extLst>
    </bk>
    <bk>
      <extLst>
        <ext uri="{3e2802c4-a4d2-4d8b-9148-e3be6c30e623}">
          <xlrd:rvb i="12018"/>
        </ext>
      </extLst>
    </bk>
    <bk>
      <extLst>
        <ext uri="{3e2802c4-a4d2-4d8b-9148-e3be6c30e623}">
          <xlrd:rvb i="12019"/>
        </ext>
      </extLst>
    </bk>
    <bk>
      <extLst>
        <ext uri="{3e2802c4-a4d2-4d8b-9148-e3be6c30e623}">
          <xlrd:rvb i="12020"/>
        </ext>
      </extLst>
    </bk>
    <bk>
      <extLst>
        <ext uri="{3e2802c4-a4d2-4d8b-9148-e3be6c30e623}">
          <xlrd:rvb i="12021"/>
        </ext>
      </extLst>
    </bk>
    <bk>
      <extLst>
        <ext uri="{3e2802c4-a4d2-4d8b-9148-e3be6c30e623}">
          <xlrd:rvb i="12022"/>
        </ext>
      </extLst>
    </bk>
    <bk>
      <extLst>
        <ext uri="{3e2802c4-a4d2-4d8b-9148-e3be6c30e623}">
          <xlrd:rvb i="12023"/>
        </ext>
      </extLst>
    </bk>
    <bk>
      <extLst>
        <ext uri="{3e2802c4-a4d2-4d8b-9148-e3be6c30e623}">
          <xlrd:rvb i="12024"/>
        </ext>
      </extLst>
    </bk>
    <bk>
      <extLst>
        <ext uri="{3e2802c4-a4d2-4d8b-9148-e3be6c30e623}">
          <xlrd:rvb i="12025"/>
        </ext>
      </extLst>
    </bk>
    <bk>
      <extLst>
        <ext uri="{3e2802c4-a4d2-4d8b-9148-e3be6c30e623}">
          <xlrd:rvb i="12026"/>
        </ext>
      </extLst>
    </bk>
    <bk>
      <extLst>
        <ext uri="{3e2802c4-a4d2-4d8b-9148-e3be6c30e623}">
          <xlrd:rvb i="12027"/>
        </ext>
      </extLst>
    </bk>
    <bk>
      <extLst>
        <ext uri="{3e2802c4-a4d2-4d8b-9148-e3be6c30e623}">
          <xlrd:rvb i="12028"/>
        </ext>
      </extLst>
    </bk>
    <bk>
      <extLst>
        <ext uri="{3e2802c4-a4d2-4d8b-9148-e3be6c30e623}">
          <xlrd:rvb i="12029"/>
        </ext>
      </extLst>
    </bk>
    <bk>
      <extLst>
        <ext uri="{3e2802c4-a4d2-4d8b-9148-e3be6c30e623}">
          <xlrd:rvb i="12030"/>
        </ext>
      </extLst>
    </bk>
    <bk>
      <extLst>
        <ext uri="{3e2802c4-a4d2-4d8b-9148-e3be6c30e623}">
          <xlrd:rvb i="12031"/>
        </ext>
      </extLst>
    </bk>
    <bk>
      <extLst>
        <ext uri="{3e2802c4-a4d2-4d8b-9148-e3be6c30e623}">
          <xlrd:rvb i="12032"/>
        </ext>
      </extLst>
    </bk>
    <bk>
      <extLst>
        <ext uri="{3e2802c4-a4d2-4d8b-9148-e3be6c30e623}">
          <xlrd:rvb i="12033"/>
        </ext>
      </extLst>
    </bk>
    <bk>
      <extLst>
        <ext uri="{3e2802c4-a4d2-4d8b-9148-e3be6c30e623}">
          <xlrd:rvb i="12034"/>
        </ext>
      </extLst>
    </bk>
    <bk>
      <extLst>
        <ext uri="{3e2802c4-a4d2-4d8b-9148-e3be6c30e623}">
          <xlrd:rvb i="12035"/>
        </ext>
      </extLst>
    </bk>
    <bk>
      <extLst>
        <ext uri="{3e2802c4-a4d2-4d8b-9148-e3be6c30e623}">
          <xlrd:rvb i="12036"/>
        </ext>
      </extLst>
    </bk>
    <bk>
      <extLst>
        <ext uri="{3e2802c4-a4d2-4d8b-9148-e3be6c30e623}">
          <xlrd:rvb i="12037"/>
        </ext>
      </extLst>
    </bk>
    <bk>
      <extLst>
        <ext uri="{3e2802c4-a4d2-4d8b-9148-e3be6c30e623}">
          <xlrd:rvb i="12038"/>
        </ext>
      </extLst>
    </bk>
    <bk>
      <extLst>
        <ext uri="{3e2802c4-a4d2-4d8b-9148-e3be6c30e623}">
          <xlrd:rvb i="12039"/>
        </ext>
      </extLst>
    </bk>
    <bk>
      <extLst>
        <ext uri="{3e2802c4-a4d2-4d8b-9148-e3be6c30e623}">
          <xlrd:rvb i="12040"/>
        </ext>
      </extLst>
    </bk>
    <bk>
      <extLst>
        <ext uri="{3e2802c4-a4d2-4d8b-9148-e3be6c30e623}">
          <xlrd:rvb i="12041"/>
        </ext>
      </extLst>
    </bk>
    <bk>
      <extLst>
        <ext uri="{3e2802c4-a4d2-4d8b-9148-e3be6c30e623}">
          <xlrd:rvb i="12042"/>
        </ext>
      </extLst>
    </bk>
    <bk>
      <extLst>
        <ext uri="{3e2802c4-a4d2-4d8b-9148-e3be6c30e623}">
          <xlrd:rvb i="12043"/>
        </ext>
      </extLst>
    </bk>
    <bk>
      <extLst>
        <ext uri="{3e2802c4-a4d2-4d8b-9148-e3be6c30e623}">
          <xlrd:rvb i="12044"/>
        </ext>
      </extLst>
    </bk>
    <bk>
      <extLst>
        <ext uri="{3e2802c4-a4d2-4d8b-9148-e3be6c30e623}">
          <xlrd:rvb i="12045"/>
        </ext>
      </extLst>
    </bk>
    <bk>
      <extLst>
        <ext uri="{3e2802c4-a4d2-4d8b-9148-e3be6c30e623}">
          <xlrd:rvb i="12046"/>
        </ext>
      </extLst>
    </bk>
    <bk>
      <extLst>
        <ext uri="{3e2802c4-a4d2-4d8b-9148-e3be6c30e623}">
          <xlrd:rvb i="12047"/>
        </ext>
      </extLst>
    </bk>
    <bk>
      <extLst>
        <ext uri="{3e2802c4-a4d2-4d8b-9148-e3be6c30e623}">
          <xlrd:rvb i="12048"/>
        </ext>
      </extLst>
    </bk>
    <bk>
      <extLst>
        <ext uri="{3e2802c4-a4d2-4d8b-9148-e3be6c30e623}">
          <xlrd:rvb i="12049"/>
        </ext>
      </extLst>
    </bk>
    <bk>
      <extLst>
        <ext uri="{3e2802c4-a4d2-4d8b-9148-e3be6c30e623}">
          <xlrd:rvb i="12050"/>
        </ext>
      </extLst>
    </bk>
    <bk>
      <extLst>
        <ext uri="{3e2802c4-a4d2-4d8b-9148-e3be6c30e623}">
          <xlrd:rvb i="12051"/>
        </ext>
      </extLst>
    </bk>
    <bk>
      <extLst>
        <ext uri="{3e2802c4-a4d2-4d8b-9148-e3be6c30e623}">
          <xlrd:rvb i="12052"/>
        </ext>
      </extLst>
    </bk>
    <bk>
      <extLst>
        <ext uri="{3e2802c4-a4d2-4d8b-9148-e3be6c30e623}">
          <xlrd:rvb i="12053"/>
        </ext>
      </extLst>
    </bk>
    <bk>
      <extLst>
        <ext uri="{3e2802c4-a4d2-4d8b-9148-e3be6c30e623}">
          <xlrd:rvb i="12054"/>
        </ext>
      </extLst>
    </bk>
    <bk>
      <extLst>
        <ext uri="{3e2802c4-a4d2-4d8b-9148-e3be6c30e623}">
          <xlrd:rvb i="12055"/>
        </ext>
      </extLst>
    </bk>
    <bk>
      <extLst>
        <ext uri="{3e2802c4-a4d2-4d8b-9148-e3be6c30e623}">
          <xlrd:rvb i="12056"/>
        </ext>
      </extLst>
    </bk>
    <bk>
      <extLst>
        <ext uri="{3e2802c4-a4d2-4d8b-9148-e3be6c30e623}">
          <xlrd:rvb i="12057"/>
        </ext>
      </extLst>
    </bk>
    <bk>
      <extLst>
        <ext uri="{3e2802c4-a4d2-4d8b-9148-e3be6c30e623}">
          <xlrd:rvb i="12058"/>
        </ext>
      </extLst>
    </bk>
    <bk>
      <extLst>
        <ext uri="{3e2802c4-a4d2-4d8b-9148-e3be6c30e623}">
          <xlrd:rvb i="12059"/>
        </ext>
      </extLst>
    </bk>
    <bk>
      <extLst>
        <ext uri="{3e2802c4-a4d2-4d8b-9148-e3be6c30e623}">
          <xlrd:rvb i="12060"/>
        </ext>
      </extLst>
    </bk>
    <bk>
      <extLst>
        <ext uri="{3e2802c4-a4d2-4d8b-9148-e3be6c30e623}">
          <xlrd:rvb i="12061"/>
        </ext>
      </extLst>
    </bk>
    <bk>
      <extLst>
        <ext uri="{3e2802c4-a4d2-4d8b-9148-e3be6c30e623}">
          <xlrd:rvb i="12062"/>
        </ext>
      </extLst>
    </bk>
    <bk>
      <extLst>
        <ext uri="{3e2802c4-a4d2-4d8b-9148-e3be6c30e623}">
          <xlrd:rvb i="12063"/>
        </ext>
      </extLst>
    </bk>
    <bk>
      <extLst>
        <ext uri="{3e2802c4-a4d2-4d8b-9148-e3be6c30e623}">
          <xlrd:rvb i="12064"/>
        </ext>
      </extLst>
    </bk>
    <bk>
      <extLst>
        <ext uri="{3e2802c4-a4d2-4d8b-9148-e3be6c30e623}">
          <xlrd:rvb i="12065"/>
        </ext>
      </extLst>
    </bk>
    <bk>
      <extLst>
        <ext uri="{3e2802c4-a4d2-4d8b-9148-e3be6c30e623}">
          <xlrd:rvb i="12066"/>
        </ext>
      </extLst>
    </bk>
    <bk>
      <extLst>
        <ext uri="{3e2802c4-a4d2-4d8b-9148-e3be6c30e623}">
          <xlrd:rvb i="12067"/>
        </ext>
      </extLst>
    </bk>
    <bk>
      <extLst>
        <ext uri="{3e2802c4-a4d2-4d8b-9148-e3be6c30e623}">
          <xlrd:rvb i="12068"/>
        </ext>
      </extLst>
    </bk>
  </futureMetadata>
  <cellMetadata count="1">
    <bk>
      <rc t="1" v="0"/>
    </bk>
  </cellMetadata>
  <valueMetadata count="1195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bk>
      <rc t="2" v="3792"/>
    </bk>
    <bk>
      <rc t="2" v="3793"/>
    </bk>
    <bk>
      <rc t="2" v="3794"/>
    </bk>
    <bk>
      <rc t="2" v="3795"/>
    </bk>
    <bk>
      <rc t="2" v="3796"/>
    </bk>
    <bk>
      <rc t="2" v="3797"/>
    </bk>
    <bk>
      <rc t="2" v="3798"/>
    </bk>
    <bk>
      <rc t="2" v="3799"/>
    </bk>
    <bk>
      <rc t="2" v="3800"/>
    </bk>
    <bk>
      <rc t="2" v="3801"/>
    </bk>
    <bk>
      <rc t="2" v="3802"/>
    </bk>
    <bk>
      <rc t="2" v="3803"/>
    </bk>
    <bk>
      <rc t="2" v="3804"/>
    </bk>
    <bk>
      <rc t="2" v="3805"/>
    </bk>
    <bk>
      <rc t="2" v="3806"/>
    </bk>
    <bk>
      <rc t="2" v="3807"/>
    </bk>
    <bk>
      <rc t="2" v="3808"/>
    </bk>
    <bk>
      <rc t="2" v="3809"/>
    </bk>
    <bk>
      <rc t="2" v="3810"/>
    </bk>
    <bk>
      <rc t="2" v="3811"/>
    </bk>
    <bk>
      <rc t="2" v="3812"/>
    </bk>
    <bk>
      <rc t="2" v="3813"/>
    </bk>
    <bk>
      <rc t="2" v="3814"/>
    </bk>
    <bk>
      <rc t="2" v="3815"/>
    </bk>
    <bk>
      <rc t="2" v="3816"/>
    </bk>
    <bk>
      <rc t="2" v="3817"/>
    </bk>
    <bk>
      <rc t="2" v="3818"/>
    </bk>
    <bk>
      <rc t="2" v="3819"/>
    </bk>
    <bk>
      <rc t="2" v="3820"/>
    </bk>
    <bk>
      <rc t="2" v="3821"/>
    </bk>
    <bk>
      <rc t="2" v="3822"/>
    </bk>
    <bk>
      <rc t="2" v="3823"/>
    </bk>
    <bk>
      <rc t="2" v="3824"/>
    </bk>
    <bk>
      <rc t="2" v="3825"/>
    </bk>
    <bk>
      <rc t="2" v="3826"/>
    </bk>
    <bk>
      <rc t="2" v="3827"/>
    </bk>
    <bk>
      <rc t="2" v="3828"/>
    </bk>
    <bk>
      <rc t="2" v="3829"/>
    </bk>
    <bk>
      <rc t="2" v="3830"/>
    </bk>
    <bk>
      <rc t="2" v="3831"/>
    </bk>
    <bk>
      <rc t="2" v="3832"/>
    </bk>
    <bk>
      <rc t="2" v="3833"/>
    </bk>
    <bk>
      <rc t="2" v="3834"/>
    </bk>
    <bk>
      <rc t="2" v="3835"/>
    </bk>
    <bk>
      <rc t="2" v="3836"/>
    </bk>
    <bk>
      <rc t="2" v="3837"/>
    </bk>
    <bk>
      <rc t="2" v="3838"/>
    </bk>
    <bk>
      <rc t="2" v="3839"/>
    </bk>
    <bk>
      <rc t="2" v="3840"/>
    </bk>
    <bk>
      <rc t="2" v="3841"/>
    </bk>
    <bk>
      <rc t="2" v="3842"/>
    </bk>
    <bk>
      <rc t="2" v="3843"/>
    </bk>
    <bk>
      <rc t="2" v="3844"/>
    </bk>
    <bk>
      <rc t="2" v="3845"/>
    </bk>
    <bk>
      <rc t="2" v="3846"/>
    </bk>
    <bk>
      <rc t="2" v="3847"/>
    </bk>
    <bk>
      <rc t="2" v="3848"/>
    </bk>
    <bk>
      <rc t="2" v="3849"/>
    </bk>
    <bk>
      <rc t="2" v="3850"/>
    </bk>
    <bk>
      <rc t="2" v="3851"/>
    </bk>
    <bk>
      <rc t="2" v="3852"/>
    </bk>
    <bk>
      <rc t="2" v="3853"/>
    </bk>
    <bk>
      <rc t="2" v="3854"/>
    </bk>
    <bk>
      <rc t="2" v="3855"/>
    </bk>
    <bk>
      <rc t="2" v="3856"/>
    </bk>
    <bk>
      <rc t="2" v="3857"/>
    </bk>
    <bk>
      <rc t="2" v="3858"/>
    </bk>
    <bk>
      <rc t="2" v="3859"/>
    </bk>
    <bk>
      <rc t="2" v="3860"/>
    </bk>
    <bk>
      <rc t="2" v="3861"/>
    </bk>
    <bk>
      <rc t="2" v="3862"/>
    </bk>
    <bk>
      <rc t="2" v="3863"/>
    </bk>
    <bk>
      <rc t="2" v="3864"/>
    </bk>
    <bk>
      <rc t="2" v="3865"/>
    </bk>
    <bk>
      <rc t="2" v="3866"/>
    </bk>
    <bk>
      <rc t="2" v="3867"/>
    </bk>
    <bk>
      <rc t="2" v="3868"/>
    </bk>
    <bk>
      <rc t="2" v="3869"/>
    </bk>
    <bk>
      <rc t="2" v="3870"/>
    </bk>
    <bk>
      <rc t="2" v="3871"/>
    </bk>
    <bk>
      <rc t="2" v="3872"/>
    </bk>
    <bk>
      <rc t="2" v="3873"/>
    </bk>
    <bk>
      <rc t="2" v="3874"/>
    </bk>
    <bk>
      <rc t="2" v="3875"/>
    </bk>
    <bk>
      <rc t="2" v="3876"/>
    </bk>
    <bk>
      <rc t="2" v="3877"/>
    </bk>
    <bk>
      <rc t="2" v="3878"/>
    </bk>
    <bk>
      <rc t="2" v="3879"/>
    </bk>
    <bk>
      <rc t="2" v="3880"/>
    </bk>
    <bk>
      <rc t="2" v="3881"/>
    </bk>
    <bk>
      <rc t="2" v="3882"/>
    </bk>
    <bk>
      <rc t="2" v="3883"/>
    </bk>
    <bk>
      <rc t="2" v="3884"/>
    </bk>
    <bk>
      <rc t="2" v="3885"/>
    </bk>
    <bk>
      <rc t="2" v="3886"/>
    </bk>
    <bk>
      <rc t="2" v="3887"/>
    </bk>
    <bk>
      <rc t="2" v="3888"/>
    </bk>
    <bk>
      <rc t="2" v="3889"/>
    </bk>
    <bk>
      <rc t="2" v="3890"/>
    </bk>
    <bk>
      <rc t="2" v="3891"/>
    </bk>
    <bk>
      <rc t="2" v="3892"/>
    </bk>
    <bk>
      <rc t="2" v="3893"/>
    </bk>
    <bk>
      <rc t="2" v="3894"/>
    </bk>
    <bk>
      <rc t="2" v="3895"/>
    </bk>
    <bk>
      <rc t="2" v="3896"/>
    </bk>
    <bk>
      <rc t="2" v="3897"/>
    </bk>
    <bk>
      <rc t="2" v="3898"/>
    </bk>
    <bk>
      <rc t="2" v="3899"/>
    </bk>
    <bk>
      <rc t="2" v="3900"/>
    </bk>
    <bk>
      <rc t="2" v="3901"/>
    </bk>
    <bk>
      <rc t="2" v="3902"/>
    </bk>
    <bk>
      <rc t="2" v="3903"/>
    </bk>
    <bk>
      <rc t="2" v="3904"/>
    </bk>
    <bk>
      <rc t="2" v="3905"/>
    </bk>
    <bk>
      <rc t="2" v="3906"/>
    </bk>
    <bk>
      <rc t="2" v="3907"/>
    </bk>
    <bk>
      <rc t="2" v="3908"/>
    </bk>
    <bk>
      <rc t="2" v="3909"/>
    </bk>
    <bk>
      <rc t="2" v="3910"/>
    </bk>
    <bk>
      <rc t="2" v="3911"/>
    </bk>
    <bk>
      <rc t="2" v="3912"/>
    </bk>
    <bk>
      <rc t="2" v="3913"/>
    </bk>
    <bk>
      <rc t="2" v="3914"/>
    </bk>
    <bk>
      <rc t="2" v="3915"/>
    </bk>
    <bk>
      <rc t="2" v="3916"/>
    </bk>
    <bk>
      <rc t="2" v="3917"/>
    </bk>
    <bk>
      <rc t="2" v="3918"/>
    </bk>
    <bk>
      <rc t="2" v="3919"/>
    </bk>
    <bk>
      <rc t="2" v="3920"/>
    </bk>
    <bk>
      <rc t="2" v="3921"/>
    </bk>
    <bk>
      <rc t="2" v="3922"/>
    </bk>
    <bk>
      <rc t="2" v="3923"/>
    </bk>
    <bk>
      <rc t="2" v="3924"/>
    </bk>
    <bk>
      <rc t="2" v="3925"/>
    </bk>
    <bk>
      <rc t="2" v="3926"/>
    </bk>
    <bk>
      <rc t="2" v="3927"/>
    </bk>
    <bk>
      <rc t="2" v="3928"/>
    </bk>
    <bk>
      <rc t="2" v="3929"/>
    </bk>
    <bk>
      <rc t="2" v="3930"/>
    </bk>
    <bk>
      <rc t="2" v="3931"/>
    </bk>
    <bk>
      <rc t="2" v="3932"/>
    </bk>
    <bk>
      <rc t="2" v="3933"/>
    </bk>
    <bk>
      <rc t="2" v="3934"/>
    </bk>
    <bk>
      <rc t="2" v="3935"/>
    </bk>
    <bk>
      <rc t="2" v="3936"/>
    </bk>
    <bk>
      <rc t="2" v="3937"/>
    </bk>
    <bk>
      <rc t="2" v="3938"/>
    </bk>
    <bk>
      <rc t="2" v="3939"/>
    </bk>
    <bk>
      <rc t="2" v="3940"/>
    </bk>
    <bk>
      <rc t="2" v="3941"/>
    </bk>
    <bk>
      <rc t="2" v="3942"/>
    </bk>
    <bk>
      <rc t="2" v="3943"/>
    </bk>
    <bk>
      <rc t="2" v="3944"/>
    </bk>
    <bk>
      <rc t="2" v="3945"/>
    </bk>
    <bk>
      <rc t="2" v="3946"/>
    </bk>
    <bk>
      <rc t="2" v="3947"/>
    </bk>
    <bk>
      <rc t="2" v="3948"/>
    </bk>
    <bk>
      <rc t="2" v="3949"/>
    </bk>
    <bk>
      <rc t="2" v="3950"/>
    </bk>
    <bk>
      <rc t="2" v="3951"/>
    </bk>
    <bk>
      <rc t="2" v="3952"/>
    </bk>
    <bk>
      <rc t="2" v="3953"/>
    </bk>
    <bk>
      <rc t="2" v="3954"/>
    </bk>
    <bk>
      <rc t="2" v="3955"/>
    </bk>
    <bk>
      <rc t="2" v="3956"/>
    </bk>
    <bk>
      <rc t="2" v="3957"/>
    </bk>
    <bk>
      <rc t="2" v="3958"/>
    </bk>
    <bk>
      <rc t="2" v="3959"/>
    </bk>
    <bk>
      <rc t="2" v="3960"/>
    </bk>
    <bk>
      <rc t="2" v="3961"/>
    </bk>
    <bk>
      <rc t="2" v="3962"/>
    </bk>
    <bk>
      <rc t="2" v="3963"/>
    </bk>
    <bk>
      <rc t="2" v="3964"/>
    </bk>
    <bk>
      <rc t="2" v="3965"/>
    </bk>
    <bk>
      <rc t="2" v="3966"/>
    </bk>
    <bk>
      <rc t="2" v="3967"/>
    </bk>
    <bk>
      <rc t="2" v="3968"/>
    </bk>
    <bk>
      <rc t="2" v="3969"/>
    </bk>
    <bk>
      <rc t="2" v="3970"/>
    </bk>
    <bk>
      <rc t="2" v="3971"/>
    </bk>
    <bk>
      <rc t="2" v="3972"/>
    </bk>
    <bk>
      <rc t="2" v="3973"/>
    </bk>
    <bk>
      <rc t="2" v="3974"/>
    </bk>
    <bk>
      <rc t="2" v="3975"/>
    </bk>
    <bk>
      <rc t="2" v="3976"/>
    </bk>
    <bk>
      <rc t="2" v="3977"/>
    </bk>
    <bk>
      <rc t="2" v="3978"/>
    </bk>
    <bk>
      <rc t="2" v="3979"/>
    </bk>
    <bk>
      <rc t="2" v="3980"/>
    </bk>
    <bk>
      <rc t="2" v="3981"/>
    </bk>
    <bk>
      <rc t="2" v="3982"/>
    </bk>
    <bk>
      <rc t="2" v="3983"/>
    </bk>
    <bk>
      <rc t="2" v="3984"/>
    </bk>
    <bk>
      <rc t="2" v="3985"/>
    </bk>
    <bk>
      <rc t="2" v="3986"/>
    </bk>
    <bk>
      <rc t="2" v="3987"/>
    </bk>
    <bk>
      <rc t="2" v="3988"/>
    </bk>
    <bk>
      <rc t="2" v="3989"/>
    </bk>
    <bk>
      <rc t="2" v="3990"/>
    </bk>
    <bk>
      <rc t="2" v="3991"/>
    </bk>
    <bk>
      <rc t="2" v="3992"/>
    </bk>
    <bk>
      <rc t="2" v="3993"/>
    </bk>
    <bk>
      <rc t="2" v="3994"/>
    </bk>
    <bk>
      <rc t="2" v="3995"/>
    </bk>
    <bk>
      <rc t="2" v="3996"/>
    </bk>
    <bk>
      <rc t="2" v="3997"/>
    </bk>
    <bk>
      <rc t="2" v="3998"/>
    </bk>
    <bk>
      <rc t="2" v="3999"/>
    </bk>
    <bk>
      <rc t="2" v="4000"/>
    </bk>
    <bk>
      <rc t="2" v="4001"/>
    </bk>
    <bk>
      <rc t="2" v="4002"/>
    </bk>
    <bk>
      <rc t="2" v="4003"/>
    </bk>
    <bk>
      <rc t="2" v="4004"/>
    </bk>
    <bk>
      <rc t="2" v="4005"/>
    </bk>
    <bk>
      <rc t="2" v="4006"/>
    </bk>
    <bk>
      <rc t="2" v="4007"/>
    </bk>
    <bk>
      <rc t="2" v="4008"/>
    </bk>
    <bk>
      <rc t="2" v="4009"/>
    </bk>
    <bk>
      <rc t="2" v="4010"/>
    </bk>
    <bk>
      <rc t="2" v="4011"/>
    </bk>
    <bk>
      <rc t="2" v="4012"/>
    </bk>
    <bk>
      <rc t="2" v="4013"/>
    </bk>
    <bk>
      <rc t="2" v="4014"/>
    </bk>
    <bk>
      <rc t="2" v="4015"/>
    </bk>
    <bk>
      <rc t="2" v="4016"/>
    </bk>
    <bk>
      <rc t="2" v="4017"/>
    </bk>
    <bk>
      <rc t="2" v="4018"/>
    </bk>
    <bk>
      <rc t="2" v="4019"/>
    </bk>
    <bk>
      <rc t="2" v="4020"/>
    </bk>
    <bk>
      <rc t="2" v="4021"/>
    </bk>
    <bk>
      <rc t="2" v="4022"/>
    </bk>
    <bk>
      <rc t="2" v="4023"/>
    </bk>
    <bk>
      <rc t="2" v="4024"/>
    </bk>
    <bk>
      <rc t="2" v="4025"/>
    </bk>
    <bk>
      <rc t="2" v="4026"/>
    </bk>
    <bk>
      <rc t="2" v="4027"/>
    </bk>
    <bk>
      <rc t="2" v="4028"/>
    </bk>
    <bk>
      <rc t="2" v="4029"/>
    </bk>
    <bk>
      <rc t="2" v="4030"/>
    </bk>
    <bk>
      <rc t="2" v="4031"/>
    </bk>
    <bk>
      <rc t="2" v="4032"/>
    </bk>
    <bk>
      <rc t="2" v="4033"/>
    </bk>
    <bk>
      <rc t="2" v="4034"/>
    </bk>
    <bk>
      <rc t="2" v="4035"/>
    </bk>
    <bk>
      <rc t="2" v="4036"/>
    </bk>
    <bk>
      <rc t="2" v="4037"/>
    </bk>
    <bk>
      <rc t="2" v="4038"/>
    </bk>
    <bk>
      <rc t="2" v="4039"/>
    </bk>
    <bk>
      <rc t="2" v="4040"/>
    </bk>
    <bk>
      <rc t="2" v="4041"/>
    </bk>
    <bk>
      <rc t="2" v="4042"/>
    </bk>
    <bk>
      <rc t="2" v="4043"/>
    </bk>
    <bk>
      <rc t="2" v="4044"/>
    </bk>
    <bk>
      <rc t="2" v="4045"/>
    </bk>
    <bk>
      <rc t="2" v="4046"/>
    </bk>
    <bk>
      <rc t="2" v="4047"/>
    </bk>
    <bk>
      <rc t="2" v="4048"/>
    </bk>
    <bk>
      <rc t="2" v="4049"/>
    </bk>
    <bk>
      <rc t="2" v="4050"/>
    </bk>
    <bk>
      <rc t="2" v="4051"/>
    </bk>
    <bk>
      <rc t="2" v="4052"/>
    </bk>
    <bk>
      <rc t="2" v="4053"/>
    </bk>
    <bk>
      <rc t="2" v="4054"/>
    </bk>
    <bk>
      <rc t="2" v="4055"/>
    </bk>
    <bk>
      <rc t="2" v="4056"/>
    </bk>
    <bk>
      <rc t="2" v="4057"/>
    </bk>
    <bk>
      <rc t="2" v="4058"/>
    </bk>
    <bk>
      <rc t="2" v="4059"/>
    </bk>
    <bk>
      <rc t="2" v="4060"/>
    </bk>
    <bk>
      <rc t="2" v="4061"/>
    </bk>
    <bk>
      <rc t="2" v="4062"/>
    </bk>
    <bk>
      <rc t="2" v="4063"/>
    </bk>
    <bk>
      <rc t="2" v="4064"/>
    </bk>
    <bk>
      <rc t="2" v="4065"/>
    </bk>
    <bk>
      <rc t="2" v="4066"/>
    </bk>
    <bk>
      <rc t="2" v="4067"/>
    </bk>
    <bk>
      <rc t="2" v="4068"/>
    </bk>
    <bk>
      <rc t="2" v="4069"/>
    </bk>
    <bk>
      <rc t="2" v="4070"/>
    </bk>
    <bk>
      <rc t="2" v="4071"/>
    </bk>
    <bk>
      <rc t="2" v="4072"/>
    </bk>
    <bk>
      <rc t="2" v="4073"/>
    </bk>
    <bk>
      <rc t="2" v="4074"/>
    </bk>
    <bk>
      <rc t="2" v="4075"/>
    </bk>
    <bk>
      <rc t="2" v="4076"/>
    </bk>
    <bk>
      <rc t="2" v="4077"/>
    </bk>
    <bk>
      <rc t="2" v="4078"/>
    </bk>
    <bk>
      <rc t="2" v="4079"/>
    </bk>
    <bk>
      <rc t="2" v="4080"/>
    </bk>
    <bk>
      <rc t="2" v="4081"/>
    </bk>
    <bk>
      <rc t="2" v="4082"/>
    </bk>
    <bk>
      <rc t="2" v="4083"/>
    </bk>
    <bk>
      <rc t="2" v="4084"/>
    </bk>
    <bk>
      <rc t="2" v="4085"/>
    </bk>
    <bk>
      <rc t="2" v="4086"/>
    </bk>
    <bk>
      <rc t="2" v="4087"/>
    </bk>
    <bk>
      <rc t="2" v="4088"/>
    </bk>
    <bk>
      <rc t="2" v="4089"/>
    </bk>
    <bk>
      <rc t="2" v="4090"/>
    </bk>
    <bk>
      <rc t="2" v="4091"/>
    </bk>
    <bk>
      <rc t="2" v="4092"/>
    </bk>
    <bk>
      <rc t="2" v="4093"/>
    </bk>
    <bk>
      <rc t="2" v="4094"/>
    </bk>
    <bk>
      <rc t="2" v="4095"/>
    </bk>
    <bk>
      <rc t="2" v="4096"/>
    </bk>
    <bk>
      <rc t="2" v="4097"/>
    </bk>
    <bk>
      <rc t="2" v="4098"/>
    </bk>
    <bk>
      <rc t="2" v="4099"/>
    </bk>
    <bk>
      <rc t="2" v="4100"/>
    </bk>
    <bk>
      <rc t="2" v="4101"/>
    </bk>
    <bk>
      <rc t="2" v="4102"/>
    </bk>
    <bk>
      <rc t="2" v="4103"/>
    </bk>
    <bk>
      <rc t="2" v="4104"/>
    </bk>
    <bk>
      <rc t="2" v="4105"/>
    </bk>
    <bk>
      <rc t="2" v="4106"/>
    </bk>
    <bk>
      <rc t="2" v="4107"/>
    </bk>
    <bk>
      <rc t="2" v="4108"/>
    </bk>
    <bk>
      <rc t="2" v="4109"/>
    </bk>
    <bk>
      <rc t="2" v="4110"/>
    </bk>
    <bk>
      <rc t="2" v="4111"/>
    </bk>
    <bk>
      <rc t="2" v="4112"/>
    </bk>
    <bk>
      <rc t="2" v="4113"/>
    </bk>
    <bk>
      <rc t="2" v="4114"/>
    </bk>
    <bk>
      <rc t="2" v="4115"/>
    </bk>
    <bk>
      <rc t="2" v="4116"/>
    </bk>
    <bk>
      <rc t="2" v="4117"/>
    </bk>
    <bk>
      <rc t="2" v="4118"/>
    </bk>
    <bk>
      <rc t="2" v="4119"/>
    </bk>
    <bk>
      <rc t="2" v="4120"/>
    </bk>
    <bk>
      <rc t="2" v="4121"/>
    </bk>
    <bk>
      <rc t="2" v="4122"/>
    </bk>
    <bk>
      <rc t="2" v="4123"/>
    </bk>
    <bk>
      <rc t="2" v="4124"/>
    </bk>
    <bk>
      <rc t="2" v="4125"/>
    </bk>
    <bk>
      <rc t="2" v="4126"/>
    </bk>
    <bk>
      <rc t="2" v="4127"/>
    </bk>
    <bk>
      <rc t="2" v="4128"/>
    </bk>
    <bk>
      <rc t="2" v="4129"/>
    </bk>
    <bk>
      <rc t="2" v="4130"/>
    </bk>
    <bk>
      <rc t="2" v="4131"/>
    </bk>
    <bk>
      <rc t="2" v="4132"/>
    </bk>
    <bk>
      <rc t="2" v="4133"/>
    </bk>
    <bk>
      <rc t="2" v="4134"/>
    </bk>
    <bk>
      <rc t="2" v="4135"/>
    </bk>
    <bk>
      <rc t="2" v="4136"/>
    </bk>
    <bk>
      <rc t="2" v="4137"/>
    </bk>
    <bk>
      <rc t="2" v="4138"/>
    </bk>
    <bk>
      <rc t="2" v="4139"/>
    </bk>
    <bk>
      <rc t="2" v="4140"/>
    </bk>
    <bk>
      <rc t="2" v="4141"/>
    </bk>
    <bk>
      <rc t="2" v="4142"/>
    </bk>
    <bk>
      <rc t="2" v="4143"/>
    </bk>
    <bk>
      <rc t="2" v="4144"/>
    </bk>
    <bk>
      <rc t="2" v="4145"/>
    </bk>
    <bk>
      <rc t="2" v="4146"/>
    </bk>
    <bk>
      <rc t="2" v="4147"/>
    </bk>
    <bk>
      <rc t="2" v="4148"/>
    </bk>
    <bk>
      <rc t="2" v="4149"/>
    </bk>
    <bk>
      <rc t="2" v="4150"/>
    </bk>
    <bk>
      <rc t="2" v="4151"/>
    </bk>
    <bk>
      <rc t="2" v="4152"/>
    </bk>
    <bk>
      <rc t="2" v="4153"/>
    </bk>
    <bk>
      <rc t="2" v="4154"/>
    </bk>
    <bk>
      <rc t="2" v="4155"/>
    </bk>
    <bk>
      <rc t="2" v="4156"/>
    </bk>
    <bk>
      <rc t="2" v="4157"/>
    </bk>
    <bk>
      <rc t="2" v="4158"/>
    </bk>
    <bk>
      <rc t="2" v="4159"/>
    </bk>
    <bk>
      <rc t="2" v="4160"/>
    </bk>
    <bk>
      <rc t="2" v="4161"/>
    </bk>
    <bk>
      <rc t="2" v="4162"/>
    </bk>
    <bk>
      <rc t="2" v="4163"/>
    </bk>
    <bk>
      <rc t="2" v="4164"/>
    </bk>
    <bk>
      <rc t="2" v="4165"/>
    </bk>
    <bk>
      <rc t="2" v="4166"/>
    </bk>
    <bk>
      <rc t="2" v="4167"/>
    </bk>
    <bk>
      <rc t="2" v="4168"/>
    </bk>
    <bk>
      <rc t="2" v="4169"/>
    </bk>
    <bk>
      <rc t="2" v="4170"/>
    </bk>
    <bk>
      <rc t="2" v="4171"/>
    </bk>
    <bk>
      <rc t="2" v="4172"/>
    </bk>
    <bk>
      <rc t="2" v="4173"/>
    </bk>
    <bk>
      <rc t="2" v="4174"/>
    </bk>
    <bk>
      <rc t="2" v="4175"/>
    </bk>
    <bk>
      <rc t="2" v="4176"/>
    </bk>
    <bk>
      <rc t="2" v="4177"/>
    </bk>
    <bk>
      <rc t="2" v="4178"/>
    </bk>
    <bk>
      <rc t="2" v="4179"/>
    </bk>
    <bk>
      <rc t="2" v="4180"/>
    </bk>
    <bk>
      <rc t="2" v="4181"/>
    </bk>
    <bk>
      <rc t="2" v="4182"/>
    </bk>
    <bk>
      <rc t="2" v="4183"/>
    </bk>
    <bk>
      <rc t="2" v="4184"/>
    </bk>
    <bk>
      <rc t="2" v="4185"/>
    </bk>
    <bk>
      <rc t="2" v="4186"/>
    </bk>
    <bk>
      <rc t="2" v="4187"/>
    </bk>
    <bk>
      <rc t="2" v="4188"/>
    </bk>
    <bk>
      <rc t="2" v="4189"/>
    </bk>
    <bk>
      <rc t="2" v="4190"/>
    </bk>
    <bk>
      <rc t="2" v="4191"/>
    </bk>
    <bk>
      <rc t="2" v="4192"/>
    </bk>
    <bk>
      <rc t="2" v="4193"/>
    </bk>
    <bk>
      <rc t="2" v="4194"/>
    </bk>
    <bk>
      <rc t="2" v="4195"/>
    </bk>
    <bk>
      <rc t="2" v="4196"/>
    </bk>
    <bk>
      <rc t="2" v="4197"/>
    </bk>
    <bk>
      <rc t="2" v="4198"/>
    </bk>
    <bk>
      <rc t="2" v="4199"/>
    </bk>
    <bk>
      <rc t="2" v="4200"/>
    </bk>
    <bk>
      <rc t="2" v="4201"/>
    </bk>
    <bk>
      <rc t="2" v="4202"/>
    </bk>
    <bk>
      <rc t="2" v="4203"/>
    </bk>
    <bk>
      <rc t="2" v="4204"/>
    </bk>
    <bk>
      <rc t="2" v="4205"/>
    </bk>
    <bk>
      <rc t="2" v="4206"/>
    </bk>
    <bk>
      <rc t="2" v="4207"/>
    </bk>
    <bk>
      <rc t="2" v="4208"/>
    </bk>
    <bk>
      <rc t="2" v="4209"/>
    </bk>
    <bk>
      <rc t="2" v="4210"/>
    </bk>
    <bk>
      <rc t="2" v="4211"/>
    </bk>
    <bk>
      <rc t="2" v="4212"/>
    </bk>
    <bk>
      <rc t="2" v="4213"/>
    </bk>
    <bk>
      <rc t="2" v="4214"/>
    </bk>
    <bk>
      <rc t="2" v="4215"/>
    </bk>
    <bk>
      <rc t="2" v="4216"/>
    </bk>
    <bk>
      <rc t="2" v="4217"/>
    </bk>
    <bk>
      <rc t="2" v="4218"/>
    </bk>
    <bk>
      <rc t="2" v="4219"/>
    </bk>
    <bk>
      <rc t="2" v="4220"/>
    </bk>
    <bk>
      <rc t="2" v="4221"/>
    </bk>
    <bk>
      <rc t="2" v="4222"/>
    </bk>
    <bk>
      <rc t="2" v="4223"/>
    </bk>
    <bk>
      <rc t="2" v="4224"/>
    </bk>
    <bk>
      <rc t="2" v="4225"/>
    </bk>
    <bk>
      <rc t="2" v="4226"/>
    </bk>
    <bk>
      <rc t="2" v="4227"/>
    </bk>
    <bk>
      <rc t="2" v="4228"/>
    </bk>
    <bk>
      <rc t="2" v="4229"/>
    </bk>
    <bk>
      <rc t="2" v="4230"/>
    </bk>
    <bk>
      <rc t="2" v="4231"/>
    </bk>
    <bk>
      <rc t="2" v="4232"/>
    </bk>
    <bk>
      <rc t="2" v="4233"/>
    </bk>
    <bk>
      <rc t="2" v="4234"/>
    </bk>
    <bk>
      <rc t="2" v="4235"/>
    </bk>
    <bk>
      <rc t="2" v="4236"/>
    </bk>
    <bk>
      <rc t="2" v="4237"/>
    </bk>
    <bk>
      <rc t="2" v="4238"/>
    </bk>
    <bk>
      <rc t="2" v="4239"/>
    </bk>
    <bk>
      <rc t="2" v="4240"/>
    </bk>
    <bk>
      <rc t="2" v="4241"/>
    </bk>
    <bk>
      <rc t="2" v="4242"/>
    </bk>
    <bk>
      <rc t="2" v="4243"/>
    </bk>
    <bk>
      <rc t="2" v="4244"/>
    </bk>
    <bk>
      <rc t="2" v="4245"/>
    </bk>
    <bk>
      <rc t="2" v="4246"/>
    </bk>
    <bk>
      <rc t="2" v="4247"/>
    </bk>
    <bk>
      <rc t="2" v="4248"/>
    </bk>
    <bk>
      <rc t="2" v="4249"/>
    </bk>
    <bk>
      <rc t="2" v="4250"/>
    </bk>
    <bk>
      <rc t="2" v="4251"/>
    </bk>
    <bk>
      <rc t="2" v="4252"/>
    </bk>
    <bk>
      <rc t="2" v="4253"/>
    </bk>
    <bk>
      <rc t="2" v="4254"/>
    </bk>
    <bk>
      <rc t="2" v="4255"/>
    </bk>
    <bk>
      <rc t="2" v="4256"/>
    </bk>
    <bk>
      <rc t="2" v="4257"/>
    </bk>
    <bk>
      <rc t="2" v="4258"/>
    </bk>
    <bk>
      <rc t="2" v="4259"/>
    </bk>
    <bk>
      <rc t="2" v="4260"/>
    </bk>
    <bk>
      <rc t="2" v="4261"/>
    </bk>
    <bk>
      <rc t="2" v="4262"/>
    </bk>
    <bk>
      <rc t="2" v="4263"/>
    </bk>
    <bk>
      <rc t="2" v="4264"/>
    </bk>
    <bk>
      <rc t="2" v="4265"/>
    </bk>
    <bk>
      <rc t="2" v="4266"/>
    </bk>
    <bk>
      <rc t="2" v="4267"/>
    </bk>
    <bk>
      <rc t="2" v="4268"/>
    </bk>
    <bk>
      <rc t="2" v="4269"/>
    </bk>
    <bk>
      <rc t="2" v="4270"/>
    </bk>
    <bk>
      <rc t="2" v="4271"/>
    </bk>
    <bk>
      <rc t="2" v="4272"/>
    </bk>
    <bk>
      <rc t="2" v="4273"/>
    </bk>
    <bk>
      <rc t="2" v="4274"/>
    </bk>
    <bk>
      <rc t="2" v="4275"/>
    </bk>
    <bk>
      <rc t="2" v="4276"/>
    </bk>
    <bk>
      <rc t="2" v="4277"/>
    </bk>
    <bk>
      <rc t="2" v="4278"/>
    </bk>
    <bk>
      <rc t="2" v="4279"/>
    </bk>
    <bk>
      <rc t="2" v="4280"/>
    </bk>
    <bk>
      <rc t="2" v="4281"/>
    </bk>
    <bk>
      <rc t="2" v="4282"/>
    </bk>
    <bk>
      <rc t="2" v="4283"/>
    </bk>
    <bk>
      <rc t="2" v="4284"/>
    </bk>
    <bk>
      <rc t="2" v="4285"/>
    </bk>
    <bk>
      <rc t="2" v="4286"/>
    </bk>
    <bk>
      <rc t="2" v="4287"/>
    </bk>
    <bk>
      <rc t="2" v="4288"/>
    </bk>
    <bk>
      <rc t="2" v="4289"/>
    </bk>
    <bk>
      <rc t="2" v="4290"/>
    </bk>
    <bk>
      <rc t="2" v="4291"/>
    </bk>
    <bk>
      <rc t="2" v="4292"/>
    </bk>
    <bk>
      <rc t="2" v="4293"/>
    </bk>
    <bk>
      <rc t="2" v="4294"/>
    </bk>
    <bk>
      <rc t="2" v="4295"/>
    </bk>
    <bk>
      <rc t="2" v="4296"/>
    </bk>
    <bk>
      <rc t="2" v="4297"/>
    </bk>
    <bk>
      <rc t="2" v="4298"/>
    </bk>
    <bk>
      <rc t="2" v="4299"/>
    </bk>
    <bk>
      <rc t="2" v="4300"/>
    </bk>
    <bk>
      <rc t="2" v="4301"/>
    </bk>
    <bk>
      <rc t="2" v="4302"/>
    </bk>
    <bk>
      <rc t="2" v="4303"/>
    </bk>
    <bk>
      <rc t="2" v="4304"/>
    </bk>
    <bk>
      <rc t="2" v="4305"/>
    </bk>
    <bk>
      <rc t="2" v="4306"/>
    </bk>
    <bk>
      <rc t="2" v="4307"/>
    </bk>
    <bk>
      <rc t="2" v="4308"/>
    </bk>
    <bk>
      <rc t="2" v="4309"/>
    </bk>
    <bk>
      <rc t="2" v="4310"/>
    </bk>
    <bk>
      <rc t="2" v="4311"/>
    </bk>
    <bk>
      <rc t="2" v="4312"/>
    </bk>
    <bk>
      <rc t="2" v="4313"/>
    </bk>
    <bk>
      <rc t="2" v="4314"/>
    </bk>
    <bk>
      <rc t="2" v="4315"/>
    </bk>
    <bk>
      <rc t="2" v="4316"/>
    </bk>
    <bk>
      <rc t="2" v="4317"/>
    </bk>
    <bk>
      <rc t="2" v="4318"/>
    </bk>
    <bk>
      <rc t="2" v="4319"/>
    </bk>
    <bk>
      <rc t="2" v="4320"/>
    </bk>
    <bk>
      <rc t="2" v="4321"/>
    </bk>
    <bk>
      <rc t="2" v="4322"/>
    </bk>
    <bk>
      <rc t="2" v="4323"/>
    </bk>
    <bk>
      <rc t="2" v="4324"/>
    </bk>
    <bk>
      <rc t="2" v="4325"/>
    </bk>
    <bk>
      <rc t="2" v="4326"/>
    </bk>
    <bk>
      <rc t="2" v="4327"/>
    </bk>
    <bk>
      <rc t="2" v="4328"/>
    </bk>
    <bk>
      <rc t="2" v="4329"/>
    </bk>
    <bk>
      <rc t="2" v="4330"/>
    </bk>
    <bk>
      <rc t="2" v="4331"/>
    </bk>
    <bk>
      <rc t="2" v="4332"/>
    </bk>
    <bk>
      <rc t="2" v="4333"/>
    </bk>
    <bk>
      <rc t="2" v="4334"/>
    </bk>
    <bk>
      <rc t="2" v="4335"/>
    </bk>
    <bk>
      <rc t="2" v="4336"/>
    </bk>
    <bk>
      <rc t="2" v="4337"/>
    </bk>
    <bk>
      <rc t="2" v="4338"/>
    </bk>
    <bk>
      <rc t="2" v="4339"/>
    </bk>
    <bk>
      <rc t="2" v="4340"/>
    </bk>
    <bk>
      <rc t="2" v="4341"/>
    </bk>
    <bk>
      <rc t="2" v="4342"/>
    </bk>
    <bk>
      <rc t="2" v="4343"/>
    </bk>
    <bk>
      <rc t="2" v="4344"/>
    </bk>
    <bk>
      <rc t="2" v="4345"/>
    </bk>
    <bk>
      <rc t="2" v="4346"/>
    </bk>
    <bk>
      <rc t="2" v="4347"/>
    </bk>
    <bk>
      <rc t="2" v="4348"/>
    </bk>
    <bk>
      <rc t="2" v="4349"/>
    </bk>
    <bk>
      <rc t="2" v="4350"/>
    </bk>
    <bk>
      <rc t="2" v="4351"/>
    </bk>
    <bk>
      <rc t="2" v="4352"/>
    </bk>
    <bk>
      <rc t="2" v="4353"/>
    </bk>
    <bk>
      <rc t="2" v="4354"/>
    </bk>
    <bk>
      <rc t="2" v="4355"/>
    </bk>
    <bk>
      <rc t="2" v="4356"/>
    </bk>
    <bk>
      <rc t="2" v="4357"/>
    </bk>
    <bk>
      <rc t="2" v="4358"/>
    </bk>
    <bk>
      <rc t="2" v="4359"/>
    </bk>
    <bk>
      <rc t="2" v="4360"/>
    </bk>
    <bk>
      <rc t="2" v="4361"/>
    </bk>
    <bk>
      <rc t="2" v="4362"/>
    </bk>
    <bk>
      <rc t="2" v="4363"/>
    </bk>
    <bk>
      <rc t="2" v="4364"/>
    </bk>
    <bk>
      <rc t="2" v="4365"/>
    </bk>
    <bk>
      <rc t="2" v="4366"/>
    </bk>
    <bk>
      <rc t="2" v="4367"/>
    </bk>
    <bk>
      <rc t="2" v="4368"/>
    </bk>
    <bk>
      <rc t="2" v="4369"/>
    </bk>
    <bk>
      <rc t="2" v="4370"/>
    </bk>
    <bk>
      <rc t="2" v="4371"/>
    </bk>
    <bk>
      <rc t="2" v="4372"/>
    </bk>
    <bk>
      <rc t="2" v="4373"/>
    </bk>
    <bk>
      <rc t="2" v="4374"/>
    </bk>
    <bk>
      <rc t="2" v="4375"/>
    </bk>
    <bk>
      <rc t="2" v="4376"/>
    </bk>
    <bk>
      <rc t="2" v="4377"/>
    </bk>
    <bk>
      <rc t="2" v="4378"/>
    </bk>
    <bk>
      <rc t="2" v="4379"/>
    </bk>
    <bk>
      <rc t="2" v="4380"/>
    </bk>
    <bk>
      <rc t="2" v="4381"/>
    </bk>
    <bk>
      <rc t="2" v="4382"/>
    </bk>
    <bk>
      <rc t="2" v="4383"/>
    </bk>
    <bk>
      <rc t="2" v="4384"/>
    </bk>
    <bk>
      <rc t="2" v="4385"/>
    </bk>
    <bk>
      <rc t="2" v="4386"/>
    </bk>
    <bk>
      <rc t="2" v="4387"/>
    </bk>
    <bk>
      <rc t="2" v="4388"/>
    </bk>
    <bk>
      <rc t="2" v="4389"/>
    </bk>
    <bk>
      <rc t="2" v="4390"/>
    </bk>
    <bk>
      <rc t="2" v="4391"/>
    </bk>
    <bk>
      <rc t="2" v="4392"/>
    </bk>
    <bk>
      <rc t="2" v="4393"/>
    </bk>
    <bk>
      <rc t="2" v="4394"/>
    </bk>
    <bk>
      <rc t="2" v="4395"/>
    </bk>
    <bk>
      <rc t="2" v="4396"/>
    </bk>
    <bk>
      <rc t="2" v="4397"/>
    </bk>
    <bk>
      <rc t="2" v="4398"/>
    </bk>
    <bk>
      <rc t="2" v="4399"/>
    </bk>
    <bk>
      <rc t="2" v="4400"/>
    </bk>
    <bk>
      <rc t="2" v="4401"/>
    </bk>
    <bk>
      <rc t="2" v="4402"/>
    </bk>
    <bk>
      <rc t="2" v="4403"/>
    </bk>
    <bk>
      <rc t="2" v="4404"/>
    </bk>
    <bk>
      <rc t="2" v="4405"/>
    </bk>
    <bk>
      <rc t="2" v="4406"/>
    </bk>
    <bk>
      <rc t="2" v="4407"/>
    </bk>
    <bk>
      <rc t="2" v="4408"/>
    </bk>
    <bk>
      <rc t="2" v="4409"/>
    </bk>
    <bk>
      <rc t="2" v="4410"/>
    </bk>
    <bk>
      <rc t="2" v="4411"/>
    </bk>
    <bk>
      <rc t="2" v="4412"/>
    </bk>
    <bk>
      <rc t="2" v="4413"/>
    </bk>
    <bk>
      <rc t="2" v="4414"/>
    </bk>
    <bk>
      <rc t="2" v="4415"/>
    </bk>
    <bk>
      <rc t="2" v="4416"/>
    </bk>
    <bk>
      <rc t="2" v="4417"/>
    </bk>
    <bk>
      <rc t="2" v="4418"/>
    </bk>
    <bk>
      <rc t="2" v="4419"/>
    </bk>
    <bk>
      <rc t="2" v="4420"/>
    </bk>
    <bk>
      <rc t="2" v="4421"/>
    </bk>
    <bk>
      <rc t="2" v="4422"/>
    </bk>
    <bk>
      <rc t="2" v="4423"/>
    </bk>
    <bk>
      <rc t="2" v="4424"/>
    </bk>
    <bk>
      <rc t="2" v="4425"/>
    </bk>
    <bk>
      <rc t="2" v="4426"/>
    </bk>
    <bk>
      <rc t="2" v="4427"/>
    </bk>
    <bk>
      <rc t="2" v="4428"/>
    </bk>
    <bk>
      <rc t="2" v="4429"/>
    </bk>
    <bk>
      <rc t="2" v="4430"/>
    </bk>
    <bk>
      <rc t="2" v="4431"/>
    </bk>
    <bk>
      <rc t="2" v="4432"/>
    </bk>
    <bk>
      <rc t="2" v="4433"/>
    </bk>
    <bk>
      <rc t="2" v="4434"/>
    </bk>
    <bk>
      <rc t="2" v="4435"/>
    </bk>
    <bk>
      <rc t="2" v="4436"/>
    </bk>
    <bk>
      <rc t="2" v="4437"/>
    </bk>
    <bk>
      <rc t="2" v="4438"/>
    </bk>
    <bk>
      <rc t="2" v="4439"/>
    </bk>
    <bk>
      <rc t="2" v="4440"/>
    </bk>
    <bk>
      <rc t="2" v="4441"/>
    </bk>
    <bk>
      <rc t="2" v="4442"/>
    </bk>
    <bk>
      <rc t="2" v="4443"/>
    </bk>
    <bk>
      <rc t="2" v="4444"/>
    </bk>
    <bk>
      <rc t="2" v="4445"/>
    </bk>
    <bk>
      <rc t="2" v="4446"/>
    </bk>
    <bk>
      <rc t="2" v="4447"/>
    </bk>
    <bk>
      <rc t="2" v="4448"/>
    </bk>
    <bk>
      <rc t="2" v="4449"/>
    </bk>
    <bk>
      <rc t="2" v="4450"/>
    </bk>
    <bk>
      <rc t="2" v="4451"/>
    </bk>
    <bk>
      <rc t="2" v="4452"/>
    </bk>
    <bk>
      <rc t="2" v="4453"/>
    </bk>
    <bk>
      <rc t="2" v="4454"/>
    </bk>
    <bk>
      <rc t="2" v="4455"/>
    </bk>
    <bk>
      <rc t="2" v="4456"/>
    </bk>
    <bk>
      <rc t="2" v="4457"/>
    </bk>
    <bk>
      <rc t="2" v="4458"/>
    </bk>
    <bk>
      <rc t="2" v="4459"/>
    </bk>
    <bk>
      <rc t="2" v="4460"/>
    </bk>
    <bk>
      <rc t="2" v="4461"/>
    </bk>
    <bk>
      <rc t="2" v="4462"/>
    </bk>
    <bk>
      <rc t="2" v="4463"/>
    </bk>
    <bk>
      <rc t="2" v="4464"/>
    </bk>
    <bk>
      <rc t="2" v="4465"/>
    </bk>
    <bk>
      <rc t="2" v="4466"/>
    </bk>
    <bk>
      <rc t="2" v="4467"/>
    </bk>
    <bk>
      <rc t="2" v="4468"/>
    </bk>
    <bk>
      <rc t="2" v="4469"/>
    </bk>
    <bk>
      <rc t="2" v="4470"/>
    </bk>
    <bk>
      <rc t="2" v="4471"/>
    </bk>
    <bk>
      <rc t="2" v="4472"/>
    </bk>
    <bk>
      <rc t="2" v="4473"/>
    </bk>
    <bk>
      <rc t="2" v="4474"/>
    </bk>
    <bk>
      <rc t="2" v="4475"/>
    </bk>
    <bk>
      <rc t="2" v="4476"/>
    </bk>
    <bk>
      <rc t="2" v="4477"/>
    </bk>
    <bk>
      <rc t="2" v="4478"/>
    </bk>
    <bk>
      <rc t="2" v="4479"/>
    </bk>
    <bk>
      <rc t="2" v="4480"/>
    </bk>
    <bk>
      <rc t="2" v="4481"/>
    </bk>
    <bk>
      <rc t="2" v="4482"/>
    </bk>
    <bk>
      <rc t="2" v="4483"/>
    </bk>
    <bk>
      <rc t="2" v="4484"/>
    </bk>
    <bk>
      <rc t="2" v="4485"/>
    </bk>
    <bk>
      <rc t="2" v="4486"/>
    </bk>
    <bk>
      <rc t="2" v="4487"/>
    </bk>
    <bk>
      <rc t="2" v="4488"/>
    </bk>
    <bk>
      <rc t="2" v="4489"/>
    </bk>
    <bk>
      <rc t="2" v="4490"/>
    </bk>
    <bk>
      <rc t="2" v="4491"/>
    </bk>
    <bk>
      <rc t="2" v="4492"/>
    </bk>
    <bk>
      <rc t="2" v="4493"/>
    </bk>
    <bk>
      <rc t="2" v="4494"/>
    </bk>
    <bk>
      <rc t="2" v="4495"/>
    </bk>
    <bk>
      <rc t="2" v="4496"/>
    </bk>
    <bk>
      <rc t="2" v="4497"/>
    </bk>
    <bk>
      <rc t="2" v="4498"/>
    </bk>
    <bk>
      <rc t="2" v="4499"/>
    </bk>
    <bk>
      <rc t="2" v="4500"/>
    </bk>
    <bk>
      <rc t="2" v="4501"/>
    </bk>
    <bk>
      <rc t="2" v="4502"/>
    </bk>
    <bk>
      <rc t="2" v="4503"/>
    </bk>
    <bk>
      <rc t="2" v="4504"/>
    </bk>
    <bk>
      <rc t="2" v="4505"/>
    </bk>
    <bk>
      <rc t="2" v="4506"/>
    </bk>
    <bk>
      <rc t="2" v="4507"/>
    </bk>
    <bk>
      <rc t="2" v="4508"/>
    </bk>
    <bk>
      <rc t="2" v="4509"/>
    </bk>
    <bk>
      <rc t="2" v="4510"/>
    </bk>
    <bk>
      <rc t="2" v="4511"/>
    </bk>
    <bk>
      <rc t="2" v="4512"/>
    </bk>
    <bk>
      <rc t="2" v="4513"/>
    </bk>
    <bk>
      <rc t="2" v="4514"/>
    </bk>
    <bk>
      <rc t="2" v="4515"/>
    </bk>
    <bk>
      <rc t="2" v="4516"/>
    </bk>
    <bk>
      <rc t="2" v="4517"/>
    </bk>
    <bk>
      <rc t="2" v="4518"/>
    </bk>
    <bk>
      <rc t="2" v="4519"/>
    </bk>
    <bk>
      <rc t="2" v="4520"/>
    </bk>
    <bk>
      <rc t="2" v="4521"/>
    </bk>
    <bk>
      <rc t="2" v="4522"/>
    </bk>
    <bk>
      <rc t="2" v="4523"/>
    </bk>
    <bk>
      <rc t="2" v="4524"/>
    </bk>
    <bk>
      <rc t="2" v="4525"/>
    </bk>
    <bk>
      <rc t="2" v="4526"/>
    </bk>
    <bk>
      <rc t="2" v="4527"/>
    </bk>
    <bk>
      <rc t="2" v="4528"/>
    </bk>
    <bk>
      <rc t="2" v="4529"/>
    </bk>
    <bk>
      <rc t="2" v="4530"/>
    </bk>
    <bk>
      <rc t="2" v="4531"/>
    </bk>
    <bk>
      <rc t="2" v="4532"/>
    </bk>
    <bk>
      <rc t="2" v="4533"/>
    </bk>
    <bk>
      <rc t="2" v="4534"/>
    </bk>
    <bk>
      <rc t="2" v="4535"/>
    </bk>
    <bk>
      <rc t="2" v="4536"/>
    </bk>
    <bk>
      <rc t="2" v="4537"/>
    </bk>
    <bk>
      <rc t="2" v="4538"/>
    </bk>
    <bk>
      <rc t="2" v="4539"/>
    </bk>
    <bk>
      <rc t="2" v="4540"/>
    </bk>
    <bk>
      <rc t="2" v="4541"/>
    </bk>
    <bk>
      <rc t="2" v="4542"/>
    </bk>
    <bk>
      <rc t="2" v="4543"/>
    </bk>
    <bk>
      <rc t="2" v="4544"/>
    </bk>
    <bk>
      <rc t="2" v="4545"/>
    </bk>
    <bk>
      <rc t="2" v="4546"/>
    </bk>
    <bk>
      <rc t="2" v="4547"/>
    </bk>
    <bk>
      <rc t="2" v="4548"/>
    </bk>
    <bk>
      <rc t="2" v="4549"/>
    </bk>
    <bk>
      <rc t="2" v="4550"/>
    </bk>
    <bk>
      <rc t="2" v="4551"/>
    </bk>
    <bk>
      <rc t="2" v="4552"/>
    </bk>
    <bk>
      <rc t="2" v="4553"/>
    </bk>
    <bk>
      <rc t="2" v="4554"/>
    </bk>
    <bk>
      <rc t="2" v="4555"/>
    </bk>
    <bk>
      <rc t="2" v="4556"/>
    </bk>
    <bk>
      <rc t="2" v="4557"/>
    </bk>
    <bk>
      <rc t="2" v="4558"/>
    </bk>
    <bk>
      <rc t="2" v="4559"/>
    </bk>
    <bk>
      <rc t="2" v="4560"/>
    </bk>
    <bk>
      <rc t="2" v="4561"/>
    </bk>
    <bk>
      <rc t="2" v="4562"/>
    </bk>
    <bk>
      <rc t="2" v="4563"/>
    </bk>
    <bk>
      <rc t="2" v="4564"/>
    </bk>
    <bk>
      <rc t="2" v="4565"/>
    </bk>
    <bk>
      <rc t="2" v="4566"/>
    </bk>
    <bk>
      <rc t="2" v="4567"/>
    </bk>
    <bk>
      <rc t="2" v="4568"/>
    </bk>
    <bk>
      <rc t="2" v="4569"/>
    </bk>
    <bk>
      <rc t="2" v="4570"/>
    </bk>
    <bk>
      <rc t="2" v="4571"/>
    </bk>
    <bk>
      <rc t="2" v="4572"/>
    </bk>
    <bk>
      <rc t="2" v="4573"/>
    </bk>
    <bk>
      <rc t="2" v="4574"/>
    </bk>
    <bk>
      <rc t="2" v="4575"/>
    </bk>
    <bk>
      <rc t="2" v="4576"/>
    </bk>
    <bk>
      <rc t="2" v="4577"/>
    </bk>
    <bk>
      <rc t="2" v="4578"/>
    </bk>
    <bk>
      <rc t="2" v="4579"/>
    </bk>
    <bk>
      <rc t="2" v="4580"/>
    </bk>
    <bk>
      <rc t="2" v="4581"/>
    </bk>
    <bk>
      <rc t="2" v="4582"/>
    </bk>
    <bk>
      <rc t="2" v="4583"/>
    </bk>
    <bk>
      <rc t="2" v="4584"/>
    </bk>
    <bk>
      <rc t="2" v="4585"/>
    </bk>
    <bk>
      <rc t="2" v="4586"/>
    </bk>
    <bk>
      <rc t="2" v="4587"/>
    </bk>
    <bk>
      <rc t="2" v="4588"/>
    </bk>
    <bk>
      <rc t="2" v="4589"/>
    </bk>
    <bk>
      <rc t="2" v="4590"/>
    </bk>
    <bk>
      <rc t="2" v="4591"/>
    </bk>
    <bk>
      <rc t="2" v="4592"/>
    </bk>
    <bk>
      <rc t="2" v="4593"/>
    </bk>
    <bk>
      <rc t="2" v="4594"/>
    </bk>
    <bk>
      <rc t="2" v="4595"/>
    </bk>
    <bk>
      <rc t="2" v="4596"/>
    </bk>
    <bk>
      <rc t="2" v="4597"/>
    </bk>
    <bk>
      <rc t="2" v="4598"/>
    </bk>
    <bk>
      <rc t="2" v="4599"/>
    </bk>
    <bk>
      <rc t="2" v="4600"/>
    </bk>
    <bk>
      <rc t="2" v="4601"/>
    </bk>
    <bk>
      <rc t="2" v="4602"/>
    </bk>
    <bk>
      <rc t="2" v="4603"/>
    </bk>
    <bk>
      <rc t="2" v="4604"/>
    </bk>
    <bk>
      <rc t="2" v="4605"/>
    </bk>
    <bk>
      <rc t="2" v="4606"/>
    </bk>
    <bk>
      <rc t="2" v="4607"/>
    </bk>
    <bk>
      <rc t="2" v="4608"/>
    </bk>
    <bk>
      <rc t="2" v="4609"/>
    </bk>
    <bk>
      <rc t="2" v="4610"/>
    </bk>
    <bk>
      <rc t="2" v="4611"/>
    </bk>
    <bk>
      <rc t="2" v="4612"/>
    </bk>
    <bk>
      <rc t="2" v="4613"/>
    </bk>
    <bk>
      <rc t="2" v="4614"/>
    </bk>
    <bk>
      <rc t="2" v="4615"/>
    </bk>
    <bk>
      <rc t="2" v="4616"/>
    </bk>
    <bk>
      <rc t="2" v="4617"/>
    </bk>
    <bk>
      <rc t="2" v="4618"/>
    </bk>
    <bk>
      <rc t="2" v="4619"/>
    </bk>
    <bk>
      <rc t="2" v="4620"/>
    </bk>
    <bk>
      <rc t="2" v="4621"/>
    </bk>
    <bk>
      <rc t="2" v="4622"/>
    </bk>
    <bk>
      <rc t="2" v="4623"/>
    </bk>
    <bk>
      <rc t="2" v="4624"/>
    </bk>
    <bk>
      <rc t="2" v="4625"/>
    </bk>
    <bk>
      <rc t="2" v="4626"/>
    </bk>
    <bk>
      <rc t="2" v="4627"/>
    </bk>
    <bk>
      <rc t="2" v="4628"/>
    </bk>
    <bk>
      <rc t="2" v="4629"/>
    </bk>
    <bk>
      <rc t="2" v="4630"/>
    </bk>
    <bk>
      <rc t="2" v="4631"/>
    </bk>
    <bk>
      <rc t="2" v="4632"/>
    </bk>
    <bk>
      <rc t="2" v="4633"/>
    </bk>
    <bk>
      <rc t="2" v="4634"/>
    </bk>
    <bk>
      <rc t="2" v="4635"/>
    </bk>
    <bk>
      <rc t="2" v="4636"/>
    </bk>
    <bk>
      <rc t="2" v="4637"/>
    </bk>
    <bk>
      <rc t="2" v="4638"/>
    </bk>
    <bk>
      <rc t="2" v="4639"/>
    </bk>
    <bk>
      <rc t="2" v="4640"/>
    </bk>
    <bk>
      <rc t="2" v="4641"/>
    </bk>
    <bk>
      <rc t="2" v="4642"/>
    </bk>
    <bk>
      <rc t="2" v="4643"/>
    </bk>
    <bk>
      <rc t="2" v="4644"/>
    </bk>
    <bk>
      <rc t="2" v="4645"/>
    </bk>
    <bk>
      <rc t="2" v="4646"/>
    </bk>
    <bk>
      <rc t="2" v="4647"/>
    </bk>
    <bk>
      <rc t="2" v="4648"/>
    </bk>
    <bk>
      <rc t="2" v="4649"/>
    </bk>
    <bk>
      <rc t="2" v="4650"/>
    </bk>
    <bk>
      <rc t="2" v="4651"/>
    </bk>
    <bk>
      <rc t="2" v="4652"/>
    </bk>
    <bk>
      <rc t="2" v="4653"/>
    </bk>
    <bk>
      <rc t="2" v="4654"/>
    </bk>
    <bk>
      <rc t="2" v="4655"/>
    </bk>
    <bk>
      <rc t="2" v="4656"/>
    </bk>
    <bk>
      <rc t="2" v="4657"/>
    </bk>
    <bk>
      <rc t="2" v="4658"/>
    </bk>
    <bk>
      <rc t="2" v="4659"/>
    </bk>
    <bk>
      <rc t="2" v="4660"/>
    </bk>
    <bk>
      <rc t="2" v="4661"/>
    </bk>
    <bk>
      <rc t="2" v="4662"/>
    </bk>
    <bk>
      <rc t="2" v="4663"/>
    </bk>
    <bk>
      <rc t="2" v="4664"/>
    </bk>
    <bk>
      <rc t="2" v="4665"/>
    </bk>
    <bk>
      <rc t="2" v="4666"/>
    </bk>
    <bk>
      <rc t="2" v="4667"/>
    </bk>
    <bk>
      <rc t="2" v="4668"/>
    </bk>
    <bk>
      <rc t="2" v="4669"/>
    </bk>
    <bk>
      <rc t="2" v="4670"/>
    </bk>
    <bk>
      <rc t="2" v="4671"/>
    </bk>
    <bk>
      <rc t="2" v="4672"/>
    </bk>
    <bk>
      <rc t="2" v="4673"/>
    </bk>
    <bk>
      <rc t="2" v="4674"/>
    </bk>
    <bk>
      <rc t="2" v="4675"/>
    </bk>
    <bk>
      <rc t="2" v="4676"/>
    </bk>
    <bk>
      <rc t="2" v="4677"/>
    </bk>
    <bk>
      <rc t="2" v="4678"/>
    </bk>
    <bk>
      <rc t="2" v="4679"/>
    </bk>
    <bk>
      <rc t="2" v="4680"/>
    </bk>
    <bk>
      <rc t="2" v="4681"/>
    </bk>
    <bk>
      <rc t="2" v="4682"/>
    </bk>
    <bk>
      <rc t="2" v="4683"/>
    </bk>
    <bk>
      <rc t="2" v="4684"/>
    </bk>
    <bk>
      <rc t="2" v="4685"/>
    </bk>
    <bk>
      <rc t="2" v="4686"/>
    </bk>
    <bk>
      <rc t="2" v="4687"/>
    </bk>
    <bk>
      <rc t="2" v="4688"/>
    </bk>
    <bk>
      <rc t="2" v="4689"/>
    </bk>
    <bk>
      <rc t="2" v="4690"/>
    </bk>
    <bk>
      <rc t="2" v="4691"/>
    </bk>
    <bk>
      <rc t="2" v="4692"/>
    </bk>
    <bk>
      <rc t="2" v="4693"/>
    </bk>
    <bk>
      <rc t="2" v="4694"/>
    </bk>
    <bk>
      <rc t="2" v="4695"/>
    </bk>
    <bk>
      <rc t="2" v="4696"/>
    </bk>
    <bk>
      <rc t="2" v="4697"/>
    </bk>
    <bk>
      <rc t="2" v="4698"/>
    </bk>
    <bk>
      <rc t="2" v="4699"/>
    </bk>
    <bk>
      <rc t="2" v="4700"/>
    </bk>
    <bk>
      <rc t="2" v="4701"/>
    </bk>
    <bk>
      <rc t="2" v="4702"/>
    </bk>
    <bk>
      <rc t="2" v="4703"/>
    </bk>
    <bk>
      <rc t="2" v="4704"/>
    </bk>
    <bk>
      <rc t="2" v="4705"/>
    </bk>
    <bk>
      <rc t="2" v="4706"/>
    </bk>
    <bk>
      <rc t="2" v="4707"/>
    </bk>
    <bk>
      <rc t="2" v="4708"/>
    </bk>
    <bk>
      <rc t="2" v="4709"/>
    </bk>
    <bk>
      <rc t="2" v="4710"/>
    </bk>
    <bk>
      <rc t="2" v="4711"/>
    </bk>
    <bk>
      <rc t="2" v="4712"/>
    </bk>
    <bk>
      <rc t="2" v="4713"/>
    </bk>
    <bk>
      <rc t="2" v="4714"/>
    </bk>
    <bk>
      <rc t="2" v="4715"/>
    </bk>
    <bk>
      <rc t="2" v="4716"/>
    </bk>
    <bk>
      <rc t="2" v="4717"/>
    </bk>
    <bk>
      <rc t="2" v="4718"/>
    </bk>
    <bk>
      <rc t="2" v="4719"/>
    </bk>
    <bk>
      <rc t="2" v="4720"/>
    </bk>
    <bk>
      <rc t="2" v="4721"/>
    </bk>
    <bk>
      <rc t="2" v="4722"/>
    </bk>
    <bk>
      <rc t="2" v="4723"/>
    </bk>
    <bk>
      <rc t="2" v="4724"/>
    </bk>
    <bk>
      <rc t="2" v="4725"/>
    </bk>
    <bk>
      <rc t="2" v="4726"/>
    </bk>
    <bk>
      <rc t="2" v="4727"/>
    </bk>
    <bk>
      <rc t="2" v="4728"/>
    </bk>
    <bk>
      <rc t="2" v="4729"/>
    </bk>
    <bk>
      <rc t="2" v="4730"/>
    </bk>
    <bk>
      <rc t="2" v="4731"/>
    </bk>
    <bk>
      <rc t="2" v="4732"/>
    </bk>
    <bk>
      <rc t="2" v="4733"/>
    </bk>
    <bk>
      <rc t="2" v="4734"/>
    </bk>
    <bk>
      <rc t="2" v="4735"/>
    </bk>
    <bk>
      <rc t="2" v="4736"/>
    </bk>
    <bk>
      <rc t="2" v="4737"/>
    </bk>
    <bk>
      <rc t="2" v="4738"/>
    </bk>
    <bk>
      <rc t="2" v="4739"/>
    </bk>
    <bk>
      <rc t="2" v="4740"/>
    </bk>
    <bk>
      <rc t="2" v="4741"/>
    </bk>
    <bk>
      <rc t="2" v="4742"/>
    </bk>
    <bk>
      <rc t="2" v="4743"/>
    </bk>
    <bk>
      <rc t="2" v="4744"/>
    </bk>
    <bk>
      <rc t="2" v="4745"/>
    </bk>
    <bk>
      <rc t="2" v="4746"/>
    </bk>
    <bk>
      <rc t="2" v="4747"/>
    </bk>
    <bk>
      <rc t="2" v="4748"/>
    </bk>
    <bk>
      <rc t="2" v="4749"/>
    </bk>
    <bk>
      <rc t="2" v="4750"/>
    </bk>
    <bk>
      <rc t="2" v="4751"/>
    </bk>
    <bk>
      <rc t="2" v="4752"/>
    </bk>
    <bk>
      <rc t="2" v="4753"/>
    </bk>
    <bk>
      <rc t="2" v="4754"/>
    </bk>
    <bk>
      <rc t="2" v="4755"/>
    </bk>
    <bk>
      <rc t="2" v="4756"/>
    </bk>
    <bk>
      <rc t="2" v="4757"/>
    </bk>
    <bk>
      <rc t="2" v="4758"/>
    </bk>
    <bk>
      <rc t="2" v="4759"/>
    </bk>
    <bk>
      <rc t="2" v="4760"/>
    </bk>
    <bk>
      <rc t="2" v="4761"/>
    </bk>
    <bk>
      <rc t="2" v="4762"/>
    </bk>
    <bk>
      <rc t="2" v="4763"/>
    </bk>
    <bk>
      <rc t="2" v="4764"/>
    </bk>
    <bk>
      <rc t="2" v="4765"/>
    </bk>
    <bk>
      <rc t="2" v="4766"/>
    </bk>
    <bk>
      <rc t="2" v="4767"/>
    </bk>
    <bk>
      <rc t="2" v="4768"/>
    </bk>
    <bk>
      <rc t="2" v="4769"/>
    </bk>
    <bk>
      <rc t="2" v="4770"/>
    </bk>
    <bk>
      <rc t="2" v="4771"/>
    </bk>
    <bk>
      <rc t="2" v="4772"/>
    </bk>
    <bk>
      <rc t="2" v="4773"/>
    </bk>
    <bk>
      <rc t="2" v="4774"/>
    </bk>
    <bk>
      <rc t="2" v="4775"/>
    </bk>
    <bk>
      <rc t="2" v="4776"/>
    </bk>
    <bk>
      <rc t="2" v="4777"/>
    </bk>
    <bk>
      <rc t="2" v="4778"/>
    </bk>
    <bk>
      <rc t="2" v="4779"/>
    </bk>
    <bk>
      <rc t="2" v="4780"/>
    </bk>
    <bk>
      <rc t="2" v="4781"/>
    </bk>
    <bk>
      <rc t="2" v="4782"/>
    </bk>
    <bk>
      <rc t="2" v="4783"/>
    </bk>
    <bk>
      <rc t="2" v="4784"/>
    </bk>
    <bk>
      <rc t="2" v="4785"/>
    </bk>
    <bk>
      <rc t="2" v="4786"/>
    </bk>
    <bk>
      <rc t="2" v="4787"/>
    </bk>
    <bk>
      <rc t="2" v="4788"/>
    </bk>
    <bk>
      <rc t="2" v="4789"/>
    </bk>
    <bk>
      <rc t="2" v="4790"/>
    </bk>
    <bk>
      <rc t="2" v="4791"/>
    </bk>
    <bk>
      <rc t="2" v="4792"/>
    </bk>
    <bk>
      <rc t="2" v="4793"/>
    </bk>
    <bk>
      <rc t="2" v="4794"/>
    </bk>
    <bk>
      <rc t="2" v="4795"/>
    </bk>
    <bk>
      <rc t="2" v="4796"/>
    </bk>
    <bk>
      <rc t="2" v="4797"/>
    </bk>
    <bk>
      <rc t="2" v="4798"/>
    </bk>
    <bk>
      <rc t="2" v="4799"/>
    </bk>
    <bk>
      <rc t="2" v="4800"/>
    </bk>
    <bk>
      <rc t="2" v="4801"/>
    </bk>
    <bk>
      <rc t="2" v="4802"/>
    </bk>
    <bk>
      <rc t="2" v="4803"/>
    </bk>
    <bk>
      <rc t="2" v="4804"/>
    </bk>
    <bk>
      <rc t="2" v="4805"/>
    </bk>
    <bk>
      <rc t="2" v="4806"/>
    </bk>
    <bk>
      <rc t="2" v="4807"/>
    </bk>
    <bk>
      <rc t="2" v="4808"/>
    </bk>
    <bk>
      <rc t="2" v="4809"/>
    </bk>
    <bk>
      <rc t="2" v="4810"/>
    </bk>
    <bk>
      <rc t="2" v="4811"/>
    </bk>
    <bk>
      <rc t="2" v="4812"/>
    </bk>
    <bk>
      <rc t="2" v="4813"/>
    </bk>
    <bk>
      <rc t="2" v="4814"/>
    </bk>
    <bk>
      <rc t="2" v="4815"/>
    </bk>
    <bk>
      <rc t="2" v="4816"/>
    </bk>
    <bk>
      <rc t="2" v="4817"/>
    </bk>
    <bk>
      <rc t="2" v="4818"/>
    </bk>
    <bk>
      <rc t="2" v="4819"/>
    </bk>
    <bk>
      <rc t="2" v="4820"/>
    </bk>
    <bk>
      <rc t="2" v="4821"/>
    </bk>
    <bk>
      <rc t="2" v="4822"/>
    </bk>
    <bk>
      <rc t="2" v="4823"/>
    </bk>
    <bk>
      <rc t="2" v="4824"/>
    </bk>
    <bk>
      <rc t="2" v="4825"/>
    </bk>
    <bk>
      <rc t="2" v="4826"/>
    </bk>
    <bk>
      <rc t="2" v="4827"/>
    </bk>
    <bk>
      <rc t="2" v="4828"/>
    </bk>
    <bk>
      <rc t="2" v="4829"/>
    </bk>
    <bk>
      <rc t="2" v="4830"/>
    </bk>
    <bk>
      <rc t="2" v="4831"/>
    </bk>
    <bk>
      <rc t="2" v="4832"/>
    </bk>
    <bk>
      <rc t="2" v="4833"/>
    </bk>
    <bk>
      <rc t="2" v="4834"/>
    </bk>
    <bk>
      <rc t="2" v="4835"/>
    </bk>
    <bk>
      <rc t="2" v="4836"/>
    </bk>
    <bk>
      <rc t="2" v="4837"/>
    </bk>
    <bk>
      <rc t="2" v="4838"/>
    </bk>
    <bk>
      <rc t="2" v="4839"/>
    </bk>
    <bk>
      <rc t="2" v="4840"/>
    </bk>
    <bk>
      <rc t="2" v="4841"/>
    </bk>
    <bk>
      <rc t="2" v="4842"/>
    </bk>
    <bk>
      <rc t="2" v="4843"/>
    </bk>
    <bk>
      <rc t="2" v="4844"/>
    </bk>
    <bk>
      <rc t="2" v="4845"/>
    </bk>
    <bk>
      <rc t="2" v="4846"/>
    </bk>
    <bk>
      <rc t="2" v="4847"/>
    </bk>
    <bk>
      <rc t="2" v="4848"/>
    </bk>
    <bk>
      <rc t="2" v="4849"/>
    </bk>
    <bk>
      <rc t="2" v="4850"/>
    </bk>
    <bk>
      <rc t="2" v="4851"/>
    </bk>
    <bk>
      <rc t="2" v="4852"/>
    </bk>
    <bk>
      <rc t="2" v="4853"/>
    </bk>
    <bk>
      <rc t="2" v="4854"/>
    </bk>
    <bk>
      <rc t="2" v="4855"/>
    </bk>
    <bk>
      <rc t="2" v="4856"/>
    </bk>
    <bk>
      <rc t="2" v="4857"/>
    </bk>
    <bk>
      <rc t="2" v="4858"/>
    </bk>
    <bk>
      <rc t="2" v="4859"/>
    </bk>
    <bk>
      <rc t="2" v="4860"/>
    </bk>
    <bk>
      <rc t="2" v="4861"/>
    </bk>
    <bk>
      <rc t="2" v="4862"/>
    </bk>
    <bk>
      <rc t="2" v="4863"/>
    </bk>
    <bk>
      <rc t="2" v="4864"/>
    </bk>
    <bk>
      <rc t="2" v="4865"/>
    </bk>
    <bk>
      <rc t="2" v="4866"/>
    </bk>
    <bk>
      <rc t="2" v="4867"/>
    </bk>
    <bk>
      <rc t="2" v="4868"/>
    </bk>
    <bk>
      <rc t="2" v="4869"/>
    </bk>
    <bk>
      <rc t="2" v="4870"/>
    </bk>
    <bk>
      <rc t="2" v="4871"/>
    </bk>
    <bk>
      <rc t="2" v="4872"/>
    </bk>
    <bk>
      <rc t="2" v="4873"/>
    </bk>
    <bk>
      <rc t="2" v="4874"/>
    </bk>
    <bk>
      <rc t="2" v="4875"/>
    </bk>
    <bk>
      <rc t="2" v="4876"/>
    </bk>
    <bk>
      <rc t="2" v="4877"/>
    </bk>
    <bk>
      <rc t="2" v="4878"/>
    </bk>
    <bk>
      <rc t="2" v="4879"/>
    </bk>
    <bk>
      <rc t="2" v="4880"/>
    </bk>
    <bk>
      <rc t="2" v="4881"/>
    </bk>
    <bk>
      <rc t="2" v="4882"/>
    </bk>
    <bk>
      <rc t="2" v="4883"/>
    </bk>
    <bk>
      <rc t="2" v="4884"/>
    </bk>
    <bk>
      <rc t="2" v="4885"/>
    </bk>
    <bk>
      <rc t="2" v="4886"/>
    </bk>
    <bk>
      <rc t="2" v="4887"/>
    </bk>
    <bk>
      <rc t="2" v="4888"/>
    </bk>
    <bk>
      <rc t="2" v="4889"/>
    </bk>
    <bk>
      <rc t="2" v="4890"/>
    </bk>
    <bk>
      <rc t="2" v="4891"/>
    </bk>
    <bk>
      <rc t="2" v="4892"/>
    </bk>
    <bk>
      <rc t="2" v="4893"/>
    </bk>
    <bk>
      <rc t="2" v="4894"/>
    </bk>
    <bk>
      <rc t="2" v="4895"/>
    </bk>
    <bk>
      <rc t="2" v="4896"/>
    </bk>
    <bk>
      <rc t="2" v="4897"/>
    </bk>
    <bk>
      <rc t="2" v="4898"/>
    </bk>
    <bk>
      <rc t="2" v="4899"/>
    </bk>
    <bk>
      <rc t="2" v="4900"/>
    </bk>
    <bk>
      <rc t="2" v="4901"/>
    </bk>
    <bk>
      <rc t="2" v="4902"/>
    </bk>
    <bk>
      <rc t="2" v="4903"/>
    </bk>
    <bk>
      <rc t="2" v="4904"/>
    </bk>
    <bk>
      <rc t="2" v="4905"/>
    </bk>
    <bk>
      <rc t="2" v="4906"/>
    </bk>
    <bk>
      <rc t="2" v="4907"/>
    </bk>
    <bk>
      <rc t="2" v="4908"/>
    </bk>
    <bk>
      <rc t="2" v="4909"/>
    </bk>
    <bk>
      <rc t="2" v="4910"/>
    </bk>
    <bk>
      <rc t="2" v="4911"/>
    </bk>
    <bk>
      <rc t="2" v="4912"/>
    </bk>
    <bk>
      <rc t="2" v="4913"/>
    </bk>
    <bk>
      <rc t="2" v="4914"/>
    </bk>
    <bk>
      <rc t="2" v="4915"/>
    </bk>
    <bk>
      <rc t="2" v="4916"/>
    </bk>
    <bk>
      <rc t="2" v="4917"/>
    </bk>
    <bk>
      <rc t="2" v="4918"/>
    </bk>
    <bk>
      <rc t="2" v="4919"/>
    </bk>
    <bk>
      <rc t="2" v="4920"/>
    </bk>
    <bk>
      <rc t="2" v="4921"/>
    </bk>
    <bk>
      <rc t="2" v="4922"/>
    </bk>
    <bk>
      <rc t="2" v="4923"/>
    </bk>
    <bk>
      <rc t="2" v="4924"/>
    </bk>
    <bk>
      <rc t="2" v="4925"/>
    </bk>
    <bk>
      <rc t="2" v="4926"/>
    </bk>
    <bk>
      <rc t="2" v="4927"/>
    </bk>
    <bk>
      <rc t="2" v="4928"/>
    </bk>
    <bk>
      <rc t="2" v="4929"/>
    </bk>
    <bk>
      <rc t="2" v="4930"/>
    </bk>
    <bk>
      <rc t="2" v="4931"/>
    </bk>
    <bk>
      <rc t="2" v="4932"/>
    </bk>
    <bk>
      <rc t="2" v="4933"/>
    </bk>
    <bk>
      <rc t="2" v="4934"/>
    </bk>
    <bk>
      <rc t="2" v="4935"/>
    </bk>
    <bk>
      <rc t="2" v="4936"/>
    </bk>
    <bk>
      <rc t="2" v="4937"/>
    </bk>
    <bk>
      <rc t="2" v="4938"/>
    </bk>
    <bk>
      <rc t="2" v="4939"/>
    </bk>
    <bk>
      <rc t="2" v="4940"/>
    </bk>
    <bk>
      <rc t="2" v="4941"/>
    </bk>
    <bk>
      <rc t="2" v="4942"/>
    </bk>
    <bk>
      <rc t="2" v="4943"/>
    </bk>
    <bk>
      <rc t="2" v="4944"/>
    </bk>
    <bk>
      <rc t="2" v="4945"/>
    </bk>
    <bk>
      <rc t="2" v="4946"/>
    </bk>
    <bk>
      <rc t="2" v="4947"/>
    </bk>
    <bk>
      <rc t="2" v="4948"/>
    </bk>
    <bk>
      <rc t="2" v="4949"/>
    </bk>
    <bk>
      <rc t="2" v="4950"/>
    </bk>
    <bk>
      <rc t="2" v="4951"/>
    </bk>
    <bk>
      <rc t="2" v="4952"/>
    </bk>
    <bk>
      <rc t="2" v="4953"/>
    </bk>
    <bk>
      <rc t="2" v="4954"/>
    </bk>
    <bk>
      <rc t="2" v="4955"/>
    </bk>
    <bk>
      <rc t="2" v="4956"/>
    </bk>
    <bk>
      <rc t="2" v="4957"/>
    </bk>
    <bk>
      <rc t="2" v="4958"/>
    </bk>
    <bk>
      <rc t="2" v="4959"/>
    </bk>
    <bk>
      <rc t="2" v="4960"/>
    </bk>
    <bk>
      <rc t="2" v="4961"/>
    </bk>
    <bk>
      <rc t="2" v="4962"/>
    </bk>
    <bk>
      <rc t="2" v="4963"/>
    </bk>
    <bk>
      <rc t="2" v="4964"/>
    </bk>
    <bk>
      <rc t="2" v="4965"/>
    </bk>
    <bk>
      <rc t="2" v="4966"/>
    </bk>
    <bk>
      <rc t="2" v="4967"/>
    </bk>
    <bk>
      <rc t="2" v="4968"/>
    </bk>
    <bk>
      <rc t="2" v="4969"/>
    </bk>
    <bk>
      <rc t="2" v="4970"/>
    </bk>
    <bk>
      <rc t="2" v="4971"/>
    </bk>
    <bk>
      <rc t="2" v="4972"/>
    </bk>
    <bk>
      <rc t="2" v="4973"/>
    </bk>
    <bk>
      <rc t="2" v="4974"/>
    </bk>
    <bk>
      <rc t="2" v="4975"/>
    </bk>
    <bk>
      <rc t="2" v="4976"/>
    </bk>
    <bk>
      <rc t="2" v="4977"/>
    </bk>
    <bk>
      <rc t="2" v="4978"/>
    </bk>
    <bk>
      <rc t="2" v="4979"/>
    </bk>
    <bk>
      <rc t="2" v="4980"/>
    </bk>
    <bk>
      <rc t="2" v="4981"/>
    </bk>
    <bk>
      <rc t="2" v="4982"/>
    </bk>
    <bk>
      <rc t="2" v="4983"/>
    </bk>
    <bk>
      <rc t="2" v="4984"/>
    </bk>
    <bk>
      <rc t="2" v="4985"/>
    </bk>
    <bk>
      <rc t="2" v="4986"/>
    </bk>
    <bk>
      <rc t="2" v="4987"/>
    </bk>
    <bk>
      <rc t="2" v="4988"/>
    </bk>
    <bk>
      <rc t="2" v="4989"/>
    </bk>
    <bk>
      <rc t="2" v="4990"/>
    </bk>
    <bk>
      <rc t="2" v="4991"/>
    </bk>
    <bk>
      <rc t="2" v="4992"/>
    </bk>
    <bk>
      <rc t="2" v="4993"/>
    </bk>
    <bk>
      <rc t="2" v="4994"/>
    </bk>
    <bk>
      <rc t="2" v="4995"/>
    </bk>
    <bk>
      <rc t="2" v="4996"/>
    </bk>
    <bk>
      <rc t="2" v="4997"/>
    </bk>
    <bk>
      <rc t="2" v="4998"/>
    </bk>
    <bk>
      <rc t="2" v="4999"/>
    </bk>
    <bk>
      <rc t="2" v="5000"/>
    </bk>
    <bk>
      <rc t="2" v="5001"/>
    </bk>
    <bk>
      <rc t="2" v="5002"/>
    </bk>
    <bk>
      <rc t="2" v="5003"/>
    </bk>
    <bk>
      <rc t="2" v="5004"/>
    </bk>
    <bk>
      <rc t="2" v="5005"/>
    </bk>
    <bk>
      <rc t="2" v="5006"/>
    </bk>
    <bk>
      <rc t="2" v="5007"/>
    </bk>
    <bk>
      <rc t="2" v="5008"/>
    </bk>
    <bk>
      <rc t="2" v="5009"/>
    </bk>
    <bk>
      <rc t="2" v="5010"/>
    </bk>
    <bk>
      <rc t="2" v="5011"/>
    </bk>
    <bk>
      <rc t="2" v="5012"/>
    </bk>
    <bk>
      <rc t="2" v="5013"/>
    </bk>
    <bk>
      <rc t="2" v="5014"/>
    </bk>
    <bk>
      <rc t="2" v="5015"/>
    </bk>
    <bk>
      <rc t="2" v="5016"/>
    </bk>
    <bk>
      <rc t="2" v="5017"/>
    </bk>
    <bk>
      <rc t="2" v="5018"/>
    </bk>
    <bk>
      <rc t="2" v="5019"/>
    </bk>
    <bk>
      <rc t="2" v="5020"/>
    </bk>
    <bk>
      <rc t="2" v="5021"/>
    </bk>
    <bk>
      <rc t="2" v="5022"/>
    </bk>
    <bk>
      <rc t="2" v="5023"/>
    </bk>
    <bk>
      <rc t="2" v="5024"/>
    </bk>
    <bk>
      <rc t="2" v="5025"/>
    </bk>
    <bk>
      <rc t="2" v="5026"/>
    </bk>
    <bk>
      <rc t="2" v="5027"/>
    </bk>
    <bk>
      <rc t="2" v="5028"/>
    </bk>
    <bk>
      <rc t="2" v="5029"/>
    </bk>
    <bk>
      <rc t="2" v="5030"/>
    </bk>
    <bk>
      <rc t="2" v="5031"/>
    </bk>
    <bk>
      <rc t="2" v="5032"/>
    </bk>
    <bk>
      <rc t="2" v="5033"/>
    </bk>
    <bk>
      <rc t="2" v="5034"/>
    </bk>
    <bk>
      <rc t="2" v="5035"/>
    </bk>
    <bk>
      <rc t="2" v="5036"/>
    </bk>
    <bk>
      <rc t="2" v="5037"/>
    </bk>
    <bk>
      <rc t="2" v="5038"/>
    </bk>
    <bk>
      <rc t="2" v="5039"/>
    </bk>
    <bk>
      <rc t="2" v="5040"/>
    </bk>
    <bk>
      <rc t="2" v="5041"/>
    </bk>
    <bk>
      <rc t="2" v="5042"/>
    </bk>
    <bk>
      <rc t="2" v="5043"/>
    </bk>
    <bk>
      <rc t="2" v="5044"/>
    </bk>
    <bk>
      <rc t="2" v="5045"/>
    </bk>
    <bk>
      <rc t="2" v="5046"/>
    </bk>
    <bk>
      <rc t="2" v="5047"/>
    </bk>
    <bk>
      <rc t="2" v="5048"/>
    </bk>
    <bk>
      <rc t="2" v="5049"/>
    </bk>
    <bk>
      <rc t="2" v="5050"/>
    </bk>
    <bk>
      <rc t="2" v="5051"/>
    </bk>
    <bk>
      <rc t="2" v="5052"/>
    </bk>
    <bk>
      <rc t="2" v="5053"/>
    </bk>
    <bk>
      <rc t="2" v="5054"/>
    </bk>
    <bk>
      <rc t="2" v="5055"/>
    </bk>
    <bk>
      <rc t="2" v="5056"/>
    </bk>
    <bk>
      <rc t="2" v="5057"/>
    </bk>
    <bk>
      <rc t="2" v="5058"/>
    </bk>
    <bk>
      <rc t="2" v="5059"/>
    </bk>
    <bk>
      <rc t="2" v="5060"/>
    </bk>
    <bk>
      <rc t="2" v="5061"/>
    </bk>
    <bk>
      <rc t="2" v="5062"/>
    </bk>
    <bk>
      <rc t="2" v="5063"/>
    </bk>
    <bk>
      <rc t="2" v="5064"/>
    </bk>
    <bk>
      <rc t="2" v="5065"/>
    </bk>
    <bk>
      <rc t="2" v="5066"/>
    </bk>
    <bk>
      <rc t="2" v="5067"/>
    </bk>
    <bk>
      <rc t="2" v="5068"/>
    </bk>
    <bk>
      <rc t="2" v="5069"/>
    </bk>
    <bk>
      <rc t="2" v="5070"/>
    </bk>
    <bk>
      <rc t="2" v="5071"/>
    </bk>
    <bk>
      <rc t="2" v="5072"/>
    </bk>
    <bk>
      <rc t="2" v="5073"/>
    </bk>
    <bk>
      <rc t="2" v="5074"/>
    </bk>
    <bk>
      <rc t="2" v="5075"/>
    </bk>
    <bk>
      <rc t="2" v="5076"/>
    </bk>
    <bk>
      <rc t="2" v="5077"/>
    </bk>
    <bk>
      <rc t="2" v="5078"/>
    </bk>
    <bk>
      <rc t="2" v="5079"/>
    </bk>
    <bk>
      <rc t="2" v="5080"/>
    </bk>
    <bk>
      <rc t="2" v="5081"/>
    </bk>
    <bk>
      <rc t="2" v="5082"/>
    </bk>
    <bk>
      <rc t="2" v="5083"/>
    </bk>
    <bk>
      <rc t="2" v="5084"/>
    </bk>
    <bk>
      <rc t="2" v="5085"/>
    </bk>
    <bk>
      <rc t="2" v="5086"/>
    </bk>
    <bk>
      <rc t="2" v="5087"/>
    </bk>
    <bk>
      <rc t="2" v="5088"/>
    </bk>
    <bk>
      <rc t="2" v="5089"/>
    </bk>
    <bk>
      <rc t="2" v="5090"/>
    </bk>
    <bk>
      <rc t="2" v="5091"/>
    </bk>
    <bk>
      <rc t="2" v="5092"/>
    </bk>
    <bk>
      <rc t="2" v="5093"/>
    </bk>
    <bk>
      <rc t="2" v="5094"/>
    </bk>
    <bk>
      <rc t="2" v="5095"/>
    </bk>
    <bk>
      <rc t="2" v="5096"/>
    </bk>
    <bk>
      <rc t="2" v="5097"/>
    </bk>
    <bk>
      <rc t="2" v="5098"/>
    </bk>
    <bk>
      <rc t="2" v="5099"/>
    </bk>
    <bk>
      <rc t="2" v="5100"/>
    </bk>
    <bk>
      <rc t="2" v="5101"/>
    </bk>
    <bk>
      <rc t="2" v="5102"/>
    </bk>
    <bk>
      <rc t="2" v="5103"/>
    </bk>
    <bk>
      <rc t="2" v="5104"/>
    </bk>
    <bk>
      <rc t="2" v="5105"/>
    </bk>
    <bk>
      <rc t="2" v="5106"/>
    </bk>
    <bk>
      <rc t="2" v="5107"/>
    </bk>
    <bk>
      <rc t="2" v="5108"/>
    </bk>
    <bk>
      <rc t="2" v="5109"/>
    </bk>
    <bk>
      <rc t="2" v="5110"/>
    </bk>
    <bk>
      <rc t="2" v="5111"/>
    </bk>
    <bk>
      <rc t="2" v="5112"/>
    </bk>
    <bk>
      <rc t="2" v="5113"/>
    </bk>
    <bk>
      <rc t="2" v="5114"/>
    </bk>
    <bk>
      <rc t="2" v="5115"/>
    </bk>
    <bk>
      <rc t="2" v="5116"/>
    </bk>
    <bk>
      <rc t="2" v="5117"/>
    </bk>
    <bk>
      <rc t="2" v="5118"/>
    </bk>
    <bk>
      <rc t="2" v="5119"/>
    </bk>
    <bk>
      <rc t="2" v="5120"/>
    </bk>
    <bk>
      <rc t="2" v="5121"/>
    </bk>
    <bk>
      <rc t="2" v="5122"/>
    </bk>
    <bk>
      <rc t="2" v="5123"/>
    </bk>
    <bk>
      <rc t="2" v="5124"/>
    </bk>
    <bk>
      <rc t="2" v="5125"/>
    </bk>
    <bk>
      <rc t="2" v="5126"/>
    </bk>
    <bk>
      <rc t="2" v="5127"/>
    </bk>
    <bk>
      <rc t="2" v="5128"/>
    </bk>
    <bk>
      <rc t="2" v="5129"/>
    </bk>
    <bk>
      <rc t="2" v="5130"/>
    </bk>
    <bk>
      <rc t="2" v="5131"/>
    </bk>
    <bk>
      <rc t="2" v="5132"/>
    </bk>
    <bk>
      <rc t="2" v="5133"/>
    </bk>
    <bk>
      <rc t="2" v="5134"/>
    </bk>
    <bk>
      <rc t="2" v="5135"/>
    </bk>
    <bk>
      <rc t="2" v="5136"/>
    </bk>
    <bk>
      <rc t="2" v="5137"/>
    </bk>
    <bk>
      <rc t="2" v="5138"/>
    </bk>
    <bk>
      <rc t="2" v="5139"/>
    </bk>
    <bk>
      <rc t="2" v="5140"/>
    </bk>
    <bk>
      <rc t="2" v="5141"/>
    </bk>
    <bk>
      <rc t="2" v="5142"/>
    </bk>
    <bk>
      <rc t="2" v="5143"/>
    </bk>
    <bk>
      <rc t="2" v="5144"/>
    </bk>
    <bk>
      <rc t="2" v="5145"/>
    </bk>
    <bk>
      <rc t="2" v="5146"/>
    </bk>
    <bk>
      <rc t="2" v="5147"/>
    </bk>
    <bk>
      <rc t="2" v="5148"/>
    </bk>
    <bk>
      <rc t="2" v="5149"/>
    </bk>
    <bk>
      <rc t="2" v="5150"/>
    </bk>
    <bk>
      <rc t="2" v="5151"/>
    </bk>
    <bk>
      <rc t="2" v="5152"/>
    </bk>
    <bk>
      <rc t="2" v="5153"/>
    </bk>
    <bk>
      <rc t="2" v="5154"/>
    </bk>
    <bk>
      <rc t="2" v="5155"/>
    </bk>
    <bk>
      <rc t="2" v="5156"/>
    </bk>
    <bk>
      <rc t="2" v="5157"/>
    </bk>
    <bk>
      <rc t="2" v="5158"/>
    </bk>
    <bk>
      <rc t="2" v="5159"/>
    </bk>
    <bk>
      <rc t="2" v="5160"/>
    </bk>
    <bk>
      <rc t="2" v="5161"/>
    </bk>
    <bk>
      <rc t="2" v="5162"/>
    </bk>
    <bk>
      <rc t="2" v="5163"/>
    </bk>
    <bk>
      <rc t="2" v="5164"/>
    </bk>
    <bk>
      <rc t="2" v="5165"/>
    </bk>
    <bk>
      <rc t="2" v="5166"/>
    </bk>
    <bk>
      <rc t="2" v="5167"/>
    </bk>
    <bk>
      <rc t="2" v="5168"/>
    </bk>
    <bk>
      <rc t="2" v="5169"/>
    </bk>
    <bk>
      <rc t="2" v="5170"/>
    </bk>
    <bk>
      <rc t="2" v="5171"/>
    </bk>
    <bk>
      <rc t="2" v="5172"/>
    </bk>
    <bk>
      <rc t="2" v="5173"/>
    </bk>
    <bk>
      <rc t="2" v="5174"/>
    </bk>
    <bk>
      <rc t="2" v="5175"/>
    </bk>
    <bk>
      <rc t="2" v="5176"/>
    </bk>
    <bk>
      <rc t="2" v="5177"/>
    </bk>
    <bk>
      <rc t="2" v="5178"/>
    </bk>
    <bk>
      <rc t="2" v="5179"/>
    </bk>
    <bk>
      <rc t="2" v="5180"/>
    </bk>
    <bk>
      <rc t="2" v="5181"/>
    </bk>
    <bk>
      <rc t="2" v="5182"/>
    </bk>
    <bk>
      <rc t="2" v="5183"/>
    </bk>
    <bk>
      <rc t="2" v="5184"/>
    </bk>
    <bk>
      <rc t="2" v="5185"/>
    </bk>
    <bk>
      <rc t="2" v="5186"/>
    </bk>
    <bk>
      <rc t="2" v="5187"/>
    </bk>
    <bk>
      <rc t="2" v="5188"/>
    </bk>
    <bk>
      <rc t="2" v="5189"/>
    </bk>
    <bk>
      <rc t="2" v="5190"/>
    </bk>
    <bk>
      <rc t="2" v="5191"/>
    </bk>
    <bk>
      <rc t="2" v="5192"/>
    </bk>
    <bk>
      <rc t="2" v="5193"/>
    </bk>
    <bk>
      <rc t="2" v="5194"/>
    </bk>
    <bk>
      <rc t="2" v="5195"/>
    </bk>
    <bk>
      <rc t="2" v="5196"/>
    </bk>
    <bk>
      <rc t="2" v="5197"/>
    </bk>
    <bk>
      <rc t="2" v="5198"/>
    </bk>
    <bk>
      <rc t="2" v="5199"/>
    </bk>
    <bk>
      <rc t="2" v="5200"/>
    </bk>
    <bk>
      <rc t="2" v="5201"/>
    </bk>
    <bk>
      <rc t="2" v="5202"/>
    </bk>
    <bk>
      <rc t="2" v="5203"/>
    </bk>
    <bk>
      <rc t="2" v="5204"/>
    </bk>
    <bk>
      <rc t="2" v="5205"/>
    </bk>
    <bk>
      <rc t="2" v="5206"/>
    </bk>
    <bk>
      <rc t="2" v="5207"/>
    </bk>
    <bk>
      <rc t="2" v="5208"/>
    </bk>
    <bk>
      <rc t="2" v="5209"/>
    </bk>
    <bk>
      <rc t="2" v="5210"/>
    </bk>
    <bk>
      <rc t="2" v="5211"/>
    </bk>
    <bk>
      <rc t="2" v="5212"/>
    </bk>
    <bk>
      <rc t="2" v="5213"/>
    </bk>
    <bk>
      <rc t="2" v="5214"/>
    </bk>
    <bk>
      <rc t="2" v="5215"/>
    </bk>
    <bk>
      <rc t="2" v="5216"/>
    </bk>
    <bk>
      <rc t="2" v="5217"/>
    </bk>
    <bk>
      <rc t="2" v="5218"/>
    </bk>
    <bk>
      <rc t="2" v="5219"/>
    </bk>
    <bk>
      <rc t="2" v="5220"/>
    </bk>
    <bk>
      <rc t="2" v="5221"/>
    </bk>
    <bk>
      <rc t="2" v="5222"/>
    </bk>
    <bk>
      <rc t="2" v="5223"/>
    </bk>
    <bk>
      <rc t="2" v="5224"/>
    </bk>
    <bk>
      <rc t="2" v="5225"/>
    </bk>
    <bk>
      <rc t="2" v="5226"/>
    </bk>
    <bk>
      <rc t="2" v="5227"/>
    </bk>
    <bk>
      <rc t="2" v="5228"/>
    </bk>
    <bk>
      <rc t="2" v="5229"/>
    </bk>
    <bk>
      <rc t="2" v="5230"/>
    </bk>
    <bk>
      <rc t="2" v="5231"/>
    </bk>
    <bk>
      <rc t="2" v="5232"/>
    </bk>
    <bk>
      <rc t="2" v="5233"/>
    </bk>
    <bk>
      <rc t="2" v="5234"/>
    </bk>
    <bk>
      <rc t="2" v="5235"/>
    </bk>
    <bk>
      <rc t="2" v="5236"/>
    </bk>
    <bk>
      <rc t="2" v="5237"/>
    </bk>
    <bk>
      <rc t="2" v="5238"/>
    </bk>
    <bk>
      <rc t="2" v="5239"/>
    </bk>
    <bk>
      <rc t="2" v="5240"/>
    </bk>
    <bk>
      <rc t="2" v="5241"/>
    </bk>
    <bk>
      <rc t="2" v="5242"/>
    </bk>
    <bk>
      <rc t="2" v="5243"/>
    </bk>
    <bk>
      <rc t="2" v="5244"/>
    </bk>
    <bk>
      <rc t="2" v="5245"/>
    </bk>
    <bk>
      <rc t="2" v="5246"/>
    </bk>
    <bk>
      <rc t="2" v="5247"/>
    </bk>
    <bk>
      <rc t="2" v="5248"/>
    </bk>
    <bk>
      <rc t="2" v="5249"/>
    </bk>
    <bk>
      <rc t="2" v="5250"/>
    </bk>
    <bk>
      <rc t="2" v="5251"/>
    </bk>
    <bk>
      <rc t="2" v="5252"/>
    </bk>
    <bk>
      <rc t="2" v="5253"/>
    </bk>
    <bk>
      <rc t="2" v="5254"/>
    </bk>
    <bk>
      <rc t="2" v="5255"/>
    </bk>
    <bk>
      <rc t="2" v="5256"/>
    </bk>
    <bk>
      <rc t="2" v="5257"/>
    </bk>
    <bk>
      <rc t="2" v="5258"/>
    </bk>
    <bk>
      <rc t="2" v="5259"/>
    </bk>
    <bk>
      <rc t="2" v="5260"/>
    </bk>
    <bk>
      <rc t="2" v="5261"/>
    </bk>
    <bk>
      <rc t="2" v="5262"/>
    </bk>
    <bk>
      <rc t="2" v="5263"/>
    </bk>
    <bk>
      <rc t="2" v="5264"/>
    </bk>
    <bk>
      <rc t="2" v="5265"/>
    </bk>
    <bk>
      <rc t="2" v="5266"/>
    </bk>
    <bk>
      <rc t="2" v="5267"/>
    </bk>
    <bk>
      <rc t="2" v="5268"/>
    </bk>
    <bk>
      <rc t="2" v="5269"/>
    </bk>
    <bk>
      <rc t="2" v="5270"/>
    </bk>
    <bk>
      <rc t="2" v="5271"/>
    </bk>
    <bk>
      <rc t="2" v="5272"/>
    </bk>
    <bk>
      <rc t="2" v="5273"/>
    </bk>
    <bk>
      <rc t="2" v="5274"/>
    </bk>
    <bk>
      <rc t="2" v="5275"/>
    </bk>
    <bk>
      <rc t="2" v="5276"/>
    </bk>
    <bk>
      <rc t="2" v="5277"/>
    </bk>
    <bk>
      <rc t="2" v="5278"/>
    </bk>
    <bk>
      <rc t="2" v="5279"/>
    </bk>
    <bk>
      <rc t="2" v="5280"/>
    </bk>
    <bk>
      <rc t="2" v="5281"/>
    </bk>
    <bk>
      <rc t="2" v="5282"/>
    </bk>
    <bk>
      <rc t="2" v="5283"/>
    </bk>
    <bk>
      <rc t="2" v="5284"/>
    </bk>
    <bk>
      <rc t="2" v="5285"/>
    </bk>
    <bk>
      <rc t="2" v="5286"/>
    </bk>
    <bk>
      <rc t="2" v="5287"/>
    </bk>
    <bk>
      <rc t="2" v="5288"/>
    </bk>
    <bk>
      <rc t="2" v="5289"/>
    </bk>
    <bk>
      <rc t="2" v="5290"/>
    </bk>
    <bk>
      <rc t="2" v="5291"/>
    </bk>
    <bk>
      <rc t="2" v="5292"/>
    </bk>
    <bk>
      <rc t="2" v="5293"/>
    </bk>
    <bk>
      <rc t="2" v="5294"/>
    </bk>
    <bk>
      <rc t="2" v="5295"/>
    </bk>
    <bk>
      <rc t="2" v="5296"/>
    </bk>
    <bk>
      <rc t="2" v="5297"/>
    </bk>
    <bk>
      <rc t="2" v="5298"/>
    </bk>
    <bk>
      <rc t="2" v="5299"/>
    </bk>
    <bk>
      <rc t="2" v="5300"/>
    </bk>
    <bk>
      <rc t="2" v="5301"/>
    </bk>
    <bk>
      <rc t="2" v="5302"/>
    </bk>
    <bk>
      <rc t="2" v="5303"/>
    </bk>
    <bk>
      <rc t="2" v="5304"/>
    </bk>
    <bk>
      <rc t="2" v="5305"/>
    </bk>
    <bk>
      <rc t="2" v="5306"/>
    </bk>
    <bk>
      <rc t="2" v="5307"/>
    </bk>
    <bk>
      <rc t="2" v="5308"/>
    </bk>
    <bk>
      <rc t="2" v="5309"/>
    </bk>
    <bk>
      <rc t="2" v="5310"/>
    </bk>
    <bk>
      <rc t="2" v="5311"/>
    </bk>
    <bk>
      <rc t="2" v="5312"/>
    </bk>
    <bk>
      <rc t="2" v="5313"/>
    </bk>
    <bk>
      <rc t="2" v="5314"/>
    </bk>
    <bk>
      <rc t="2" v="5315"/>
    </bk>
    <bk>
      <rc t="2" v="5316"/>
    </bk>
    <bk>
      <rc t="2" v="5317"/>
    </bk>
    <bk>
      <rc t="2" v="5318"/>
    </bk>
    <bk>
      <rc t="2" v="5319"/>
    </bk>
    <bk>
      <rc t="2" v="5320"/>
    </bk>
    <bk>
      <rc t="2" v="5321"/>
    </bk>
    <bk>
      <rc t="2" v="5322"/>
    </bk>
    <bk>
      <rc t="2" v="5323"/>
    </bk>
    <bk>
      <rc t="2" v="5324"/>
    </bk>
    <bk>
      <rc t="2" v="5325"/>
    </bk>
    <bk>
      <rc t="2" v="5326"/>
    </bk>
    <bk>
      <rc t="2" v="5327"/>
    </bk>
    <bk>
      <rc t="2" v="5328"/>
    </bk>
    <bk>
      <rc t="2" v="5329"/>
    </bk>
    <bk>
      <rc t="2" v="5330"/>
    </bk>
    <bk>
      <rc t="2" v="5331"/>
    </bk>
    <bk>
      <rc t="2" v="5332"/>
    </bk>
    <bk>
      <rc t="2" v="5333"/>
    </bk>
    <bk>
      <rc t="2" v="5334"/>
    </bk>
    <bk>
      <rc t="2" v="5335"/>
    </bk>
    <bk>
      <rc t="2" v="5336"/>
    </bk>
    <bk>
      <rc t="2" v="5337"/>
    </bk>
    <bk>
      <rc t="2" v="5338"/>
    </bk>
    <bk>
      <rc t="2" v="5339"/>
    </bk>
    <bk>
      <rc t="2" v="5340"/>
    </bk>
    <bk>
      <rc t="2" v="5341"/>
    </bk>
    <bk>
      <rc t="2" v="5342"/>
    </bk>
    <bk>
      <rc t="2" v="5343"/>
    </bk>
    <bk>
      <rc t="2" v="5344"/>
    </bk>
    <bk>
      <rc t="2" v="5345"/>
    </bk>
    <bk>
      <rc t="2" v="5346"/>
    </bk>
    <bk>
      <rc t="2" v="5347"/>
    </bk>
    <bk>
      <rc t="2" v="5348"/>
    </bk>
    <bk>
      <rc t="2" v="5349"/>
    </bk>
    <bk>
      <rc t="2" v="5350"/>
    </bk>
    <bk>
      <rc t="2" v="5351"/>
    </bk>
    <bk>
      <rc t="2" v="5352"/>
    </bk>
    <bk>
      <rc t="2" v="5353"/>
    </bk>
    <bk>
      <rc t="2" v="5354"/>
    </bk>
    <bk>
      <rc t="2" v="5355"/>
    </bk>
    <bk>
      <rc t="2" v="5356"/>
    </bk>
    <bk>
      <rc t="2" v="5357"/>
    </bk>
    <bk>
      <rc t="2" v="5358"/>
    </bk>
    <bk>
      <rc t="2" v="5359"/>
    </bk>
    <bk>
      <rc t="2" v="5360"/>
    </bk>
    <bk>
      <rc t="2" v="5361"/>
    </bk>
    <bk>
      <rc t="2" v="5362"/>
    </bk>
    <bk>
      <rc t="2" v="5363"/>
    </bk>
    <bk>
      <rc t="2" v="5364"/>
    </bk>
    <bk>
      <rc t="2" v="5365"/>
    </bk>
    <bk>
      <rc t="2" v="5366"/>
    </bk>
    <bk>
      <rc t="2" v="5367"/>
    </bk>
    <bk>
      <rc t="2" v="5368"/>
    </bk>
    <bk>
      <rc t="2" v="5369"/>
    </bk>
    <bk>
      <rc t="2" v="5370"/>
    </bk>
    <bk>
      <rc t="2" v="5371"/>
    </bk>
    <bk>
      <rc t="2" v="5372"/>
    </bk>
    <bk>
      <rc t="2" v="5373"/>
    </bk>
    <bk>
      <rc t="2" v="5374"/>
    </bk>
    <bk>
      <rc t="2" v="5375"/>
    </bk>
    <bk>
      <rc t="2" v="5376"/>
    </bk>
    <bk>
      <rc t="2" v="5377"/>
    </bk>
    <bk>
      <rc t="2" v="5378"/>
    </bk>
    <bk>
      <rc t="2" v="5379"/>
    </bk>
    <bk>
      <rc t="2" v="5380"/>
    </bk>
    <bk>
      <rc t="2" v="5381"/>
    </bk>
    <bk>
      <rc t="2" v="5382"/>
    </bk>
    <bk>
      <rc t="2" v="5383"/>
    </bk>
    <bk>
      <rc t="2" v="5384"/>
    </bk>
    <bk>
      <rc t="2" v="5385"/>
    </bk>
    <bk>
      <rc t="2" v="5386"/>
    </bk>
    <bk>
      <rc t="2" v="5387"/>
    </bk>
    <bk>
      <rc t="2" v="5388"/>
    </bk>
    <bk>
      <rc t="2" v="5389"/>
    </bk>
    <bk>
      <rc t="2" v="5390"/>
    </bk>
    <bk>
      <rc t="2" v="5391"/>
    </bk>
    <bk>
      <rc t="2" v="5392"/>
    </bk>
    <bk>
      <rc t="2" v="5393"/>
    </bk>
    <bk>
      <rc t="2" v="5394"/>
    </bk>
    <bk>
      <rc t="2" v="5395"/>
    </bk>
    <bk>
      <rc t="2" v="5396"/>
    </bk>
    <bk>
      <rc t="2" v="5397"/>
    </bk>
    <bk>
      <rc t="2" v="5398"/>
    </bk>
    <bk>
      <rc t="2" v="5399"/>
    </bk>
    <bk>
      <rc t="2" v="5400"/>
    </bk>
    <bk>
      <rc t="2" v="5401"/>
    </bk>
    <bk>
      <rc t="2" v="5402"/>
    </bk>
    <bk>
      <rc t="2" v="5403"/>
    </bk>
    <bk>
      <rc t="2" v="5404"/>
    </bk>
    <bk>
      <rc t="2" v="5405"/>
    </bk>
    <bk>
      <rc t="2" v="5406"/>
    </bk>
    <bk>
      <rc t="2" v="5407"/>
    </bk>
    <bk>
      <rc t="2" v="5408"/>
    </bk>
    <bk>
      <rc t="2" v="5409"/>
    </bk>
    <bk>
      <rc t="2" v="5410"/>
    </bk>
    <bk>
      <rc t="2" v="5411"/>
    </bk>
    <bk>
      <rc t="2" v="5412"/>
    </bk>
    <bk>
      <rc t="2" v="5413"/>
    </bk>
    <bk>
      <rc t="2" v="5414"/>
    </bk>
    <bk>
      <rc t="2" v="5415"/>
    </bk>
    <bk>
      <rc t="2" v="5416"/>
    </bk>
    <bk>
      <rc t="2" v="5417"/>
    </bk>
    <bk>
      <rc t="2" v="5418"/>
    </bk>
    <bk>
      <rc t="2" v="5419"/>
    </bk>
    <bk>
      <rc t="2" v="5420"/>
    </bk>
    <bk>
      <rc t="2" v="5421"/>
    </bk>
    <bk>
      <rc t="2" v="5422"/>
    </bk>
    <bk>
      <rc t="2" v="5423"/>
    </bk>
    <bk>
      <rc t="2" v="5424"/>
    </bk>
    <bk>
      <rc t="2" v="5425"/>
    </bk>
    <bk>
      <rc t="2" v="5426"/>
    </bk>
    <bk>
      <rc t="2" v="5427"/>
    </bk>
    <bk>
      <rc t="2" v="5428"/>
    </bk>
    <bk>
      <rc t="2" v="5429"/>
    </bk>
    <bk>
      <rc t="2" v="5430"/>
    </bk>
    <bk>
      <rc t="2" v="5431"/>
    </bk>
    <bk>
      <rc t="2" v="5432"/>
    </bk>
    <bk>
      <rc t="2" v="5433"/>
    </bk>
    <bk>
      <rc t="2" v="5434"/>
    </bk>
    <bk>
      <rc t="2" v="5435"/>
    </bk>
    <bk>
      <rc t="2" v="5436"/>
    </bk>
    <bk>
      <rc t="2" v="5437"/>
    </bk>
    <bk>
      <rc t="2" v="5438"/>
    </bk>
    <bk>
      <rc t="2" v="5439"/>
    </bk>
    <bk>
      <rc t="2" v="5440"/>
    </bk>
    <bk>
      <rc t="2" v="5441"/>
    </bk>
    <bk>
      <rc t="2" v="5442"/>
    </bk>
    <bk>
      <rc t="2" v="5443"/>
    </bk>
    <bk>
      <rc t="2" v="5444"/>
    </bk>
    <bk>
      <rc t="2" v="5445"/>
    </bk>
    <bk>
      <rc t="2" v="5446"/>
    </bk>
    <bk>
      <rc t="2" v="5447"/>
    </bk>
    <bk>
      <rc t="2" v="5448"/>
    </bk>
    <bk>
      <rc t="2" v="5449"/>
    </bk>
    <bk>
      <rc t="2" v="5450"/>
    </bk>
    <bk>
      <rc t="2" v="5451"/>
    </bk>
    <bk>
      <rc t="2" v="5452"/>
    </bk>
    <bk>
      <rc t="2" v="5453"/>
    </bk>
    <bk>
      <rc t="2" v="5454"/>
    </bk>
    <bk>
      <rc t="2" v="5455"/>
    </bk>
    <bk>
      <rc t="2" v="5456"/>
    </bk>
    <bk>
      <rc t="2" v="5457"/>
    </bk>
    <bk>
      <rc t="2" v="5458"/>
    </bk>
    <bk>
      <rc t="2" v="5459"/>
    </bk>
    <bk>
      <rc t="2" v="5460"/>
    </bk>
    <bk>
      <rc t="2" v="5461"/>
    </bk>
    <bk>
      <rc t="2" v="5462"/>
    </bk>
    <bk>
      <rc t="2" v="5463"/>
    </bk>
    <bk>
      <rc t="2" v="5464"/>
    </bk>
    <bk>
      <rc t="2" v="5465"/>
    </bk>
    <bk>
      <rc t="2" v="5466"/>
    </bk>
    <bk>
      <rc t="2" v="5467"/>
    </bk>
    <bk>
      <rc t="2" v="5468"/>
    </bk>
    <bk>
      <rc t="2" v="5469"/>
    </bk>
    <bk>
      <rc t="2" v="5470"/>
    </bk>
    <bk>
      <rc t="2" v="5471"/>
    </bk>
    <bk>
      <rc t="2" v="5472"/>
    </bk>
    <bk>
      <rc t="2" v="5473"/>
    </bk>
    <bk>
      <rc t="2" v="5474"/>
    </bk>
    <bk>
      <rc t="2" v="5475"/>
    </bk>
    <bk>
      <rc t="2" v="5476"/>
    </bk>
    <bk>
      <rc t="2" v="5477"/>
    </bk>
    <bk>
      <rc t="2" v="5478"/>
    </bk>
    <bk>
      <rc t="2" v="5479"/>
    </bk>
    <bk>
      <rc t="2" v="5480"/>
    </bk>
    <bk>
      <rc t="2" v="5481"/>
    </bk>
    <bk>
      <rc t="2" v="5482"/>
    </bk>
    <bk>
      <rc t="2" v="5483"/>
    </bk>
    <bk>
      <rc t="2" v="5484"/>
    </bk>
    <bk>
      <rc t="2" v="5485"/>
    </bk>
    <bk>
      <rc t="2" v="5486"/>
    </bk>
    <bk>
      <rc t="2" v="5487"/>
    </bk>
    <bk>
      <rc t="2" v="5488"/>
    </bk>
    <bk>
      <rc t="2" v="5489"/>
    </bk>
    <bk>
      <rc t="2" v="5490"/>
    </bk>
    <bk>
      <rc t="2" v="5491"/>
    </bk>
    <bk>
      <rc t="2" v="5492"/>
    </bk>
    <bk>
      <rc t="2" v="5493"/>
    </bk>
    <bk>
      <rc t="2" v="5494"/>
    </bk>
    <bk>
      <rc t="2" v="5495"/>
    </bk>
    <bk>
      <rc t="2" v="5496"/>
    </bk>
    <bk>
      <rc t="2" v="5497"/>
    </bk>
    <bk>
      <rc t="2" v="5498"/>
    </bk>
    <bk>
      <rc t="2" v="5499"/>
    </bk>
    <bk>
      <rc t="2" v="5500"/>
    </bk>
    <bk>
      <rc t="2" v="5501"/>
    </bk>
    <bk>
      <rc t="2" v="5502"/>
    </bk>
    <bk>
      <rc t="2" v="5503"/>
    </bk>
    <bk>
      <rc t="2" v="5504"/>
    </bk>
    <bk>
      <rc t="2" v="5505"/>
    </bk>
    <bk>
      <rc t="2" v="5506"/>
    </bk>
    <bk>
      <rc t="2" v="5507"/>
    </bk>
    <bk>
      <rc t="2" v="5508"/>
    </bk>
    <bk>
      <rc t="2" v="5509"/>
    </bk>
    <bk>
      <rc t="2" v="5510"/>
    </bk>
    <bk>
      <rc t="2" v="5511"/>
    </bk>
    <bk>
      <rc t="2" v="5512"/>
    </bk>
    <bk>
      <rc t="2" v="5513"/>
    </bk>
    <bk>
      <rc t="2" v="5514"/>
    </bk>
    <bk>
      <rc t="2" v="5515"/>
    </bk>
    <bk>
      <rc t="2" v="5516"/>
    </bk>
    <bk>
      <rc t="2" v="5517"/>
    </bk>
    <bk>
      <rc t="2" v="5518"/>
    </bk>
    <bk>
      <rc t="2" v="5519"/>
    </bk>
    <bk>
      <rc t="2" v="5520"/>
    </bk>
    <bk>
      <rc t="2" v="5521"/>
    </bk>
    <bk>
      <rc t="2" v="5522"/>
    </bk>
    <bk>
      <rc t="2" v="5523"/>
    </bk>
    <bk>
      <rc t="2" v="5524"/>
    </bk>
    <bk>
      <rc t="2" v="5525"/>
    </bk>
    <bk>
      <rc t="2" v="5526"/>
    </bk>
    <bk>
      <rc t="2" v="5527"/>
    </bk>
    <bk>
      <rc t="2" v="5528"/>
    </bk>
    <bk>
      <rc t="2" v="5529"/>
    </bk>
    <bk>
      <rc t="2" v="5530"/>
    </bk>
    <bk>
      <rc t="2" v="5531"/>
    </bk>
    <bk>
      <rc t="2" v="5532"/>
    </bk>
    <bk>
      <rc t="2" v="5533"/>
    </bk>
    <bk>
      <rc t="2" v="5534"/>
    </bk>
    <bk>
      <rc t="2" v="5535"/>
    </bk>
    <bk>
      <rc t="2" v="5536"/>
    </bk>
    <bk>
      <rc t="2" v="5537"/>
    </bk>
    <bk>
      <rc t="2" v="5538"/>
    </bk>
    <bk>
      <rc t="2" v="5539"/>
    </bk>
    <bk>
      <rc t="2" v="5540"/>
    </bk>
    <bk>
      <rc t="2" v="5541"/>
    </bk>
    <bk>
      <rc t="2" v="5542"/>
    </bk>
    <bk>
      <rc t="2" v="5543"/>
    </bk>
    <bk>
      <rc t="2" v="5544"/>
    </bk>
    <bk>
      <rc t="2" v="5545"/>
    </bk>
    <bk>
      <rc t="2" v="5546"/>
    </bk>
    <bk>
      <rc t="2" v="5547"/>
    </bk>
    <bk>
      <rc t="2" v="5548"/>
    </bk>
    <bk>
      <rc t="2" v="5549"/>
    </bk>
    <bk>
      <rc t="2" v="5550"/>
    </bk>
    <bk>
      <rc t="2" v="5551"/>
    </bk>
    <bk>
      <rc t="2" v="5552"/>
    </bk>
    <bk>
      <rc t="2" v="5553"/>
    </bk>
    <bk>
      <rc t="2" v="5554"/>
    </bk>
    <bk>
      <rc t="2" v="5555"/>
    </bk>
    <bk>
      <rc t="2" v="5556"/>
    </bk>
    <bk>
      <rc t="2" v="5557"/>
    </bk>
    <bk>
      <rc t="2" v="5558"/>
    </bk>
    <bk>
      <rc t="2" v="5559"/>
    </bk>
    <bk>
      <rc t="2" v="5560"/>
    </bk>
    <bk>
      <rc t="2" v="5561"/>
    </bk>
    <bk>
      <rc t="2" v="5562"/>
    </bk>
    <bk>
      <rc t="2" v="5563"/>
    </bk>
    <bk>
      <rc t="2" v="5564"/>
    </bk>
    <bk>
      <rc t="2" v="5565"/>
    </bk>
    <bk>
      <rc t="2" v="5566"/>
    </bk>
    <bk>
      <rc t="2" v="5567"/>
    </bk>
    <bk>
      <rc t="2" v="5568"/>
    </bk>
    <bk>
      <rc t="2" v="5569"/>
    </bk>
    <bk>
      <rc t="2" v="5570"/>
    </bk>
    <bk>
      <rc t="2" v="5571"/>
    </bk>
    <bk>
      <rc t="2" v="5572"/>
    </bk>
    <bk>
      <rc t="2" v="5573"/>
    </bk>
    <bk>
      <rc t="2" v="5574"/>
    </bk>
    <bk>
      <rc t="2" v="5575"/>
    </bk>
    <bk>
      <rc t="2" v="5576"/>
    </bk>
    <bk>
      <rc t="2" v="5577"/>
    </bk>
    <bk>
      <rc t="2" v="5578"/>
    </bk>
    <bk>
      <rc t="2" v="5579"/>
    </bk>
    <bk>
      <rc t="2" v="5580"/>
    </bk>
    <bk>
      <rc t="2" v="5581"/>
    </bk>
    <bk>
      <rc t="2" v="5582"/>
    </bk>
    <bk>
      <rc t="2" v="5583"/>
    </bk>
    <bk>
      <rc t="2" v="5584"/>
    </bk>
    <bk>
      <rc t="2" v="5585"/>
    </bk>
    <bk>
      <rc t="2" v="5586"/>
    </bk>
    <bk>
      <rc t="2" v="5587"/>
    </bk>
    <bk>
      <rc t="2" v="5588"/>
    </bk>
    <bk>
      <rc t="2" v="5589"/>
    </bk>
    <bk>
      <rc t="2" v="5590"/>
    </bk>
    <bk>
      <rc t="2" v="5591"/>
    </bk>
    <bk>
      <rc t="2" v="5592"/>
    </bk>
    <bk>
      <rc t="2" v="5593"/>
    </bk>
    <bk>
      <rc t="2" v="5594"/>
    </bk>
    <bk>
      <rc t="2" v="5595"/>
    </bk>
    <bk>
      <rc t="2" v="5596"/>
    </bk>
    <bk>
      <rc t="2" v="5597"/>
    </bk>
    <bk>
      <rc t="2" v="5598"/>
    </bk>
    <bk>
      <rc t="2" v="5599"/>
    </bk>
    <bk>
      <rc t="2" v="5600"/>
    </bk>
    <bk>
      <rc t="2" v="5601"/>
    </bk>
    <bk>
      <rc t="2" v="5602"/>
    </bk>
    <bk>
      <rc t="2" v="5603"/>
    </bk>
    <bk>
      <rc t="2" v="5604"/>
    </bk>
    <bk>
      <rc t="2" v="5605"/>
    </bk>
    <bk>
      <rc t="2" v="5606"/>
    </bk>
    <bk>
      <rc t="2" v="5607"/>
    </bk>
    <bk>
      <rc t="2" v="5608"/>
    </bk>
    <bk>
      <rc t="2" v="5609"/>
    </bk>
    <bk>
      <rc t="2" v="5610"/>
    </bk>
    <bk>
      <rc t="2" v="5611"/>
    </bk>
    <bk>
      <rc t="2" v="5612"/>
    </bk>
    <bk>
      <rc t="2" v="5613"/>
    </bk>
    <bk>
      <rc t="2" v="5614"/>
    </bk>
    <bk>
      <rc t="2" v="5615"/>
    </bk>
    <bk>
      <rc t="2" v="5616"/>
    </bk>
    <bk>
      <rc t="2" v="5617"/>
    </bk>
    <bk>
      <rc t="2" v="5618"/>
    </bk>
    <bk>
      <rc t="2" v="5619"/>
    </bk>
    <bk>
      <rc t="2" v="5620"/>
    </bk>
    <bk>
      <rc t="2" v="5621"/>
    </bk>
    <bk>
      <rc t="2" v="5622"/>
    </bk>
    <bk>
      <rc t="2" v="5623"/>
    </bk>
    <bk>
      <rc t="2" v="5624"/>
    </bk>
    <bk>
      <rc t="2" v="5625"/>
    </bk>
    <bk>
      <rc t="2" v="5626"/>
    </bk>
    <bk>
      <rc t="2" v="5627"/>
    </bk>
    <bk>
      <rc t="2" v="5628"/>
    </bk>
    <bk>
      <rc t="2" v="5629"/>
    </bk>
    <bk>
      <rc t="2" v="5630"/>
    </bk>
    <bk>
      <rc t="2" v="5631"/>
    </bk>
    <bk>
      <rc t="2" v="5632"/>
    </bk>
    <bk>
      <rc t="2" v="5633"/>
    </bk>
    <bk>
      <rc t="2" v="5634"/>
    </bk>
    <bk>
      <rc t="2" v="5635"/>
    </bk>
    <bk>
      <rc t="2" v="5636"/>
    </bk>
    <bk>
      <rc t="2" v="5637"/>
    </bk>
    <bk>
      <rc t="2" v="5638"/>
    </bk>
    <bk>
      <rc t="2" v="5639"/>
    </bk>
    <bk>
      <rc t="2" v="5640"/>
    </bk>
    <bk>
      <rc t="2" v="5641"/>
    </bk>
    <bk>
      <rc t="2" v="5642"/>
    </bk>
    <bk>
      <rc t="2" v="5643"/>
    </bk>
    <bk>
      <rc t="2" v="5644"/>
    </bk>
    <bk>
      <rc t="2" v="5645"/>
    </bk>
    <bk>
      <rc t="2" v="5646"/>
    </bk>
    <bk>
      <rc t="2" v="5647"/>
    </bk>
    <bk>
      <rc t="2" v="5648"/>
    </bk>
    <bk>
      <rc t="2" v="5649"/>
    </bk>
    <bk>
      <rc t="2" v="5650"/>
    </bk>
    <bk>
      <rc t="2" v="5651"/>
    </bk>
    <bk>
      <rc t="2" v="5652"/>
    </bk>
    <bk>
      <rc t="2" v="5653"/>
    </bk>
    <bk>
      <rc t="2" v="5654"/>
    </bk>
    <bk>
      <rc t="2" v="5655"/>
    </bk>
    <bk>
      <rc t="2" v="5656"/>
    </bk>
    <bk>
      <rc t="2" v="5657"/>
    </bk>
    <bk>
      <rc t="2" v="5658"/>
    </bk>
    <bk>
      <rc t="2" v="5659"/>
    </bk>
    <bk>
      <rc t="2" v="5660"/>
    </bk>
    <bk>
      <rc t="2" v="5661"/>
    </bk>
    <bk>
      <rc t="2" v="5662"/>
    </bk>
    <bk>
      <rc t="2" v="5663"/>
    </bk>
    <bk>
      <rc t="2" v="5664"/>
    </bk>
    <bk>
      <rc t="2" v="5665"/>
    </bk>
    <bk>
      <rc t="2" v="5666"/>
    </bk>
    <bk>
      <rc t="2" v="5667"/>
    </bk>
    <bk>
      <rc t="2" v="5668"/>
    </bk>
    <bk>
      <rc t="2" v="5669"/>
    </bk>
    <bk>
      <rc t="2" v="5670"/>
    </bk>
    <bk>
      <rc t="2" v="5671"/>
    </bk>
    <bk>
      <rc t="2" v="5672"/>
    </bk>
    <bk>
      <rc t="2" v="5673"/>
    </bk>
    <bk>
      <rc t="2" v="5674"/>
    </bk>
    <bk>
      <rc t="2" v="5675"/>
    </bk>
    <bk>
      <rc t="2" v="5676"/>
    </bk>
    <bk>
      <rc t="2" v="5677"/>
    </bk>
    <bk>
      <rc t="2" v="5678"/>
    </bk>
    <bk>
      <rc t="2" v="5679"/>
    </bk>
    <bk>
      <rc t="2" v="5680"/>
    </bk>
    <bk>
      <rc t="2" v="5681"/>
    </bk>
    <bk>
      <rc t="2" v="5682"/>
    </bk>
    <bk>
      <rc t="2" v="5683"/>
    </bk>
    <bk>
      <rc t="2" v="5684"/>
    </bk>
    <bk>
      <rc t="2" v="5685"/>
    </bk>
    <bk>
      <rc t="2" v="5686"/>
    </bk>
    <bk>
      <rc t="2" v="5687"/>
    </bk>
    <bk>
      <rc t="2" v="5688"/>
    </bk>
    <bk>
      <rc t="2" v="5689"/>
    </bk>
    <bk>
      <rc t="2" v="5690"/>
    </bk>
    <bk>
      <rc t="2" v="5691"/>
    </bk>
    <bk>
      <rc t="2" v="5692"/>
    </bk>
    <bk>
      <rc t="2" v="5693"/>
    </bk>
    <bk>
      <rc t="2" v="5694"/>
    </bk>
    <bk>
      <rc t="2" v="5695"/>
    </bk>
    <bk>
      <rc t="2" v="5696"/>
    </bk>
    <bk>
      <rc t="2" v="5697"/>
    </bk>
    <bk>
      <rc t="2" v="5698"/>
    </bk>
    <bk>
      <rc t="2" v="5699"/>
    </bk>
    <bk>
      <rc t="2" v="5700"/>
    </bk>
    <bk>
      <rc t="2" v="5701"/>
    </bk>
    <bk>
      <rc t="2" v="5702"/>
    </bk>
    <bk>
      <rc t="2" v="5703"/>
    </bk>
    <bk>
      <rc t="2" v="5704"/>
    </bk>
    <bk>
      <rc t="2" v="5705"/>
    </bk>
    <bk>
      <rc t="2" v="5706"/>
    </bk>
    <bk>
      <rc t="2" v="5707"/>
    </bk>
    <bk>
      <rc t="2" v="5708"/>
    </bk>
    <bk>
      <rc t="2" v="5709"/>
    </bk>
    <bk>
      <rc t="2" v="5710"/>
    </bk>
    <bk>
      <rc t="2" v="5711"/>
    </bk>
    <bk>
      <rc t="2" v="5712"/>
    </bk>
    <bk>
      <rc t="2" v="5713"/>
    </bk>
    <bk>
      <rc t="2" v="5714"/>
    </bk>
    <bk>
      <rc t="2" v="5715"/>
    </bk>
    <bk>
      <rc t="2" v="5716"/>
    </bk>
    <bk>
      <rc t="2" v="5717"/>
    </bk>
    <bk>
      <rc t="2" v="5718"/>
    </bk>
    <bk>
      <rc t="2" v="5719"/>
    </bk>
    <bk>
      <rc t="2" v="5720"/>
    </bk>
    <bk>
      <rc t="2" v="5721"/>
    </bk>
    <bk>
      <rc t="2" v="5722"/>
    </bk>
    <bk>
      <rc t="2" v="5723"/>
    </bk>
    <bk>
      <rc t="2" v="5724"/>
    </bk>
    <bk>
      <rc t="2" v="5725"/>
    </bk>
    <bk>
      <rc t="2" v="5726"/>
    </bk>
    <bk>
      <rc t="2" v="5727"/>
    </bk>
    <bk>
      <rc t="2" v="5728"/>
    </bk>
    <bk>
      <rc t="2" v="5729"/>
    </bk>
    <bk>
      <rc t="2" v="5730"/>
    </bk>
    <bk>
      <rc t="2" v="5731"/>
    </bk>
    <bk>
      <rc t="2" v="5732"/>
    </bk>
    <bk>
      <rc t="2" v="5733"/>
    </bk>
    <bk>
      <rc t="2" v="5734"/>
    </bk>
    <bk>
      <rc t="2" v="5735"/>
    </bk>
    <bk>
      <rc t="2" v="5736"/>
    </bk>
    <bk>
      <rc t="2" v="5737"/>
    </bk>
    <bk>
      <rc t="2" v="5738"/>
    </bk>
    <bk>
      <rc t="2" v="5739"/>
    </bk>
    <bk>
      <rc t="2" v="5740"/>
    </bk>
    <bk>
      <rc t="2" v="5741"/>
    </bk>
    <bk>
      <rc t="2" v="5742"/>
    </bk>
    <bk>
      <rc t="2" v="5743"/>
    </bk>
    <bk>
      <rc t="2" v="5744"/>
    </bk>
    <bk>
      <rc t="2" v="5745"/>
    </bk>
    <bk>
      <rc t="2" v="5746"/>
    </bk>
    <bk>
      <rc t="2" v="5747"/>
    </bk>
    <bk>
      <rc t="2" v="5748"/>
    </bk>
    <bk>
      <rc t="2" v="5749"/>
    </bk>
    <bk>
      <rc t="2" v="5750"/>
    </bk>
    <bk>
      <rc t="2" v="5751"/>
    </bk>
    <bk>
      <rc t="2" v="5752"/>
    </bk>
    <bk>
      <rc t="2" v="5753"/>
    </bk>
    <bk>
      <rc t="2" v="5754"/>
    </bk>
    <bk>
      <rc t="2" v="5755"/>
    </bk>
    <bk>
      <rc t="2" v="5756"/>
    </bk>
    <bk>
      <rc t="2" v="5757"/>
    </bk>
    <bk>
      <rc t="2" v="5758"/>
    </bk>
    <bk>
      <rc t="2" v="5759"/>
    </bk>
    <bk>
      <rc t="2" v="5760"/>
    </bk>
    <bk>
      <rc t="2" v="5761"/>
    </bk>
    <bk>
      <rc t="2" v="5762"/>
    </bk>
    <bk>
      <rc t="2" v="5763"/>
    </bk>
    <bk>
      <rc t="2" v="5764"/>
    </bk>
    <bk>
      <rc t="2" v="5765"/>
    </bk>
    <bk>
      <rc t="2" v="5766"/>
    </bk>
    <bk>
      <rc t="2" v="5767"/>
    </bk>
    <bk>
      <rc t="2" v="5768"/>
    </bk>
    <bk>
      <rc t="2" v="5769"/>
    </bk>
    <bk>
      <rc t="2" v="5770"/>
    </bk>
    <bk>
      <rc t="2" v="5771"/>
    </bk>
    <bk>
      <rc t="2" v="5772"/>
    </bk>
    <bk>
      <rc t="2" v="5773"/>
    </bk>
    <bk>
      <rc t="2" v="5774"/>
    </bk>
    <bk>
      <rc t="2" v="5775"/>
    </bk>
    <bk>
      <rc t="2" v="5776"/>
    </bk>
    <bk>
      <rc t="2" v="5777"/>
    </bk>
    <bk>
      <rc t="2" v="5778"/>
    </bk>
    <bk>
      <rc t="2" v="5779"/>
    </bk>
    <bk>
      <rc t="2" v="5780"/>
    </bk>
    <bk>
      <rc t="2" v="5781"/>
    </bk>
    <bk>
      <rc t="2" v="5782"/>
    </bk>
    <bk>
      <rc t="2" v="5783"/>
    </bk>
    <bk>
      <rc t="2" v="5784"/>
    </bk>
    <bk>
      <rc t="2" v="5785"/>
    </bk>
    <bk>
      <rc t="2" v="5786"/>
    </bk>
    <bk>
      <rc t="2" v="5787"/>
    </bk>
    <bk>
      <rc t="2" v="5788"/>
    </bk>
    <bk>
      <rc t="2" v="5789"/>
    </bk>
    <bk>
      <rc t="2" v="5790"/>
    </bk>
    <bk>
      <rc t="2" v="5791"/>
    </bk>
    <bk>
      <rc t="2" v="5792"/>
    </bk>
    <bk>
      <rc t="2" v="5793"/>
    </bk>
    <bk>
      <rc t="2" v="5794"/>
    </bk>
    <bk>
      <rc t="2" v="5795"/>
    </bk>
    <bk>
      <rc t="2" v="5796"/>
    </bk>
    <bk>
      <rc t="2" v="5797"/>
    </bk>
    <bk>
      <rc t="2" v="5798"/>
    </bk>
    <bk>
      <rc t="2" v="5799"/>
    </bk>
    <bk>
      <rc t="2" v="5800"/>
    </bk>
    <bk>
      <rc t="2" v="5801"/>
    </bk>
    <bk>
      <rc t="2" v="5802"/>
    </bk>
    <bk>
      <rc t="2" v="5803"/>
    </bk>
    <bk>
      <rc t="2" v="5804"/>
    </bk>
    <bk>
      <rc t="2" v="5805"/>
    </bk>
    <bk>
      <rc t="2" v="5806"/>
    </bk>
    <bk>
      <rc t="2" v="5807"/>
    </bk>
    <bk>
      <rc t="2" v="5808"/>
    </bk>
    <bk>
      <rc t="2" v="5809"/>
    </bk>
    <bk>
      <rc t="2" v="5810"/>
    </bk>
    <bk>
      <rc t="2" v="5811"/>
    </bk>
    <bk>
      <rc t="2" v="5812"/>
    </bk>
    <bk>
      <rc t="2" v="5813"/>
    </bk>
    <bk>
      <rc t="2" v="5814"/>
    </bk>
    <bk>
      <rc t="2" v="5815"/>
    </bk>
    <bk>
      <rc t="2" v="5816"/>
    </bk>
    <bk>
      <rc t="2" v="5817"/>
    </bk>
    <bk>
      <rc t="2" v="5818"/>
    </bk>
    <bk>
      <rc t="2" v="5819"/>
    </bk>
    <bk>
      <rc t="2" v="5820"/>
    </bk>
    <bk>
      <rc t="2" v="5821"/>
    </bk>
    <bk>
      <rc t="2" v="5822"/>
    </bk>
    <bk>
      <rc t="2" v="5823"/>
    </bk>
    <bk>
      <rc t="2" v="5824"/>
    </bk>
    <bk>
      <rc t="2" v="5825"/>
    </bk>
    <bk>
      <rc t="2" v="5826"/>
    </bk>
    <bk>
      <rc t="2" v="5827"/>
    </bk>
    <bk>
      <rc t="2" v="5828"/>
    </bk>
    <bk>
      <rc t="2" v="5829"/>
    </bk>
    <bk>
      <rc t="2" v="5830"/>
    </bk>
    <bk>
      <rc t="2" v="5831"/>
    </bk>
    <bk>
      <rc t="2" v="5832"/>
    </bk>
    <bk>
      <rc t="2" v="5833"/>
    </bk>
    <bk>
      <rc t="2" v="5834"/>
    </bk>
    <bk>
      <rc t="2" v="5835"/>
    </bk>
    <bk>
      <rc t="2" v="5836"/>
    </bk>
    <bk>
      <rc t="2" v="5837"/>
    </bk>
    <bk>
      <rc t="2" v="5838"/>
    </bk>
    <bk>
      <rc t="2" v="5839"/>
    </bk>
    <bk>
      <rc t="2" v="5840"/>
    </bk>
    <bk>
      <rc t="2" v="5841"/>
    </bk>
    <bk>
      <rc t="2" v="5842"/>
    </bk>
    <bk>
      <rc t="2" v="5843"/>
    </bk>
    <bk>
      <rc t="2" v="5844"/>
    </bk>
    <bk>
      <rc t="2" v="5845"/>
    </bk>
    <bk>
      <rc t="2" v="5846"/>
    </bk>
    <bk>
      <rc t="2" v="5847"/>
    </bk>
    <bk>
      <rc t="2" v="5848"/>
    </bk>
    <bk>
      <rc t="2" v="5849"/>
    </bk>
    <bk>
      <rc t="2" v="5850"/>
    </bk>
    <bk>
      <rc t="2" v="5851"/>
    </bk>
    <bk>
      <rc t="2" v="5852"/>
    </bk>
    <bk>
      <rc t="2" v="5853"/>
    </bk>
    <bk>
      <rc t="2" v="5854"/>
    </bk>
    <bk>
      <rc t="2" v="5855"/>
    </bk>
    <bk>
      <rc t="2" v="5856"/>
    </bk>
    <bk>
      <rc t="2" v="5857"/>
    </bk>
    <bk>
      <rc t="2" v="5858"/>
    </bk>
    <bk>
      <rc t="2" v="5859"/>
    </bk>
    <bk>
      <rc t="2" v="5860"/>
    </bk>
    <bk>
      <rc t="2" v="5861"/>
    </bk>
    <bk>
      <rc t="2" v="5862"/>
    </bk>
    <bk>
      <rc t="2" v="5863"/>
    </bk>
    <bk>
      <rc t="2" v="5864"/>
    </bk>
    <bk>
      <rc t="2" v="5865"/>
    </bk>
    <bk>
      <rc t="2" v="5866"/>
    </bk>
    <bk>
      <rc t="2" v="5867"/>
    </bk>
    <bk>
      <rc t="2" v="5868"/>
    </bk>
    <bk>
      <rc t="2" v="5869"/>
    </bk>
    <bk>
      <rc t="2" v="5870"/>
    </bk>
    <bk>
      <rc t="2" v="5871"/>
    </bk>
    <bk>
      <rc t="2" v="5872"/>
    </bk>
    <bk>
      <rc t="2" v="5873"/>
    </bk>
    <bk>
      <rc t="2" v="5874"/>
    </bk>
    <bk>
      <rc t="2" v="5875"/>
    </bk>
    <bk>
      <rc t="2" v="5876"/>
    </bk>
    <bk>
      <rc t="2" v="5877"/>
    </bk>
    <bk>
      <rc t="2" v="5878"/>
    </bk>
    <bk>
      <rc t="2" v="5879"/>
    </bk>
    <bk>
      <rc t="2" v="5880"/>
    </bk>
    <bk>
      <rc t="2" v="5881"/>
    </bk>
    <bk>
      <rc t="2" v="5882"/>
    </bk>
    <bk>
      <rc t="2" v="5883"/>
    </bk>
    <bk>
      <rc t="2" v="5884"/>
    </bk>
    <bk>
      <rc t="2" v="5885"/>
    </bk>
    <bk>
      <rc t="2" v="5886"/>
    </bk>
    <bk>
      <rc t="2" v="5887"/>
    </bk>
    <bk>
      <rc t="2" v="5888"/>
    </bk>
    <bk>
      <rc t="2" v="5889"/>
    </bk>
    <bk>
      <rc t="2" v="5890"/>
    </bk>
    <bk>
      <rc t="2" v="5891"/>
    </bk>
    <bk>
      <rc t="2" v="5892"/>
    </bk>
    <bk>
      <rc t="2" v="5893"/>
    </bk>
    <bk>
      <rc t="2" v="5894"/>
    </bk>
    <bk>
      <rc t="2" v="5895"/>
    </bk>
    <bk>
      <rc t="2" v="5896"/>
    </bk>
    <bk>
      <rc t="2" v="5897"/>
    </bk>
    <bk>
      <rc t="2" v="5898"/>
    </bk>
    <bk>
      <rc t="2" v="5899"/>
    </bk>
    <bk>
      <rc t="2" v="5900"/>
    </bk>
    <bk>
      <rc t="2" v="5901"/>
    </bk>
    <bk>
      <rc t="2" v="5902"/>
    </bk>
    <bk>
      <rc t="2" v="5903"/>
    </bk>
    <bk>
      <rc t="2" v="5904"/>
    </bk>
    <bk>
      <rc t="2" v="5905"/>
    </bk>
    <bk>
      <rc t="2" v="5906"/>
    </bk>
    <bk>
      <rc t="2" v="5907"/>
    </bk>
    <bk>
      <rc t="2" v="5908"/>
    </bk>
    <bk>
      <rc t="2" v="5909"/>
    </bk>
    <bk>
      <rc t="2" v="5910"/>
    </bk>
    <bk>
      <rc t="2" v="5911"/>
    </bk>
    <bk>
      <rc t="2" v="5912"/>
    </bk>
    <bk>
      <rc t="2" v="5913"/>
    </bk>
    <bk>
      <rc t="2" v="5914"/>
    </bk>
    <bk>
      <rc t="2" v="5915"/>
    </bk>
    <bk>
      <rc t="2" v="5916"/>
    </bk>
    <bk>
      <rc t="2" v="5917"/>
    </bk>
    <bk>
      <rc t="2" v="5918"/>
    </bk>
    <bk>
      <rc t="2" v="5919"/>
    </bk>
    <bk>
      <rc t="2" v="5920"/>
    </bk>
    <bk>
      <rc t="2" v="5921"/>
    </bk>
    <bk>
      <rc t="2" v="5922"/>
    </bk>
    <bk>
      <rc t="2" v="5923"/>
    </bk>
    <bk>
      <rc t="2" v="5924"/>
    </bk>
    <bk>
      <rc t="2" v="5925"/>
    </bk>
    <bk>
      <rc t="2" v="5926"/>
    </bk>
    <bk>
      <rc t="2" v="5927"/>
    </bk>
    <bk>
      <rc t="2" v="5928"/>
    </bk>
    <bk>
      <rc t="2" v="5929"/>
    </bk>
    <bk>
      <rc t="2" v="5930"/>
    </bk>
    <bk>
      <rc t="2" v="5931"/>
    </bk>
    <bk>
      <rc t="2" v="5932"/>
    </bk>
    <bk>
      <rc t="2" v="5933"/>
    </bk>
    <bk>
      <rc t="2" v="5934"/>
    </bk>
    <bk>
      <rc t="2" v="5935"/>
    </bk>
    <bk>
      <rc t="2" v="5936"/>
    </bk>
    <bk>
      <rc t="2" v="5937"/>
    </bk>
    <bk>
      <rc t="2" v="5938"/>
    </bk>
    <bk>
      <rc t="2" v="5939"/>
    </bk>
    <bk>
      <rc t="2" v="5940"/>
    </bk>
    <bk>
      <rc t="2" v="5941"/>
    </bk>
    <bk>
      <rc t="2" v="5942"/>
    </bk>
    <bk>
      <rc t="2" v="5943"/>
    </bk>
    <bk>
      <rc t="2" v="5944"/>
    </bk>
    <bk>
      <rc t="2" v="5945"/>
    </bk>
    <bk>
      <rc t="2" v="5946"/>
    </bk>
    <bk>
      <rc t="2" v="5947"/>
    </bk>
    <bk>
      <rc t="2" v="5948"/>
    </bk>
    <bk>
      <rc t="2" v="5949"/>
    </bk>
    <bk>
      <rc t="2" v="5950"/>
    </bk>
    <bk>
      <rc t="2" v="5951"/>
    </bk>
    <bk>
      <rc t="2" v="5952"/>
    </bk>
    <bk>
      <rc t="2" v="5953"/>
    </bk>
    <bk>
      <rc t="2" v="5954"/>
    </bk>
    <bk>
      <rc t="2" v="5955"/>
    </bk>
    <bk>
      <rc t="2" v="5956"/>
    </bk>
    <bk>
      <rc t="2" v="5957"/>
    </bk>
    <bk>
      <rc t="2" v="5958"/>
    </bk>
    <bk>
      <rc t="2" v="5959"/>
    </bk>
    <bk>
      <rc t="2" v="5960"/>
    </bk>
    <bk>
      <rc t="2" v="5961"/>
    </bk>
    <bk>
      <rc t="2" v="5962"/>
    </bk>
    <bk>
      <rc t="2" v="5963"/>
    </bk>
    <bk>
      <rc t="2" v="5964"/>
    </bk>
    <bk>
      <rc t="2" v="5965"/>
    </bk>
    <bk>
      <rc t="2" v="5966"/>
    </bk>
    <bk>
      <rc t="2" v="5967"/>
    </bk>
    <bk>
      <rc t="2" v="5968"/>
    </bk>
    <bk>
      <rc t="2" v="5969"/>
    </bk>
    <bk>
      <rc t="2" v="5970"/>
    </bk>
    <bk>
      <rc t="2" v="5971"/>
    </bk>
    <bk>
      <rc t="2" v="5972"/>
    </bk>
    <bk>
      <rc t="2" v="5973"/>
    </bk>
    <bk>
      <rc t="2" v="5974"/>
    </bk>
    <bk>
      <rc t="2" v="5975"/>
    </bk>
    <bk>
      <rc t="2" v="5976"/>
    </bk>
    <bk>
      <rc t="2" v="5977"/>
    </bk>
    <bk>
      <rc t="2" v="5978"/>
    </bk>
    <bk>
      <rc t="2" v="5979"/>
    </bk>
    <bk>
      <rc t="2" v="5980"/>
    </bk>
    <bk>
      <rc t="2" v="5981"/>
    </bk>
    <bk>
      <rc t="2" v="5982"/>
    </bk>
    <bk>
      <rc t="2" v="5983"/>
    </bk>
    <bk>
      <rc t="2" v="5984"/>
    </bk>
    <bk>
      <rc t="2" v="5985"/>
    </bk>
    <bk>
      <rc t="2" v="5986"/>
    </bk>
    <bk>
      <rc t="2" v="5987"/>
    </bk>
    <bk>
      <rc t="2" v="5988"/>
    </bk>
    <bk>
      <rc t="2" v="5989"/>
    </bk>
    <bk>
      <rc t="2" v="5990"/>
    </bk>
    <bk>
      <rc t="2" v="5991"/>
    </bk>
    <bk>
      <rc t="2" v="5992"/>
    </bk>
    <bk>
      <rc t="2" v="5993"/>
    </bk>
    <bk>
      <rc t="2" v="5994"/>
    </bk>
    <bk>
      <rc t="2" v="5995"/>
    </bk>
    <bk>
      <rc t="2" v="5996"/>
    </bk>
    <bk>
      <rc t="2" v="5997"/>
    </bk>
    <bk>
      <rc t="2" v="5998"/>
    </bk>
    <bk>
      <rc t="2" v="5999"/>
    </bk>
    <bk>
      <rc t="2" v="6000"/>
    </bk>
    <bk>
      <rc t="2" v="6001"/>
    </bk>
    <bk>
      <rc t="2" v="6002"/>
    </bk>
    <bk>
      <rc t="2" v="6003"/>
    </bk>
    <bk>
      <rc t="2" v="6004"/>
    </bk>
    <bk>
      <rc t="2" v="6005"/>
    </bk>
    <bk>
      <rc t="2" v="6006"/>
    </bk>
    <bk>
      <rc t="2" v="6007"/>
    </bk>
    <bk>
      <rc t="2" v="6008"/>
    </bk>
    <bk>
      <rc t="2" v="6009"/>
    </bk>
    <bk>
      <rc t="2" v="6010"/>
    </bk>
    <bk>
      <rc t="2" v="6011"/>
    </bk>
    <bk>
      <rc t="2" v="6012"/>
    </bk>
    <bk>
      <rc t="2" v="6013"/>
    </bk>
    <bk>
      <rc t="2" v="6014"/>
    </bk>
    <bk>
      <rc t="2" v="6015"/>
    </bk>
    <bk>
      <rc t="2" v="6016"/>
    </bk>
    <bk>
      <rc t="2" v="6017"/>
    </bk>
    <bk>
      <rc t="2" v="6018"/>
    </bk>
    <bk>
      <rc t="2" v="6019"/>
    </bk>
    <bk>
      <rc t="2" v="6020"/>
    </bk>
    <bk>
      <rc t="2" v="6021"/>
    </bk>
    <bk>
      <rc t="2" v="6022"/>
    </bk>
    <bk>
      <rc t="2" v="6023"/>
    </bk>
    <bk>
      <rc t="2" v="6024"/>
    </bk>
    <bk>
      <rc t="2" v="6025"/>
    </bk>
    <bk>
      <rc t="2" v="6026"/>
    </bk>
    <bk>
      <rc t="2" v="6027"/>
    </bk>
    <bk>
      <rc t="2" v="6028"/>
    </bk>
    <bk>
      <rc t="2" v="6029"/>
    </bk>
    <bk>
      <rc t="2" v="6030"/>
    </bk>
    <bk>
      <rc t="2" v="6031"/>
    </bk>
    <bk>
      <rc t="2" v="6032"/>
    </bk>
    <bk>
      <rc t="2" v="6033"/>
    </bk>
    <bk>
      <rc t="2" v="6034"/>
    </bk>
    <bk>
      <rc t="2" v="6035"/>
    </bk>
    <bk>
      <rc t="2" v="6036"/>
    </bk>
    <bk>
      <rc t="2" v="6037"/>
    </bk>
    <bk>
      <rc t="2" v="6038"/>
    </bk>
    <bk>
      <rc t="2" v="6039"/>
    </bk>
    <bk>
      <rc t="2" v="6040"/>
    </bk>
    <bk>
      <rc t="2" v="6041"/>
    </bk>
    <bk>
      <rc t="2" v="6042"/>
    </bk>
    <bk>
      <rc t="2" v="6043"/>
    </bk>
    <bk>
      <rc t="2" v="6044"/>
    </bk>
    <bk>
      <rc t="2" v="6045"/>
    </bk>
    <bk>
      <rc t="2" v="6046"/>
    </bk>
    <bk>
      <rc t="2" v="6047"/>
    </bk>
    <bk>
      <rc t="2" v="6048"/>
    </bk>
    <bk>
      <rc t="2" v="6049"/>
    </bk>
    <bk>
      <rc t="2" v="6050"/>
    </bk>
    <bk>
      <rc t="2" v="6051"/>
    </bk>
    <bk>
      <rc t="2" v="6052"/>
    </bk>
    <bk>
      <rc t="2" v="6053"/>
    </bk>
    <bk>
      <rc t="2" v="6054"/>
    </bk>
    <bk>
      <rc t="2" v="6055"/>
    </bk>
    <bk>
      <rc t="2" v="6056"/>
    </bk>
    <bk>
      <rc t="2" v="6057"/>
    </bk>
    <bk>
      <rc t="2" v="6058"/>
    </bk>
    <bk>
      <rc t="2" v="6059"/>
    </bk>
    <bk>
      <rc t="2" v="6060"/>
    </bk>
    <bk>
      <rc t="2" v="6061"/>
    </bk>
    <bk>
      <rc t="2" v="6062"/>
    </bk>
    <bk>
      <rc t="2" v="6063"/>
    </bk>
    <bk>
      <rc t="2" v="6064"/>
    </bk>
    <bk>
      <rc t="2" v="6065"/>
    </bk>
    <bk>
      <rc t="2" v="6066"/>
    </bk>
    <bk>
      <rc t="2" v="6067"/>
    </bk>
    <bk>
      <rc t="2" v="6068"/>
    </bk>
    <bk>
      <rc t="2" v="6069"/>
    </bk>
    <bk>
      <rc t="2" v="6070"/>
    </bk>
    <bk>
      <rc t="2" v="6071"/>
    </bk>
    <bk>
      <rc t="2" v="6072"/>
    </bk>
    <bk>
      <rc t="2" v="6073"/>
    </bk>
    <bk>
      <rc t="2" v="6074"/>
    </bk>
    <bk>
      <rc t="2" v="6075"/>
    </bk>
    <bk>
      <rc t="2" v="6076"/>
    </bk>
    <bk>
      <rc t="2" v="6077"/>
    </bk>
    <bk>
      <rc t="2" v="6078"/>
    </bk>
    <bk>
      <rc t="2" v="6079"/>
    </bk>
    <bk>
      <rc t="2" v="6080"/>
    </bk>
    <bk>
      <rc t="2" v="6081"/>
    </bk>
    <bk>
      <rc t="2" v="6082"/>
    </bk>
    <bk>
      <rc t="2" v="6083"/>
    </bk>
    <bk>
      <rc t="2" v="6084"/>
    </bk>
    <bk>
      <rc t="2" v="6085"/>
    </bk>
    <bk>
      <rc t="2" v="6086"/>
    </bk>
    <bk>
      <rc t="2" v="6087"/>
    </bk>
    <bk>
      <rc t="2" v="6088"/>
    </bk>
    <bk>
      <rc t="2" v="6089"/>
    </bk>
    <bk>
      <rc t="2" v="6090"/>
    </bk>
    <bk>
      <rc t="2" v="6091"/>
    </bk>
    <bk>
      <rc t="2" v="6092"/>
    </bk>
    <bk>
      <rc t="2" v="6093"/>
    </bk>
    <bk>
      <rc t="2" v="6094"/>
    </bk>
    <bk>
      <rc t="2" v="6095"/>
    </bk>
    <bk>
      <rc t="2" v="6096"/>
    </bk>
    <bk>
      <rc t="2" v="6097"/>
    </bk>
    <bk>
      <rc t="2" v="6098"/>
    </bk>
    <bk>
      <rc t="2" v="6099"/>
    </bk>
    <bk>
      <rc t="2" v="6100"/>
    </bk>
    <bk>
      <rc t="2" v="6101"/>
    </bk>
    <bk>
      <rc t="2" v="6102"/>
    </bk>
    <bk>
      <rc t="2" v="6103"/>
    </bk>
    <bk>
      <rc t="2" v="6104"/>
    </bk>
    <bk>
      <rc t="2" v="6105"/>
    </bk>
    <bk>
      <rc t="2" v="6106"/>
    </bk>
    <bk>
      <rc t="2" v="6107"/>
    </bk>
    <bk>
      <rc t="2" v="6108"/>
    </bk>
    <bk>
      <rc t="2" v="6109"/>
    </bk>
    <bk>
      <rc t="2" v="6110"/>
    </bk>
    <bk>
      <rc t="2" v="6111"/>
    </bk>
    <bk>
      <rc t="2" v="6112"/>
    </bk>
    <bk>
      <rc t="2" v="6113"/>
    </bk>
    <bk>
      <rc t="2" v="6114"/>
    </bk>
    <bk>
      <rc t="2" v="6115"/>
    </bk>
    <bk>
      <rc t="2" v="6116"/>
    </bk>
    <bk>
      <rc t="2" v="6117"/>
    </bk>
    <bk>
      <rc t="2" v="6118"/>
    </bk>
    <bk>
      <rc t="2" v="6119"/>
    </bk>
    <bk>
      <rc t="2" v="6120"/>
    </bk>
    <bk>
      <rc t="2" v="6121"/>
    </bk>
    <bk>
      <rc t="2" v="6122"/>
    </bk>
    <bk>
      <rc t="2" v="6123"/>
    </bk>
    <bk>
      <rc t="2" v="6124"/>
    </bk>
    <bk>
      <rc t="2" v="6125"/>
    </bk>
    <bk>
      <rc t="2" v="6126"/>
    </bk>
    <bk>
      <rc t="2" v="6127"/>
    </bk>
    <bk>
      <rc t="2" v="6128"/>
    </bk>
    <bk>
      <rc t="2" v="6129"/>
    </bk>
    <bk>
      <rc t="2" v="6130"/>
    </bk>
    <bk>
      <rc t="2" v="6131"/>
    </bk>
    <bk>
      <rc t="2" v="6132"/>
    </bk>
    <bk>
      <rc t="2" v="6133"/>
    </bk>
    <bk>
      <rc t="2" v="6134"/>
    </bk>
    <bk>
      <rc t="2" v="6135"/>
    </bk>
    <bk>
      <rc t="2" v="6136"/>
    </bk>
    <bk>
      <rc t="2" v="6137"/>
    </bk>
    <bk>
      <rc t="2" v="6138"/>
    </bk>
    <bk>
      <rc t="2" v="6139"/>
    </bk>
    <bk>
      <rc t="2" v="6140"/>
    </bk>
    <bk>
      <rc t="2" v="6141"/>
    </bk>
    <bk>
      <rc t="2" v="6142"/>
    </bk>
    <bk>
      <rc t="2" v="6143"/>
    </bk>
    <bk>
      <rc t="2" v="6144"/>
    </bk>
    <bk>
      <rc t="2" v="6145"/>
    </bk>
    <bk>
      <rc t="2" v="6146"/>
    </bk>
    <bk>
      <rc t="2" v="6147"/>
    </bk>
    <bk>
      <rc t="2" v="6148"/>
    </bk>
    <bk>
      <rc t="2" v="6149"/>
    </bk>
    <bk>
      <rc t="2" v="6150"/>
    </bk>
    <bk>
      <rc t="2" v="6151"/>
    </bk>
    <bk>
      <rc t="2" v="6152"/>
    </bk>
    <bk>
      <rc t="2" v="6153"/>
    </bk>
    <bk>
      <rc t="2" v="6154"/>
    </bk>
    <bk>
      <rc t="2" v="6155"/>
    </bk>
    <bk>
      <rc t="2" v="6156"/>
    </bk>
    <bk>
      <rc t="2" v="6157"/>
    </bk>
    <bk>
      <rc t="2" v="6158"/>
    </bk>
    <bk>
      <rc t="2" v="6159"/>
    </bk>
    <bk>
      <rc t="2" v="6160"/>
    </bk>
    <bk>
      <rc t="2" v="6161"/>
    </bk>
    <bk>
      <rc t="2" v="6162"/>
    </bk>
    <bk>
      <rc t="2" v="6163"/>
    </bk>
    <bk>
      <rc t="2" v="6164"/>
    </bk>
    <bk>
      <rc t="2" v="6165"/>
    </bk>
    <bk>
      <rc t="2" v="6166"/>
    </bk>
    <bk>
      <rc t="2" v="6167"/>
    </bk>
    <bk>
      <rc t="2" v="6168"/>
    </bk>
    <bk>
      <rc t="2" v="6169"/>
    </bk>
    <bk>
      <rc t="2" v="6170"/>
    </bk>
    <bk>
      <rc t="2" v="6171"/>
    </bk>
    <bk>
      <rc t="2" v="6172"/>
    </bk>
    <bk>
      <rc t="2" v="6173"/>
    </bk>
    <bk>
      <rc t="2" v="6174"/>
    </bk>
    <bk>
      <rc t="2" v="6175"/>
    </bk>
    <bk>
      <rc t="2" v="6176"/>
    </bk>
    <bk>
      <rc t="2" v="6177"/>
    </bk>
    <bk>
      <rc t="2" v="6178"/>
    </bk>
    <bk>
      <rc t="2" v="6179"/>
    </bk>
    <bk>
      <rc t="2" v="6180"/>
    </bk>
    <bk>
      <rc t="2" v="6181"/>
    </bk>
    <bk>
      <rc t="2" v="6182"/>
    </bk>
    <bk>
      <rc t="2" v="6183"/>
    </bk>
    <bk>
      <rc t="2" v="6184"/>
    </bk>
    <bk>
      <rc t="2" v="6185"/>
    </bk>
    <bk>
      <rc t="2" v="6186"/>
    </bk>
    <bk>
      <rc t="2" v="6187"/>
    </bk>
    <bk>
      <rc t="2" v="6188"/>
    </bk>
    <bk>
      <rc t="2" v="6189"/>
    </bk>
    <bk>
      <rc t="2" v="6190"/>
    </bk>
    <bk>
      <rc t="2" v="6191"/>
    </bk>
    <bk>
      <rc t="2" v="6192"/>
    </bk>
    <bk>
      <rc t="2" v="6193"/>
    </bk>
    <bk>
      <rc t="2" v="6194"/>
    </bk>
    <bk>
      <rc t="2" v="6195"/>
    </bk>
    <bk>
      <rc t="2" v="6196"/>
    </bk>
    <bk>
      <rc t="2" v="6197"/>
    </bk>
    <bk>
      <rc t="2" v="6198"/>
    </bk>
    <bk>
      <rc t="2" v="6199"/>
    </bk>
    <bk>
      <rc t="2" v="6200"/>
    </bk>
    <bk>
      <rc t="2" v="6201"/>
    </bk>
    <bk>
      <rc t="2" v="6202"/>
    </bk>
    <bk>
      <rc t="2" v="6203"/>
    </bk>
    <bk>
      <rc t="2" v="6204"/>
    </bk>
    <bk>
      <rc t="2" v="6205"/>
    </bk>
    <bk>
      <rc t="2" v="6206"/>
    </bk>
    <bk>
      <rc t="2" v="6207"/>
    </bk>
    <bk>
      <rc t="2" v="6208"/>
    </bk>
    <bk>
      <rc t="2" v="6209"/>
    </bk>
    <bk>
      <rc t="2" v="6210"/>
    </bk>
    <bk>
      <rc t="2" v="6211"/>
    </bk>
    <bk>
      <rc t="2" v="6212"/>
    </bk>
    <bk>
      <rc t="2" v="6213"/>
    </bk>
    <bk>
      <rc t="2" v="6214"/>
    </bk>
    <bk>
      <rc t="2" v="6215"/>
    </bk>
    <bk>
      <rc t="2" v="6216"/>
    </bk>
    <bk>
      <rc t="2" v="6217"/>
    </bk>
    <bk>
      <rc t="2" v="6218"/>
    </bk>
    <bk>
      <rc t="2" v="6219"/>
    </bk>
    <bk>
      <rc t="2" v="6220"/>
    </bk>
    <bk>
      <rc t="2" v="6221"/>
    </bk>
    <bk>
      <rc t="2" v="6222"/>
    </bk>
    <bk>
      <rc t="2" v="6223"/>
    </bk>
    <bk>
      <rc t="2" v="6224"/>
    </bk>
    <bk>
      <rc t="2" v="6225"/>
    </bk>
    <bk>
      <rc t="2" v="6226"/>
    </bk>
    <bk>
      <rc t="2" v="6227"/>
    </bk>
    <bk>
      <rc t="2" v="6228"/>
    </bk>
    <bk>
      <rc t="2" v="6229"/>
    </bk>
    <bk>
      <rc t="2" v="6230"/>
    </bk>
    <bk>
      <rc t="2" v="6231"/>
    </bk>
    <bk>
      <rc t="2" v="6232"/>
    </bk>
    <bk>
      <rc t="2" v="6233"/>
    </bk>
    <bk>
      <rc t="2" v="6234"/>
    </bk>
    <bk>
      <rc t="2" v="6235"/>
    </bk>
    <bk>
      <rc t="2" v="6236"/>
    </bk>
    <bk>
      <rc t="2" v="6237"/>
    </bk>
    <bk>
      <rc t="2" v="6238"/>
    </bk>
    <bk>
      <rc t="2" v="6239"/>
    </bk>
    <bk>
      <rc t="2" v="6240"/>
    </bk>
    <bk>
      <rc t="2" v="6241"/>
    </bk>
    <bk>
      <rc t="2" v="6242"/>
    </bk>
    <bk>
      <rc t="2" v="6243"/>
    </bk>
    <bk>
      <rc t="2" v="6244"/>
    </bk>
    <bk>
      <rc t="2" v="6245"/>
    </bk>
    <bk>
      <rc t="2" v="6246"/>
    </bk>
    <bk>
      <rc t="2" v="6247"/>
    </bk>
    <bk>
      <rc t="2" v="6248"/>
    </bk>
    <bk>
      <rc t="2" v="6249"/>
    </bk>
    <bk>
      <rc t="2" v="6250"/>
    </bk>
    <bk>
      <rc t="2" v="6251"/>
    </bk>
    <bk>
      <rc t="2" v="6252"/>
    </bk>
    <bk>
      <rc t="2" v="6253"/>
    </bk>
    <bk>
      <rc t="2" v="6254"/>
    </bk>
    <bk>
      <rc t="2" v="6255"/>
    </bk>
    <bk>
      <rc t="2" v="6256"/>
    </bk>
    <bk>
      <rc t="2" v="6257"/>
    </bk>
    <bk>
      <rc t="2" v="6258"/>
    </bk>
    <bk>
      <rc t="2" v="6259"/>
    </bk>
    <bk>
      <rc t="2" v="6260"/>
    </bk>
    <bk>
      <rc t="2" v="6261"/>
    </bk>
    <bk>
      <rc t="2" v="6262"/>
    </bk>
    <bk>
      <rc t="2" v="6263"/>
    </bk>
    <bk>
      <rc t="2" v="6264"/>
    </bk>
    <bk>
      <rc t="2" v="6265"/>
    </bk>
    <bk>
      <rc t="2" v="6266"/>
    </bk>
    <bk>
      <rc t="2" v="6267"/>
    </bk>
    <bk>
      <rc t="2" v="6268"/>
    </bk>
    <bk>
      <rc t="2" v="6269"/>
    </bk>
    <bk>
      <rc t="2" v="6270"/>
    </bk>
    <bk>
      <rc t="2" v="6271"/>
    </bk>
    <bk>
      <rc t="2" v="6272"/>
    </bk>
    <bk>
      <rc t="2" v="6273"/>
    </bk>
    <bk>
      <rc t="2" v="6274"/>
    </bk>
    <bk>
      <rc t="2" v="6275"/>
    </bk>
    <bk>
      <rc t="2" v="6276"/>
    </bk>
    <bk>
      <rc t="2" v="6277"/>
    </bk>
    <bk>
      <rc t="2" v="6278"/>
    </bk>
    <bk>
      <rc t="2" v="6279"/>
    </bk>
    <bk>
      <rc t="2" v="6280"/>
    </bk>
    <bk>
      <rc t="2" v="6281"/>
    </bk>
    <bk>
      <rc t="2" v="6282"/>
    </bk>
    <bk>
      <rc t="2" v="6283"/>
    </bk>
    <bk>
      <rc t="2" v="6284"/>
    </bk>
    <bk>
      <rc t="2" v="6285"/>
    </bk>
    <bk>
      <rc t="2" v="6286"/>
    </bk>
    <bk>
      <rc t="2" v="6287"/>
    </bk>
    <bk>
      <rc t="2" v="6288"/>
    </bk>
    <bk>
      <rc t="2" v="6289"/>
    </bk>
    <bk>
      <rc t="2" v="6290"/>
    </bk>
    <bk>
      <rc t="2" v="6291"/>
    </bk>
    <bk>
      <rc t="2" v="6292"/>
    </bk>
    <bk>
      <rc t="2" v="6293"/>
    </bk>
    <bk>
      <rc t="2" v="6294"/>
    </bk>
    <bk>
      <rc t="2" v="6295"/>
    </bk>
    <bk>
      <rc t="2" v="6296"/>
    </bk>
    <bk>
      <rc t="2" v="6297"/>
    </bk>
    <bk>
      <rc t="2" v="6298"/>
    </bk>
    <bk>
      <rc t="2" v="6299"/>
    </bk>
    <bk>
      <rc t="2" v="6300"/>
    </bk>
    <bk>
      <rc t="2" v="6301"/>
    </bk>
    <bk>
      <rc t="2" v="6302"/>
    </bk>
    <bk>
      <rc t="2" v="6303"/>
    </bk>
    <bk>
      <rc t="2" v="6304"/>
    </bk>
    <bk>
      <rc t="2" v="6305"/>
    </bk>
    <bk>
      <rc t="2" v="6306"/>
    </bk>
    <bk>
      <rc t="2" v="6307"/>
    </bk>
    <bk>
      <rc t="2" v="6308"/>
    </bk>
    <bk>
      <rc t="2" v="6309"/>
    </bk>
    <bk>
      <rc t="2" v="6310"/>
    </bk>
    <bk>
      <rc t="2" v="6311"/>
    </bk>
    <bk>
      <rc t="2" v="6312"/>
    </bk>
    <bk>
      <rc t="2" v="6313"/>
    </bk>
    <bk>
      <rc t="2" v="6314"/>
    </bk>
    <bk>
      <rc t="2" v="6315"/>
    </bk>
    <bk>
      <rc t="2" v="6316"/>
    </bk>
    <bk>
      <rc t="2" v="6317"/>
    </bk>
    <bk>
      <rc t="2" v="6318"/>
    </bk>
    <bk>
      <rc t="2" v="6319"/>
    </bk>
    <bk>
      <rc t="2" v="6320"/>
    </bk>
    <bk>
      <rc t="2" v="6321"/>
    </bk>
    <bk>
      <rc t="2" v="6322"/>
    </bk>
    <bk>
      <rc t="2" v="6323"/>
    </bk>
    <bk>
      <rc t="2" v="6324"/>
    </bk>
    <bk>
      <rc t="2" v="6325"/>
    </bk>
    <bk>
      <rc t="2" v="6326"/>
    </bk>
    <bk>
      <rc t="2" v="6327"/>
    </bk>
    <bk>
      <rc t="2" v="6328"/>
    </bk>
    <bk>
      <rc t="2" v="6329"/>
    </bk>
    <bk>
      <rc t="2" v="6330"/>
    </bk>
    <bk>
      <rc t="2" v="6331"/>
    </bk>
    <bk>
      <rc t="2" v="6332"/>
    </bk>
    <bk>
      <rc t="2" v="6333"/>
    </bk>
    <bk>
      <rc t="2" v="6334"/>
    </bk>
    <bk>
      <rc t="2" v="6335"/>
    </bk>
    <bk>
      <rc t="2" v="6336"/>
    </bk>
    <bk>
      <rc t="2" v="6337"/>
    </bk>
    <bk>
      <rc t="2" v="6338"/>
    </bk>
    <bk>
      <rc t="2" v="6339"/>
    </bk>
    <bk>
      <rc t="2" v="6340"/>
    </bk>
    <bk>
      <rc t="2" v="6341"/>
    </bk>
    <bk>
      <rc t="2" v="6342"/>
    </bk>
    <bk>
      <rc t="2" v="6343"/>
    </bk>
    <bk>
      <rc t="2" v="6344"/>
    </bk>
    <bk>
      <rc t="2" v="6345"/>
    </bk>
    <bk>
      <rc t="2" v="6346"/>
    </bk>
    <bk>
      <rc t="2" v="6347"/>
    </bk>
    <bk>
      <rc t="2" v="6348"/>
    </bk>
    <bk>
      <rc t="2" v="6349"/>
    </bk>
    <bk>
      <rc t="2" v="6350"/>
    </bk>
    <bk>
      <rc t="2" v="6351"/>
    </bk>
    <bk>
      <rc t="2" v="6352"/>
    </bk>
    <bk>
      <rc t="2" v="6353"/>
    </bk>
    <bk>
      <rc t="2" v="6354"/>
    </bk>
    <bk>
      <rc t="2" v="6355"/>
    </bk>
    <bk>
      <rc t="2" v="6356"/>
    </bk>
    <bk>
      <rc t="2" v="6357"/>
    </bk>
    <bk>
      <rc t="2" v="6358"/>
    </bk>
    <bk>
      <rc t="2" v="6359"/>
    </bk>
    <bk>
      <rc t="2" v="6360"/>
    </bk>
    <bk>
      <rc t="2" v="6361"/>
    </bk>
    <bk>
      <rc t="2" v="6362"/>
    </bk>
    <bk>
      <rc t="2" v="6363"/>
    </bk>
    <bk>
      <rc t="2" v="6364"/>
    </bk>
    <bk>
      <rc t="2" v="6365"/>
    </bk>
    <bk>
      <rc t="2" v="6366"/>
    </bk>
    <bk>
      <rc t="2" v="6367"/>
    </bk>
    <bk>
      <rc t="2" v="6368"/>
    </bk>
    <bk>
      <rc t="2" v="6369"/>
    </bk>
    <bk>
      <rc t="2" v="6370"/>
    </bk>
    <bk>
      <rc t="2" v="6371"/>
    </bk>
    <bk>
      <rc t="2" v="6372"/>
    </bk>
    <bk>
      <rc t="2" v="6373"/>
    </bk>
    <bk>
      <rc t="2" v="6374"/>
    </bk>
    <bk>
      <rc t="2" v="6375"/>
    </bk>
    <bk>
      <rc t="2" v="6376"/>
    </bk>
    <bk>
      <rc t="2" v="6377"/>
    </bk>
    <bk>
      <rc t="2" v="6378"/>
    </bk>
    <bk>
      <rc t="2" v="6379"/>
    </bk>
    <bk>
      <rc t="2" v="6380"/>
    </bk>
    <bk>
      <rc t="2" v="6381"/>
    </bk>
    <bk>
      <rc t="2" v="6382"/>
    </bk>
    <bk>
      <rc t="2" v="6383"/>
    </bk>
    <bk>
      <rc t="2" v="6384"/>
    </bk>
    <bk>
      <rc t="2" v="6385"/>
    </bk>
    <bk>
      <rc t="2" v="6386"/>
    </bk>
    <bk>
      <rc t="2" v="6387"/>
    </bk>
    <bk>
      <rc t="2" v="6388"/>
    </bk>
    <bk>
      <rc t="2" v="6389"/>
    </bk>
    <bk>
      <rc t="2" v="6390"/>
    </bk>
    <bk>
      <rc t="2" v="6391"/>
    </bk>
    <bk>
      <rc t="2" v="6392"/>
    </bk>
    <bk>
      <rc t="2" v="6393"/>
    </bk>
    <bk>
      <rc t="2" v="6394"/>
    </bk>
    <bk>
      <rc t="2" v="6395"/>
    </bk>
    <bk>
      <rc t="2" v="6396"/>
    </bk>
    <bk>
      <rc t="2" v="6397"/>
    </bk>
    <bk>
      <rc t="2" v="6398"/>
    </bk>
    <bk>
      <rc t="2" v="6399"/>
    </bk>
    <bk>
      <rc t="2" v="6400"/>
    </bk>
    <bk>
      <rc t="2" v="6401"/>
    </bk>
    <bk>
      <rc t="2" v="6402"/>
    </bk>
    <bk>
      <rc t="2" v="6403"/>
    </bk>
    <bk>
      <rc t="2" v="6404"/>
    </bk>
    <bk>
      <rc t="2" v="6405"/>
    </bk>
    <bk>
      <rc t="2" v="6406"/>
    </bk>
    <bk>
      <rc t="2" v="6407"/>
    </bk>
    <bk>
      <rc t="2" v="6408"/>
    </bk>
    <bk>
      <rc t="2" v="6409"/>
    </bk>
    <bk>
      <rc t="2" v="6410"/>
    </bk>
    <bk>
      <rc t="2" v="6411"/>
    </bk>
    <bk>
      <rc t="2" v="6412"/>
    </bk>
    <bk>
      <rc t="2" v="6413"/>
    </bk>
    <bk>
      <rc t="2" v="6414"/>
    </bk>
    <bk>
      <rc t="2" v="6415"/>
    </bk>
    <bk>
      <rc t="2" v="6416"/>
    </bk>
    <bk>
      <rc t="2" v="6417"/>
    </bk>
    <bk>
      <rc t="2" v="6418"/>
    </bk>
    <bk>
      <rc t="2" v="6419"/>
    </bk>
    <bk>
      <rc t="2" v="6420"/>
    </bk>
    <bk>
      <rc t="2" v="6421"/>
    </bk>
    <bk>
      <rc t="2" v="6422"/>
    </bk>
    <bk>
      <rc t="2" v="6423"/>
    </bk>
    <bk>
      <rc t="2" v="6424"/>
    </bk>
    <bk>
      <rc t="2" v="6425"/>
    </bk>
    <bk>
      <rc t="2" v="6426"/>
    </bk>
    <bk>
      <rc t="2" v="6427"/>
    </bk>
    <bk>
      <rc t="2" v="6428"/>
    </bk>
    <bk>
      <rc t="2" v="6429"/>
    </bk>
    <bk>
      <rc t="2" v="6430"/>
    </bk>
    <bk>
      <rc t="2" v="6431"/>
    </bk>
    <bk>
      <rc t="2" v="6432"/>
    </bk>
    <bk>
      <rc t="2" v="6433"/>
    </bk>
    <bk>
      <rc t="2" v="6434"/>
    </bk>
    <bk>
      <rc t="2" v="6435"/>
    </bk>
    <bk>
      <rc t="2" v="6436"/>
    </bk>
    <bk>
      <rc t="2" v="6437"/>
    </bk>
    <bk>
      <rc t="2" v="6438"/>
    </bk>
    <bk>
      <rc t="2" v="6439"/>
    </bk>
    <bk>
      <rc t="2" v="6440"/>
    </bk>
    <bk>
      <rc t="2" v="6441"/>
    </bk>
    <bk>
      <rc t="2" v="6442"/>
    </bk>
    <bk>
      <rc t="2" v="6443"/>
    </bk>
    <bk>
      <rc t="2" v="6444"/>
    </bk>
    <bk>
      <rc t="2" v="6445"/>
    </bk>
    <bk>
      <rc t="2" v="6446"/>
    </bk>
    <bk>
      <rc t="2" v="6447"/>
    </bk>
    <bk>
      <rc t="2" v="6448"/>
    </bk>
    <bk>
      <rc t="2" v="6449"/>
    </bk>
    <bk>
      <rc t="2" v="6450"/>
    </bk>
    <bk>
      <rc t="2" v="6451"/>
    </bk>
    <bk>
      <rc t="2" v="6452"/>
    </bk>
    <bk>
      <rc t="2" v="6453"/>
    </bk>
    <bk>
      <rc t="2" v="6454"/>
    </bk>
    <bk>
      <rc t="2" v="6455"/>
    </bk>
    <bk>
      <rc t="2" v="6456"/>
    </bk>
    <bk>
      <rc t="2" v="6457"/>
    </bk>
    <bk>
      <rc t="2" v="6458"/>
    </bk>
    <bk>
      <rc t="2" v="6459"/>
    </bk>
    <bk>
      <rc t="2" v="6460"/>
    </bk>
    <bk>
      <rc t="2" v="6461"/>
    </bk>
    <bk>
      <rc t="2" v="6462"/>
    </bk>
    <bk>
      <rc t="2" v="6463"/>
    </bk>
    <bk>
      <rc t="2" v="6464"/>
    </bk>
    <bk>
      <rc t="2" v="6465"/>
    </bk>
    <bk>
      <rc t="2" v="6466"/>
    </bk>
    <bk>
      <rc t="2" v="6467"/>
    </bk>
    <bk>
      <rc t="2" v="6468"/>
    </bk>
    <bk>
      <rc t="2" v="6469"/>
    </bk>
    <bk>
      <rc t="2" v="6470"/>
    </bk>
    <bk>
      <rc t="2" v="6471"/>
    </bk>
    <bk>
      <rc t="2" v="6472"/>
    </bk>
    <bk>
      <rc t="2" v="6473"/>
    </bk>
    <bk>
      <rc t="2" v="6474"/>
    </bk>
    <bk>
      <rc t="2" v="6475"/>
    </bk>
    <bk>
      <rc t="2" v="6476"/>
    </bk>
    <bk>
      <rc t="2" v="6477"/>
    </bk>
    <bk>
      <rc t="2" v="6478"/>
    </bk>
    <bk>
      <rc t="2" v="6479"/>
    </bk>
    <bk>
      <rc t="2" v="6480"/>
    </bk>
    <bk>
      <rc t="2" v="6481"/>
    </bk>
    <bk>
      <rc t="2" v="6482"/>
    </bk>
    <bk>
      <rc t="2" v="6483"/>
    </bk>
    <bk>
      <rc t="2" v="6484"/>
    </bk>
    <bk>
      <rc t="2" v="6485"/>
    </bk>
    <bk>
      <rc t="2" v="6486"/>
    </bk>
    <bk>
      <rc t="2" v="6487"/>
    </bk>
    <bk>
      <rc t="2" v="6488"/>
    </bk>
    <bk>
      <rc t="2" v="6489"/>
    </bk>
    <bk>
      <rc t="2" v="6490"/>
    </bk>
    <bk>
      <rc t="2" v="6491"/>
    </bk>
    <bk>
      <rc t="2" v="6492"/>
    </bk>
    <bk>
      <rc t="2" v="6493"/>
    </bk>
    <bk>
      <rc t="2" v="6494"/>
    </bk>
    <bk>
      <rc t="2" v="6495"/>
    </bk>
    <bk>
      <rc t="2" v="6496"/>
    </bk>
    <bk>
      <rc t="2" v="6497"/>
    </bk>
    <bk>
      <rc t="2" v="6498"/>
    </bk>
    <bk>
      <rc t="2" v="6499"/>
    </bk>
    <bk>
      <rc t="2" v="6500"/>
    </bk>
    <bk>
      <rc t="2" v="6501"/>
    </bk>
    <bk>
      <rc t="2" v="6502"/>
    </bk>
    <bk>
      <rc t="2" v="6503"/>
    </bk>
    <bk>
      <rc t="2" v="6504"/>
    </bk>
    <bk>
      <rc t="2" v="6505"/>
    </bk>
    <bk>
      <rc t="2" v="6506"/>
    </bk>
    <bk>
      <rc t="2" v="6507"/>
    </bk>
    <bk>
      <rc t="2" v="6508"/>
    </bk>
    <bk>
      <rc t="2" v="6509"/>
    </bk>
    <bk>
      <rc t="2" v="6510"/>
    </bk>
    <bk>
      <rc t="2" v="6511"/>
    </bk>
    <bk>
      <rc t="2" v="6512"/>
    </bk>
    <bk>
      <rc t="2" v="6513"/>
    </bk>
    <bk>
      <rc t="2" v="6514"/>
    </bk>
    <bk>
      <rc t="2" v="6515"/>
    </bk>
    <bk>
      <rc t="2" v="6516"/>
    </bk>
    <bk>
      <rc t="2" v="6517"/>
    </bk>
    <bk>
      <rc t="2" v="6518"/>
    </bk>
    <bk>
      <rc t="2" v="6519"/>
    </bk>
    <bk>
      <rc t="2" v="6520"/>
    </bk>
    <bk>
      <rc t="2" v="6521"/>
    </bk>
    <bk>
      <rc t="2" v="6522"/>
    </bk>
    <bk>
      <rc t="2" v="6523"/>
    </bk>
    <bk>
      <rc t="2" v="6524"/>
    </bk>
    <bk>
      <rc t="2" v="6525"/>
    </bk>
    <bk>
      <rc t="2" v="6526"/>
    </bk>
    <bk>
      <rc t="2" v="6527"/>
    </bk>
    <bk>
      <rc t="2" v="6528"/>
    </bk>
    <bk>
      <rc t="2" v="6529"/>
    </bk>
    <bk>
      <rc t="2" v="6530"/>
    </bk>
    <bk>
      <rc t="2" v="6531"/>
    </bk>
    <bk>
      <rc t="2" v="6532"/>
    </bk>
    <bk>
      <rc t="2" v="6533"/>
    </bk>
    <bk>
      <rc t="2" v="6534"/>
    </bk>
    <bk>
      <rc t="2" v="6535"/>
    </bk>
    <bk>
      <rc t="2" v="6536"/>
    </bk>
    <bk>
      <rc t="2" v="6537"/>
    </bk>
    <bk>
      <rc t="2" v="6538"/>
    </bk>
    <bk>
      <rc t="2" v="6539"/>
    </bk>
    <bk>
      <rc t="2" v="6540"/>
    </bk>
    <bk>
      <rc t="2" v="6541"/>
    </bk>
    <bk>
      <rc t="2" v="6542"/>
    </bk>
    <bk>
      <rc t="2" v="6543"/>
    </bk>
    <bk>
      <rc t="2" v="6544"/>
    </bk>
    <bk>
      <rc t="2" v="6545"/>
    </bk>
    <bk>
      <rc t="2" v="6546"/>
    </bk>
    <bk>
      <rc t="2" v="6547"/>
    </bk>
    <bk>
      <rc t="2" v="6548"/>
    </bk>
    <bk>
      <rc t="2" v="6549"/>
    </bk>
    <bk>
      <rc t="2" v="6550"/>
    </bk>
    <bk>
      <rc t="2" v="6551"/>
    </bk>
    <bk>
      <rc t="2" v="6552"/>
    </bk>
    <bk>
      <rc t="2" v="6553"/>
    </bk>
    <bk>
      <rc t="2" v="6554"/>
    </bk>
    <bk>
      <rc t="2" v="6555"/>
    </bk>
    <bk>
      <rc t="2" v="6556"/>
    </bk>
    <bk>
      <rc t="2" v="6557"/>
    </bk>
    <bk>
      <rc t="2" v="6558"/>
    </bk>
    <bk>
      <rc t="2" v="6559"/>
    </bk>
    <bk>
      <rc t="2" v="6560"/>
    </bk>
    <bk>
      <rc t="2" v="6561"/>
    </bk>
    <bk>
      <rc t="2" v="6562"/>
    </bk>
    <bk>
      <rc t="2" v="6563"/>
    </bk>
    <bk>
      <rc t="2" v="6564"/>
    </bk>
    <bk>
      <rc t="2" v="6565"/>
    </bk>
    <bk>
      <rc t="2" v="6566"/>
    </bk>
    <bk>
      <rc t="2" v="6567"/>
    </bk>
    <bk>
      <rc t="2" v="6568"/>
    </bk>
    <bk>
      <rc t="2" v="6569"/>
    </bk>
    <bk>
      <rc t="2" v="6570"/>
    </bk>
    <bk>
      <rc t="2" v="6571"/>
    </bk>
    <bk>
      <rc t="2" v="6572"/>
    </bk>
    <bk>
      <rc t="2" v="6573"/>
    </bk>
    <bk>
      <rc t="2" v="6574"/>
    </bk>
    <bk>
      <rc t="2" v="6575"/>
    </bk>
    <bk>
      <rc t="2" v="6576"/>
    </bk>
    <bk>
      <rc t="2" v="6577"/>
    </bk>
    <bk>
      <rc t="2" v="6578"/>
    </bk>
    <bk>
      <rc t="2" v="6579"/>
    </bk>
    <bk>
      <rc t="2" v="6580"/>
    </bk>
    <bk>
      <rc t="2" v="6581"/>
    </bk>
    <bk>
      <rc t="2" v="6582"/>
    </bk>
    <bk>
      <rc t="2" v="6583"/>
    </bk>
    <bk>
      <rc t="2" v="6584"/>
    </bk>
    <bk>
      <rc t="2" v="6585"/>
    </bk>
    <bk>
      <rc t="2" v="6586"/>
    </bk>
    <bk>
      <rc t="2" v="6587"/>
    </bk>
    <bk>
      <rc t="2" v="6588"/>
    </bk>
    <bk>
      <rc t="2" v="6589"/>
    </bk>
    <bk>
      <rc t="2" v="6590"/>
    </bk>
    <bk>
      <rc t="2" v="6591"/>
    </bk>
    <bk>
      <rc t="2" v="6592"/>
    </bk>
    <bk>
      <rc t="2" v="6593"/>
    </bk>
    <bk>
      <rc t="2" v="6594"/>
    </bk>
    <bk>
      <rc t="2" v="6595"/>
    </bk>
    <bk>
      <rc t="2" v="6596"/>
    </bk>
    <bk>
      <rc t="2" v="6597"/>
    </bk>
    <bk>
      <rc t="2" v="6598"/>
    </bk>
    <bk>
      <rc t="2" v="6599"/>
    </bk>
    <bk>
      <rc t="2" v="6600"/>
    </bk>
    <bk>
      <rc t="2" v="6601"/>
    </bk>
    <bk>
      <rc t="2" v="6602"/>
    </bk>
    <bk>
      <rc t="2" v="6603"/>
    </bk>
    <bk>
      <rc t="2" v="6604"/>
    </bk>
    <bk>
      <rc t="2" v="6605"/>
    </bk>
    <bk>
      <rc t="2" v="6606"/>
    </bk>
    <bk>
      <rc t="2" v="6607"/>
    </bk>
    <bk>
      <rc t="2" v="6608"/>
    </bk>
    <bk>
      <rc t="2" v="6609"/>
    </bk>
    <bk>
      <rc t="2" v="6610"/>
    </bk>
    <bk>
      <rc t="2" v="6611"/>
    </bk>
    <bk>
      <rc t="2" v="6612"/>
    </bk>
    <bk>
      <rc t="2" v="6613"/>
    </bk>
    <bk>
      <rc t="2" v="6614"/>
    </bk>
    <bk>
      <rc t="2" v="6615"/>
    </bk>
    <bk>
      <rc t="2" v="6616"/>
    </bk>
    <bk>
      <rc t="2" v="6617"/>
    </bk>
    <bk>
      <rc t="2" v="6618"/>
    </bk>
    <bk>
      <rc t="2" v="6619"/>
    </bk>
    <bk>
      <rc t="2" v="6620"/>
    </bk>
    <bk>
      <rc t="2" v="6621"/>
    </bk>
    <bk>
      <rc t="2" v="6622"/>
    </bk>
    <bk>
      <rc t="2" v="6623"/>
    </bk>
    <bk>
      <rc t="2" v="6624"/>
    </bk>
    <bk>
      <rc t="2" v="6625"/>
    </bk>
    <bk>
      <rc t="2" v="6626"/>
    </bk>
    <bk>
      <rc t="2" v="6627"/>
    </bk>
    <bk>
      <rc t="2" v="6628"/>
    </bk>
    <bk>
      <rc t="2" v="6629"/>
    </bk>
    <bk>
      <rc t="2" v="6630"/>
    </bk>
    <bk>
      <rc t="2" v="6631"/>
    </bk>
    <bk>
      <rc t="2" v="6632"/>
    </bk>
    <bk>
      <rc t="2" v="6633"/>
    </bk>
    <bk>
      <rc t="2" v="6634"/>
    </bk>
    <bk>
      <rc t="2" v="6635"/>
    </bk>
    <bk>
      <rc t="2" v="6636"/>
    </bk>
    <bk>
      <rc t="2" v="6637"/>
    </bk>
    <bk>
      <rc t="2" v="6638"/>
    </bk>
    <bk>
      <rc t="2" v="6639"/>
    </bk>
    <bk>
      <rc t="2" v="6640"/>
    </bk>
    <bk>
      <rc t="2" v="6641"/>
    </bk>
    <bk>
      <rc t="2" v="6642"/>
    </bk>
    <bk>
      <rc t="2" v="6643"/>
    </bk>
    <bk>
      <rc t="2" v="6644"/>
    </bk>
    <bk>
      <rc t="2" v="6645"/>
    </bk>
    <bk>
      <rc t="2" v="6646"/>
    </bk>
    <bk>
      <rc t="2" v="6647"/>
    </bk>
    <bk>
      <rc t="2" v="6648"/>
    </bk>
    <bk>
      <rc t="2" v="6649"/>
    </bk>
    <bk>
      <rc t="2" v="6650"/>
    </bk>
    <bk>
      <rc t="2" v="6651"/>
    </bk>
    <bk>
      <rc t="2" v="6652"/>
    </bk>
    <bk>
      <rc t="2" v="6653"/>
    </bk>
    <bk>
      <rc t="2" v="6654"/>
    </bk>
    <bk>
      <rc t="2" v="6655"/>
    </bk>
    <bk>
      <rc t="2" v="6656"/>
    </bk>
    <bk>
      <rc t="2" v="6657"/>
    </bk>
    <bk>
      <rc t="2" v="6658"/>
    </bk>
    <bk>
      <rc t="2" v="6659"/>
    </bk>
    <bk>
      <rc t="2" v="6660"/>
    </bk>
    <bk>
      <rc t="2" v="6661"/>
    </bk>
    <bk>
      <rc t="2" v="6662"/>
    </bk>
    <bk>
      <rc t="2" v="6663"/>
    </bk>
    <bk>
      <rc t="2" v="6664"/>
    </bk>
    <bk>
      <rc t="2" v="6665"/>
    </bk>
    <bk>
      <rc t="2" v="6666"/>
    </bk>
    <bk>
      <rc t="2" v="6667"/>
    </bk>
    <bk>
      <rc t="2" v="6668"/>
    </bk>
    <bk>
      <rc t="2" v="6669"/>
    </bk>
    <bk>
      <rc t="2" v="6670"/>
    </bk>
    <bk>
      <rc t="2" v="6671"/>
    </bk>
    <bk>
      <rc t="2" v="6672"/>
    </bk>
    <bk>
      <rc t="2" v="6673"/>
    </bk>
    <bk>
      <rc t="2" v="6674"/>
    </bk>
    <bk>
      <rc t="2" v="6675"/>
    </bk>
    <bk>
      <rc t="2" v="6676"/>
    </bk>
    <bk>
      <rc t="2" v="6677"/>
    </bk>
    <bk>
      <rc t="2" v="6678"/>
    </bk>
    <bk>
      <rc t="2" v="6679"/>
    </bk>
    <bk>
      <rc t="2" v="6680"/>
    </bk>
    <bk>
      <rc t="2" v="6681"/>
    </bk>
    <bk>
      <rc t="2" v="6682"/>
    </bk>
    <bk>
      <rc t="2" v="6683"/>
    </bk>
    <bk>
      <rc t="2" v="6684"/>
    </bk>
    <bk>
      <rc t="2" v="6685"/>
    </bk>
    <bk>
      <rc t="2" v="6686"/>
    </bk>
    <bk>
      <rc t="2" v="6687"/>
    </bk>
    <bk>
      <rc t="2" v="6688"/>
    </bk>
    <bk>
      <rc t="2" v="6689"/>
    </bk>
    <bk>
      <rc t="2" v="6690"/>
    </bk>
    <bk>
      <rc t="2" v="6691"/>
    </bk>
    <bk>
      <rc t="2" v="6692"/>
    </bk>
    <bk>
      <rc t="2" v="6693"/>
    </bk>
    <bk>
      <rc t="2" v="6694"/>
    </bk>
    <bk>
      <rc t="2" v="6695"/>
    </bk>
    <bk>
      <rc t="2" v="6696"/>
    </bk>
    <bk>
      <rc t="2" v="6697"/>
    </bk>
    <bk>
      <rc t="2" v="6698"/>
    </bk>
    <bk>
      <rc t="2" v="6699"/>
    </bk>
    <bk>
      <rc t="2" v="6700"/>
    </bk>
    <bk>
      <rc t="2" v="6701"/>
    </bk>
    <bk>
      <rc t="2" v="6702"/>
    </bk>
    <bk>
      <rc t="2" v="6703"/>
    </bk>
    <bk>
      <rc t="2" v="6704"/>
    </bk>
    <bk>
      <rc t="2" v="6705"/>
    </bk>
    <bk>
      <rc t="2" v="6706"/>
    </bk>
    <bk>
      <rc t="2" v="6707"/>
    </bk>
    <bk>
      <rc t="2" v="6708"/>
    </bk>
    <bk>
      <rc t="2" v="6709"/>
    </bk>
    <bk>
      <rc t="2" v="6710"/>
    </bk>
    <bk>
      <rc t="2" v="6711"/>
    </bk>
    <bk>
      <rc t="2" v="6712"/>
    </bk>
    <bk>
      <rc t="2" v="6713"/>
    </bk>
    <bk>
      <rc t="2" v="6714"/>
    </bk>
    <bk>
      <rc t="2" v="6715"/>
    </bk>
    <bk>
      <rc t="2" v="6716"/>
    </bk>
    <bk>
      <rc t="2" v="6717"/>
    </bk>
    <bk>
      <rc t="2" v="6718"/>
    </bk>
    <bk>
      <rc t="2" v="6719"/>
    </bk>
    <bk>
      <rc t="2" v="6720"/>
    </bk>
    <bk>
      <rc t="2" v="6721"/>
    </bk>
    <bk>
      <rc t="2" v="6722"/>
    </bk>
    <bk>
      <rc t="2" v="6723"/>
    </bk>
    <bk>
      <rc t="2" v="6724"/>
    </bk>
    <bk>
      <rc t="2" v="6725"/>
    </bk>
    <bk>
      <rc t="2" v="6726"/>
    </bk>
    <bk>
      <rc t="2" v="6727"/>
    </bk>
    <bk>
      <rc t="2" v="6728"/>
    </bk>
    <bk>
      <rc t="2" v="6729"/>
    </bk>
    <bk>
      <rc t="2" v="6730"/>
    </bk>
    <bk>
      <rc t="2" v="6731"/>
    </bk>
    <bk>
      <rc t="2" v="6732"/>
    </bk>
    <bk>
      <rc t="2" v="6733"/>
    </bk>
    <bk>
      <rc t="2" v="6734"/>
    </bk>
    <bk>
      <rc t="2" v="6735"/>
    </bk>
    <bk>
      <rc t="2" v="6736"/>
    </bk>
    <bk>
      <rc t="2" v="6737"/>
    </bk>
    <bk>
      <rc t="2" v="6738"/>
    </bk>
    <bk>
      <rc t="2" v="6739"/>
    </bk>
    <bk>
      <rc t="2" v="6740"/>
    </bk>
    <bk>
      <rc t="2" v="6741"/>
    </bk>
    <bk>
      <rc t="2" v="6742"/>
    </bk>
    <bk>
      <rc t="2" v="6743"/>
    </bk>
    <bk>
      <rc t="2" v="6744"/>
    </bk>
    <bk>
      <rc t="2" v="6745"/>
    </bk>
    <bk>
      <rc t="2" v="6746"/>
    </bk>
    <bk>
      <rc t="2" v="6747"/>
    </bk>
    <bk>
      <rc t="2" v="6748"/>
    </bk>
    <bk>
      <rc t="2" v="6749"/>
    </bk>
    <bk>
      <rc t="2" v="6750"/>
    </bk>
    <bk>
      <rc t="2" v="6751"/>
    </bk>
    <bk>
      <rc t="2" v="6752"/>
    </bk>
    <bk>
      <rc t="2" v="6753"/>
    </bk>
    <bk>
      <rc t="2" v="6754"/>
    </bk>
    <bk>
      <rc t="2" v="6755"/>
    </bk>
    <bk>
      <rc t="2" v="6756"/>
    </bk>
    <bk>
      <rc t="2" v="6757"/>
    </bk>
    <bk>
      <rc t="2" v="6758"/>
    </bk>
    <bk>
      <rc t="2" v="6759"/>
    </bk>
    <bk>
      <rc t="2" v="6760"/>
    </bk>
    <bk>
      <rc t="2" v="6761"/>
    </bk>
    <bk>
      <rc t="2" v="6762"/>
    </bk>
    <bk>
      <rc t="2" v="6763"/>
    </bk>
    <bk>
      <rc t="2" v="6764"/>
    </bk>
    <bk>
      <rc t="2" v="6765"/>
    </bk>
    <bk>
      <rc t="2" v="6766"/>
    </bk>
    <bk>
      <rc t="2" v="6767"/>
    </bk>
    <bk>
      <rc t="2" v="6768"/>
    </bk>
    <bk>
      <rc t="2" v="6769"/>
    </bk>
    <bk>
      <rc t="2" v="6770"/>
    </bk>
    <bk>
      <rc t="2" v="6771"/>
    </bk>
    <bk>
      <rc t="2" v="6772"/>
    </bk>
    <bk>
      <rc t="2" v="6773"/>
    </bk>
    <bk>
      <rc t="2" v="6774"/>
    </bk>
    <bk>
      <rc t="2" v="6775"/>
    </bk>
    <bk>
      <rc t="2" v="6776"/>
    </bk>
    <bk>
      <rc t="2" v="6777"/>
    </bk>
    <bk>
      <rc t="2" v="6778"/>
    </bk>
    <bk>
      <rc t="2" v="6779"/>
    </bk>
    <bk>
      <rc t="2" v="6780"/>
    </bk>
    <bk>
      <rc t="2" v="6781"/>
    </bk>
    <bk>
      <rc t="2" v="6782"/>
    </bk>
    <bk>
      <rc t="2" v="6783"/>
    </bk>
    <bk>
      <rc t="2" v="6784"/>
    </bk>
    <bk>
      <rc t="2" v="6785"/>
    </bk>
    <bk>
      <rc t="2" v="6786"/>
    </bk>
    <bk>
      <rc t="2" v="6787"/>
    </bk>
    <bk>
      <rc t="2" v="6788"/>
    </bk>
    <bk>
      <rc t="2" v="6789"/>
    </bk>
    <bk>
      <rc t="2" v="6790"/>
    </bk>
    <bk>
      <rc t="2" v="6791"/>
    </bk>
    <bk>
      <rc t="2" v="6792"/>
    </bk>
    <bk>
      <rc t="2" v="6793"/>
    </bk>
    <bk>
      <rc t="2" v="6794"/>
    </bk>
    <bk>
      <rc t="2" v="6795"/>
    </bk>
    <bk>
      <rc t="2" v="6796"/>
    </bk>
    <bk>
      <rc t="2" v="6797"/>
    </bk>
    <bk>
      <rc t="2" v="6798"/>
    </bk>
    <bk>
      <rc t="2" v="6799"/>
    </bk>
    <bk>
      <rc t="2" v="6800"/>
    </bk>
    <bk>
      <rc t="2" v="6801"/>
    </bk>
    <bk>
      <rc t="2" v="6802"/>
    </bk>
    <bk>
      <rc t="2" v="6803"/>
    </bk>
    <bk>
      <rc t="2" v="6804"/>
    </bk>
    <bk>
      <rc t="2" v="6805"/>
    </bk>
    <bk>
      <rc t="2" v="6806"/>
    </bk>
    <bk>
      <rc t="2" v="6807"/>
    </bk>
    <bk>
      <rc t="2" v="6808"/>
    </bk>
    <bk>
      <rc t="2" v="6809"/>
    </bk>
    <bk>
      <rc t="2" v="6810"/>
    </bk>
    <bk>
      <rc t="2" v="6811"/>
    </bk>
    <bk>
      <rc t="2" v="6812"/>
    </bk>
    <bk>
      <rc t="2" v="6813"/>
    </bk>
    <bk>
      <rc t="2" v="6814"/>
    </bk>
    <bk>
      <rc t="2" v="6815"/>
    </bk>
    <bk>
      <rc t="2" v="6816"/>
    </bk>
    <bk>
      <rc t="2" v="6817"/>
    </bk>
    <bk>
      <rc t="2" v="6818"/>
    </bk>
    <bk>
      <rc t="2" v="6819"/>
    </bk>
    <bk>
      <rc t="2" v="6820"/>
    </bk>
    <bk>
      <rc t="2" v="6821"/>
    </bk>
    <bk>
      <rc t="2" v="6822"/>
    </bk>
    <bk>
      <rc t="2" v="6823"/>
    </bk>
    <bk>
      <rc t="2" v="6824"/>
    </bk>
    <bk>
      <rc t="2" v="6825"/>
    </bk>
    <bk>
      <rc t="2" v="6826"/>
    </bk>
    <bk>
      <rc t="2" v="6827"/>
    </bk>
    <bk>
      <rc t="2" v="6828"/>
    </bk>
    <bk>
      <rc t="2" v="6829"/>
    </bk>
    <bk>
      <rc t="2" v="6830"/>
    </bk>
    <bk>
      <rc t="2" v="6831"/>
    </bk>
    <bk>
      <rc t="2" v="6832"/>
    </bk>
    <bk>
      <rc t="2" v="6833"/>
    </bk>
    <bk>
      <rc t="2" v="6834"/>
    </bk>
    <bk>
      <rc t="2" v="6835"/>
    </bk>
    <bk>
      <rc t="2" v="6836"/>
    </bk>
    <bk>
      <rc t="2" v="6837"/>
    </bk>
    <bk>
      <rc t="2" v="6838"/>
    </bk>
    <bk>
      <rc t="2" v="6839"/>
    </bk>
    <bk>
      <rc t="2" v="6840"/>
    </bk>
    <bk>
      <rc t="2" v="6841"/>
    </bk>
    <bk>
      <rc t="2" v="6842"/>
    </bk>
    <bk>
      <rc t="2" v="6843"/>
    </bk>
    <bk>
      <rc t="2" v="6844"/>
    </bk>
    <bk>
      <rc t="2" v="6845"/>
    </bk>
    <bk>
      <rc t="2" v="6846"/>
    </bk>
    <bk>
      <rc t="2" v="6847"/>
    </bk>
    <bk>
      <rc t="2" v="6848"/>
    </bk>
    <bk>
      <rc t="2" v="6849"/>
    </bk>
    <bk>
      <rc t="2" v="6850"/>
    </bk>
    <bk>
      <rc t="2" v="6851"/>
    </bk>
    <bk>
      <rc t="2" v="6852"/>
    </bk>
    <bk>
      <rc t="2" v="6853"/>
    </bk>
    <bk>
      <rc t="2" v="6854"/>
    </bk>
    <bk>
      <rc t="2" v="6855"/>
    </bk>
    <bk>
      <rc t="2" v="6856"/>
    </bk>
    <bk>
      <rc t="2" v="6857"/>
    </bk>
    <bk>
      <rc t="2" v="6858"/>
    </bk>
    <bk>
      <rc t="2" v="6859"/>
    </bk>
    <bk>
      <rc t="2" v="6860"/>
    </bk>
    <bk>
      <rc t="2" v="6861"/>
    </bk>
    <bk>
      <rc t="2" v="6862"/>
    </bk>
    <bk>
      <rc t="2" v="6863"/>
    </bk>
    <bk>
      <rc t="2" v="6864"/>
    </bk>
    <bk>
      <rc t="2" v="6865"/>
    </bk>
    <bk>
      <rc t="2" v="6866"/>
    </bk>
    <bk>
      <rc t="2" v="6867"/>
    </bk>
    <bk>
      <rc t="2" v="6868"/>
    </bk>
    <bk>
      <rc t="2" v="6869"/>
    </bk>
    <bk>
      <rc t="2" v="6870"/>
    </bk>
    <bk>
      <rc t="2" v="6871"/>
    </bk>
    <bk>
      <rc t="2" v="6872"/>
    </bk>
    <bk>
      <rc t="2" v="6873"/>
    </bk>
    <bk>
      <rc t="2" v="6874"/>
    </bk>
    <bk>
      <rc t="2" v="6875"/>
    </bk>
    <bk>
      <rc t="2" v="6876"/>
    </bk>
    <bk>
      <rc t="2" v="6877"/>
    </bk>
    <bk>
      <rc t="2" v="6878"/>
    </bk>
    <bk>
      <rc t="2" v="6879"/>
    </bk>
    <bk>
      <rc t="2" v="6880"/>
    </bk>
    <bk>
      <rc t="2" v="6881"/>
    </bk>
    <bk>
      <rc t="2" v="6882"/>
    </bk>
    <bk>
      <rc t="2" v="6883"/>
    </bk>
    <bk>
      <rc t="2" v="6884"/>
    </bk>
    <bk>
      <rc t="2" v="6885"/>
    </bk>
    <bk>
      <rc t="2" v="6886"/>
    </bk>
    <bk>
      <rc t="2" v="6887"/>
    </bk>
    <bk>
      <rc t="2" v="6888"/>
    </bk>
    <bk>
      <rc t="2" v="6889"/>
    </bk>
    <bk>
      <rc t="2" v="6890"/>
    </bk>
    <bk>
      <rc t="2" v="6891"/>
    </bk>
    <bk>
      <rc t="2" v="6892"/>
    </bk>
    <bk>
      <rc t="2" v="6893"/>
    </bk>
    <bk>
      <rc t="2" v="6894"/>
    </bk>
    <bk>
      <rc t="2" v="6895"/>
    </bk>
    <bk>
      <rc t="2" v="6896"/>
    </bk>
    <bk>
      <rc t="2" v="6897"/>
    </bk>
    <bk>
      <rc t="2" v="6898"/>
    </bk>
    <bk>
      <rc t="2" v="6899"/>
    </bk>
    <bk>
      <rc t="2" v="6900"/>
    </bk>
    <bk>
      <rc t="2" v="6901"/>
    </bk>
    <bk>
      <rc t="2" v="6902"/>
    </bk>
    <bk>
      <rc t="2" v="6903"/>
    </bk>
    <bk>
      <rc t="2" v="6904"/>
    </bk>
    <bk>
      <rc t="2" v="6905"/>
    </bk>
    <bk>
      <rc t="2" v="6906"/>
    </bk>
    <bk>
      <rc t="2" v="6907"/>
    </bk>
    <bk>
      <rc t="2" v="6908"/>
    </bk>
    <bk>
      <rc t="2" v="6909"/>
    </bk>
    <bk>
      <rc t="2" v="6910"/>
    </bk>
    <bk>
      <rc t="2" v="6911"/>
    </bk>
    <bk>
      <rc t="2" v="6912"/>
    </bk>
    <bk>
      <rc t="2" v="6913"/>
    </bk>
    <bk>
      <rc t="2" v="6914"/>
    </bk>
    <bk>
      <rc t="2" v="6915"/>
    </bk>
    <bk>
      <rc t="2" v="6916"/>
    </bk>
    <bk>
      <rc t="2" v="6917"/>
    </bk>
    <bk>
      <rc t="2" v="6918"/>
    </bk>
    <bk>
      <rc t="2" v="6919"/>
    </bk>
    <bk>
      <rc t="2" v="6920"/>
    </bk>
    <bk>
      <rc t="2" v="6921"/>
    </bk>
    <bk>
      <rc t="2" v="6922"/>
    </bk>
    <bk>
      <rc t="2" v="6923"/>
    </bk>
    <bk>
      <rc t="2" v="6924"/>
    </bk>
    <bk>
      <rc t="2" v="6925"/>
    </bk>
    <bk>
      <rc t="2" v="6926"/>
    </bk>
    <bk>
      <rc t="2" v="6927"/>
    </bk>
    <bk>
      <rc t="2" v="6928"/>
    </bk>
    <bk>
      <rc t="2" v="6929"/>
    </bk>
    <bk>
      <rc t="2" v="6930"/>
    </bk>
    <bk>
      <rc t="2" v="6931"/>
    </bk>
    <bk>
      <rc t="2" v="6932"/>
    </bk>
    <bk>
      <rc t="2" v="6933"/>
    </bk>
    <bk>
      <rc t="2" v="6934"/>
    </bk>
    <bk>
      <rc t="2" v="6935"/>
    </bk>
    <bk>
      <rc t="2" v="6936"/>
    </bk>
    <bk>
      <rc t="2" v="6937"/>
    </bk>
    <bk>
      <rc t="2" v="6938"/>
    </bk>
    <bk>
      <rc t="2" v="6939"/>
    </bk>
    <bk>
      <rc t="2" v="6940"/>
    </bk>
    <bk>
      <rc t="2" v="6941"/>
    </bk>
    <bk>
      <rc t="2" v="6942"/>
    </bk>
    <bk>
      <rc t="2" v="6943"/>
    </bk>
    <bk>
      <rc t="2" v="6944"/>
    </bk>
    <bk>
      <rc t="2" v="6945"/>
    </bk>
    <bk>
      <rc t="2" v="6946"/>
    </bk>
    <bk>
      <rc t="2" v="6947"/>
    </bk>
    <bk>
      <rc t="2" v="6948"/>
    </bk>
    <bk>
      <rc t="2" v="6949"/>
    </bk>
    <bk>
      <rc t="2" v="6950"/>
    </bk>
    <bk>
      <rc t="2" v="6951"/>
    </bk>
    <bk>
      <rc t="2" v="6952"/>
    </bk>
    <bk>
      <rc t="2" v="6953"/>
    </bk>
    <bk>
      <rc t="2" v="6954"/>
    </bk>
    <bk>
      <rc t="2" v="6955"/>
    </bk>
    <bk>
      <rc t="2" v="6956"/>
    </bk>
    <bk>
      <rc t="2" v="6957"/>
    </bk>
    <bk>
      <rc t="2" v="6958"/>
    </bk>
    <bk>
      <rc t="2" v="6959"/>
    </bk>
    <bk>
      <rc t="2" v="6960"/>
    </bk>
    <bk>
      <rc t="2" v="6961"/>
    </bk>
    <bk>
      <rc t="2" v="6962"/>
    </bk>
    <bk>
      <rc t="2" v="6963"/>
    </bk>
    <bk>
      <rc t="2" v="6964"/>
    </bk>
    <bk>
      <rc t="2" v="6965"/>
    </bk>
    <bk>
      <rc t="2" v="6966"/>
    </bk>
    <bk>
      <rc t="2" v="6967"/>
    </bk>
    <bk>
      <rc t="2" v="6968"/>
    </bk>
    <bk>
      <rc t="2" v="6969"/>
    </bk>
    <bk>
      <rc t="2" v="6970"/>
    </bk>
    <bk>
      <rc t="2" v="6971"/>
    </bk>
    <bk>
      <rc t="2" v="6972"/>
    </bk>
    <bk>
      <rc t="2" v="6973"/>
    </bk>
    <bk>
      <rc t="2" v="6974"/>
    </bk>
    <bk>
      <rc t="2" v="6975"/>
    </bk>
    <bk>
      <rc t="2" v="6976"/>
    </bk>
    <bk>
      <rc t="2" v="6977"/>
    </bk>
    <bk>
      <rc t="2" v="6978"/>
    </bk>
    <bk>
      <rc t="2" v="6979"/>
    </bk>
    <bk>
      <rc t="2" v="6980"/>
    </bk>
    <bk>
      <rc t="2" v="6981"/>
    </bk>
    <bk>
      <rc t="2" v="6982"/>
    </bk>
    <bk>
      <rc t="2" v="6983"/>
    </bk>
    <bk>
      <rc t="2" v="6984"/>
    </bk>
    <bk>
      <rc t="2" v="6985"/>
    </bk>
    <bk>
      <rc t="2" v="6986"/>
    </bk>
    <bk>
      <rc t="2" v="6987"/>
    </bk>
    <bk>
      <rc t="2" v="6988"/>
    </bk>
    <bk>
      <rc t="2" v="6989"/>
    </bk>
    <bk>
      <rc t="2" v="6990"/>
    </bk>
    <bk>
      <rc t="2" v="6991"/>
    </bk>
    <bk>
      <rc t="2" v="6992"/>
    </bk>
    <bk>
      <rc t="2" v="6993"/>
    </bk>
    <bk>
      <rc t="2" v="6994"/>
    </bk>
    <bk>
      <rc t="2" v="6995"/>
    </bk>
    <bk>
      <rc t="2" v="6996"/>
    </bk>
    <bk>
      <rc t="2" v="6997"/>
    </bk>
    <bk>
      <rc t="2" v="6998"/>
    </bk>
    <bk>
      <rc t="2" v="6999"/>
    </bk>
    <bk>
      <rc t="2" v="7000"/>
    </bk>
    <bk>
      <rc t="2" v="7001"/>
    </bk>
    <bk>
      <rc t="2" v="7002"/>
    </bk>
    <bk>
      <rc t="2" v="7003"/>
    </bk>
    <bk>
      <rc t="2" v="7004"/>
    </bk>
    <bk>
      <rc t="2" v="7005"/>
    </bk>
    <bk>
      <rc t="2" v="7006"/>
    </bk>
    <bk>
      <rc t="2" v="7007"/>
    </bk>
    <bk>
      <rc t="2" v="7008"/>
    </bk>
    <bk>
      <rc t="2" v="7009"/>
    </bk>
    <bk>
      <rc t="2" v="7010"/>
    </bk>
    <bk>
      <rc t="2" v="7011"/>
    </bk>
    <bk>
      <rc t="2" v="7012"/>
    </bk>
    <bk>
      <rc t="2" v="7013"/>
    </bk>
    <bk>
      <rc t="2" v="7014"/>
    </bk>
    <bk>
      <rc t="2" v="7015"/>
    </bk>
    <bk>
      <rc t="2" v="7016"/>
    </bk>
    <bk>
      <rc t="2" v="7017"/>
    </bk>
    <bk>
      <rc t="2" v="7018"/>
    </bk>
    <bk>
      <rc t="2" v="7019"/>
    </bk>
    <bk>
      <rc t="2" v="7020"/>
    </bk>
    <bk>
      <rc t="2" v="7021"/>
    </bk>
    <bk>
      <rc t="2" v="7022"/>
    </bk>
    <bk>
      <rc t="2" v="7023"/>
    </bk>
    <bk>
      <rc t="2" v="7024"/>
    </bk>
    <bk>
      <rc t="2" v="7025"/>
    </bk>
    <bk>
      <rc t="2" v="7026"/>
    </bk>
    <bk>
      <rc t="2" v="7027"/>
    </bk>
    <bk>
      <rc t="2" v="7028"/>
    </bk>
    <bk>
      <rc t="2" v="7029"/>
    </bk>
    <bk>
      <rc t="2" v="7030"/>
    </bk>
    <bk>
      <rc t="2" v="7031"/>
    </bk>
    <bk>
      <rc t="2" v="7032"/>
    </bk>
    <bk>
      <rc t="2" v="7033"/>
    </bk>
    <bk>
      <rc t="2" v="7034"/>
    </bk>
    <bk>
      <rc t="2" v="7035"/>
    </bk>
    <bk>
      <rc t="2" v="7036"/>
    </bk>
    <bk>
      <rc t="2" v="7037"/>
    </bk>
    <bk>
      <rc t="2" v="7038"/>
    </bk>
    <bk>
      <rc t="2" v="7039"/>
    </bk>
    <bk>
      <rc t="2" v="7040"/>
    </bk>
    <bk>
      <rc t="2" v="7041"/>
    </bk>
    <bk>
      <rc t="2" v="7042"/>
    </bk>
    <bk>
      <rc t="2" v="7043"/>
    </bk>
    <bk>
      <rc t="2" v="7044"/>
    </bk>
    <bk>
      <rc t="2" v="7045"/>
    </bk>
    <bk>
      <rc t="2" v="7046"/>
    </bk>
    <bk>
      <rc t="2" v="7047"/>
    </bk>
    <bk>
      <rc t="2" v="7048"/>
    </bk>
    <bk>
      <rc t="2" v="7049"/>
    </bk>
    <bk>
      <rc t="2" v="7050"/>
    </bk>
    <bk>
      <rc t="2" v="7051"/>
    </bk>
    <bk>
      <rc t="2" v="7052"/>
    </bk>
    <bk>
      <rc t="2" v="7053"/>
    </bk>
    <bk>
      <rc t="2" v="7054"/>
    </bk>
    <bk>
      <rc t="2" v="7055"/>
    </bk>
    <bk>
      <rc t="2" v="7056"/>
    </bk>
    <bk>
      <rc t="2" v="7057"/>
    </bk>
    <bk>
      <rc t="2" v="7058"/>
    </bk>
    <bk>
      <rc t="2" v="7059"/>
    </bk>
    <bk>
      <rc t="2" v="7060"/>
    </bk>
    <bk>
      <rc t="2" v="7061"/>
    </bk>
    <bk>
      <rc t="2" v="7062"/>
    </bk>
    <bk>
      <rc t="2" v="7063"/>
    </bk>
    <bk>
      <rc t="2" v="7064"/>
    </bk>
    <bk>
      <rc t="2" v="7065"/>
    </bk>
    <bk>
      <rc t="2" v="7066"/>
    </bk>
    <bk>
      <rc t="2" v="7067"/>
    </bk>
    <bk>
      <rc t="2" v="7068"/>
    </bk>
    <bk>
      <rc t="2" v="7069"/>
    </bk>
    <bk>
      <rc t="2" v="7070"/>
    </bk>
    <bk>
      <rc t="2" v="7071"/>
    </bk>
    <bk>
      <rc t="2" v="7072"/>
    </bk>
    <bk>
      <rc t="2" v="7073"/>
    </bk>
    <bk>
      <rc t="2" v="7074"/>
    </bk>
    <bk>
      <rc t="2" v="7075"/>
    </bk>
    <bk>
      <rc t="2" v="7076"/>
    </bk>
    <bk>
      <rc t="2" v="7077"/>
    </bk>
    <bk>
      <rc t="2" v="7078"/>
    </bk>
    <bk>
      <rc t="2" v="7079"/>
    </bk>
    <bk>
      <rc t="2" v="7080"/>
    </bk>
    <bk>
      <rc t="2" v="7081"/>
    </bk>
    <bk>
      <rc t="2" v="7082"/>
    </bk>
    <bk>
      <rc t="2" v="7083"/>
    </bk>
    <bk>
      <rc t="2" v="7084"/>
    </bk>
    <bk>
      <rc t="2" v="7085"/>
    </bk>
    <bk>
      <rc t="2" v="7086"/>
    </bk>
    <bk>
      <rc t="2" v="7087"/>
    </bk>
    <bk>
      <rc t="2" v="7088"/>
    </bk>
    <bk>
      <rc t="2" v="7089"/>
    </bk>
    <bk>
      <rc t="2" v="7090"/>
    </bk>
    <bk>
      <rc t="2" v="7091"/>
    </bk>
    <bk>
      <rc t="2" v="7092"/>
    </bk>
    <bk>
      <rc t="2" v="7093"/>
    </bk>
    <bk>
      <rc t="2" v="7094"/>
    </bk>
    <bk>
      <rc t="2" v="7095"/>
    </bk>
    <bk>
      <rc t="2" v="7096"/>
    </bk>
    <bk>
      <rc t="2" v="7097"/>
    </bk>
    <bk>
      <rc t="2" v="7098"/>
    </bk>
    <bk>
      <rc t="2" v="7099"/>
    </bk>
    <bk>
      <rc t="2" v="7100"/>
    </bk>
    <bk>
      <rc t="2" v="7101"/>
    </bk>
    <bk>
      <rc t="2" v="7102"/>
    </bk>
    <bk>
      <rc t="2" v="7103"/>
    </bk>
    <bk>
      <rc t="2" v="7104"/>
    </bk>
    <bk>
      <rc t="2" v="7105"/>
    </bk>
    <bk>
      <rc t="2" v="7106"/>
    </bk>
    <bk>
      <rc t="2" v="7107"/>
    </bk>
    <bk>
      <rc t="2" v="7108"/>
    </bk>
    <bk>
      <rc t="2" v="7109"/>
    </bk>
    <bk>
      <rc t="2" v="7110"/>
    </bk>
    <bk>
      <rc t="2" v="7111"/>
    </bk>
    <bk>
      <rc t="2" v="7112"/>
    </bk>
    <bk>
      <rc t="2" v="7113"/>
    </bk>
    <bk>
      <rc t="2" v="7114"/>
    </bk>
    <bk>
      <rc t="2" v="7115"/>
    </bk>
    <bk>
      <rc t="2" v="7116"/>
    </bk>
    <bk>
      <rc t="2" v="7117"/>
    </bk>
    <bk>
      <rc t="2" v="7118"/>
    </bk>
    <bk>
      <rc t="2" v="7119"/>
    </bk>
    <bk>
      <rc t="2" v="7120"/>
    </bk>
    <bk>
      <rc t="2" v="7121"/>
    </bk>
    <bk>
      <rc t="2" v="7122"/>
    </bk>
    <bk>
      <rc t="2" v="7123"/>
    </bk>
    <bk>
      <rc t="2" v="7124"/>
    </bk>
    <bk>
      <rc t="2" v="7125"/>
    </bk>
    <bk>
      <rc t="2" v="7126"/>
    </bk>
    <bk>
      <rc t="2" v="7127"/>
    </bk>
    <bk>
      <rc t="2" v="7128"/>
    </bk>
    <bk>
      <rc t="2" v="7129"/>
    </bk>
    <bk>
      <rc t="2" v="7130"/>
    </bk>
    <bk>
      <rc t="2" v="7131"/>
    </bk>
    <bk>
      <rc t="2" v="7132"/>
    </bk>
    <bk>
      <rc t="2" v="7133"/>
    </bk>
    <bk>
      <rc t="2" v="7134"/>
    </bk>
    <bk>
      <rc t="2" v="7135"/>
    </bk>
    <bk>
      <rc t="2" v="7136"/>
    </bk>
    <bk>
      <rc t="2" v="7137"/>
    </bk>
    <bk>
      <rc t="2" v="7138"/>
    </bk>
    <bk>
      <rc t="2" v="7139"/>
    </bk>
    <bk>
      <rc t="2" v="7140"/>
    </bk>
    <bk>
      <rc t="2" v="7141"/>
    </bk>
    <bk>
      <rc t="2" v="7142"/>
    </bk>
    <bk>
      <rc t="2" v="7143"/>
    </bk>
    <bk>
      <rc t="2" v="7144"/>
    </bk>
    <bk>
      <rc t="2" v="7145"/>
    </bk>
    <bk>
      <rc t="2" v="7146"/>
    </bk>
    <bk>
      <rc t="2" v="7147"/>
    </bk>
    <bk>
      <rc t="2" v="7148"/>
    </bk>
    <bk>
      <rc t="2" v="7149"/>
    </bk>
    <bk>
      <rc t="2" v="7150"/>
    </bk>
    <bk>
      <rc t="2" v="7151"/>
    </bk>
    <bk>
      <rc t="2" v="7152"/>
    </bk>
    <bk>
      <rc t="2" v="7153"/>
    </bk>
    <bk>
      <rc t="2" v="7154"/>
    </bk>
    <bk>
      <rc t="2" v="7155"/>
    </bk>
    <bk>
      <rc t="2" v="7156"/>
    </bk>
    <bk>
      <rc t="2" v="7157"/>
    </bk>
    <bk>
      <rc t="2" v="7158"/>
    </bk>
    <bk>
      <rc t="2" v="7159"/>
    </bk>
    <bk>
      <rc t="2" v="7160"/>
    </bk>
    <bk>
      <rc t="2" v="7161"/>
    </bk>
    <bk>
      <rc t="2" v="7162"/>
    </bk>
    <bk>
      <rc t="2" v="7163"/>
    </bk>
    <bk>
      <rc t="2" v="7164"/>
    </bk>
    <bk>
      <rc t="2" v="7165"/>
    </bk>
    <bk>
      <rc t="2" v="7166"/>
    </bk>
    <bk>
      <rc t="2" v="7167"/>
    </bk>
    <bk>
      <rc t="2" v="7168"/>
    </bk>
    <bk>
      <rc t="2" v="7169"/>
    </bk>
    <bk>
      <rc t="2" v="7170"/>
    </bk>
    <bk>
      <rc t="2" v="7171"/>
    </bk>
    <bk>
      <rc t="2" v="7172"/>
    </bk>
    <bk>
      <rc t="2" v="7173"/>
    </bk>
    <bk>
      <rc t="2" v="7174"/>
    </bk>
    <bk>
      <rc t="2" v="7175"/>
    </bk>
    <bk>
      <rc t="2" v="7176"/>
    </bk>
    <bk>
      <rc t="2" v="7177"/>
    </bk>
    <bk>
      <rc t="2" v="7178"/>
    </bk>
    <bk>
      <rc t="2" v="7179"/>
    </bk>
    <bk>
      <rc t="2" v="7180"/>
    </bk>
    <bk>
      <rc t="2" v="7181"/>
    </bk>
    <bk>
      <rc t="2" v="7182"/>
    </bk>
    <bk>
      <rc t="2" v="7183"/>
    </bk>
    <bk>
      <rc t="2" v="7184"/>
    </bk>
    <bk>
      <rc t="2" v="7185"/>
    </bk>
    <bk>
      <rc t="2" v="7186"/>
    </bk>
    <bk>
      <rc t="2" v="7187"/>
    </bk>
    <bk>
      <rc t="2" v="7188"/>
    </bk>
    <bk>
      <rc t="2" v="7189"/>
    </bk>
    <bk>
      <rc t="2" v="7190"/>
    </bk>
    <bk>
      <rc t="2" v="7191"/>
    </bk>
    <bk>
      <rc t="2" v="7192"/>
    </bk>
    <bk>
      <rc t="2" v="7193"/>
    </bk>
    <bk>
      <rc t="2" v="7194"/>
    </bk>
    <bk>
      <rc t="2" v="7195"/>
    </bk>
    <bk>
      <rc t="2" v="7196"/>
    </bk>
    <bk>
      <rc t="2" v="7197"/>
    </bk>
    <bk>
      <rc t="2" v="7198"/>
    </bk>
    <bk>
      <rc t="2" v="7199"/>
    </bk>
    <bk>
      <rc t="2" v="7200"/>
    </bk>
    <bk>
      <rc t="2" v="7201"/>
    </bk>
    <bk>
      <rc t="2" v="7202"/>
    </bk>
    <bk>
      <rc t="2" v="7203"/>
    </bk>
    <bk>
      <rc t="2" v="7204"/>
    </bk>
    <bk>
      <rc t="2" v="7205"/>
    </bk>
    <bk>
      <rc t="2" v="7206"/>
    </bk>
    <bk>
      <rc t="2" v="7207"/>
    </bk>
    <bk>
      <rc t="2" v="7208"/>
    </bk>
    <bk>
      <rc t="2" v="7209"/>
    </bk>
    <bk>
      <rc t="2" v="7210"/>
    </bk>
    <bk>
      <rc t="2" v="7211"/>
    </bk>
    <bk>
      <rc t="2" v="7212"/>
    </bk>
    <bk>
      <rc t="2" v="7213"/>
    </bk>
    <bk>
      <rc t="2" v="7214"/>
    </bk>
    <bk>
      <rc t="2" v="7215"/>
    </bk>
    <bk>
      <rc t="2" v="7216"/>
    </bk>
    <bk>
      <rc t="2" v="7217"/>
    </bk>
    <bk>
      <rc t="2" v="7218"/>
    </bk>
    <bk>
      <rc t="2" v="7219"/>
    </bk>
    <bk>
      <rc t="2" v="7220"/>
    </bk>
    <bk>
      <rc t="2" v="7221"/>
    </bk>
    <bk>
      <rc t="2" v="7222"/>
    </bk>
    <bk>
      <rc t="2" v="7223"/>
    </bk>
    <bk>
      <rc t="2" v="7224"/>
    </bk>
    <bk>
      <rc t="2" v="7225"/>
    </bk>
    <bk>
      <rc t="2" v="7226"/>
    </bk>
    <bk>
      <rc t="2" v="7227"/>
    </bk>
    <bk>
      <rc t="2" v="7228"/>
    </bk>
    <bk>
      <rc t="2" v="7229"/>
    </bk>
    <bk>
      <rc t="2" v="7230"/>
    </bk>
    <bk>
      <rc t="2" v="7231"/>
    </bk>
    <bk>
      <rc t="2" v="7232"/>
    </bk>
    <bk>
      <rc t="2" v="7233"/>
    </bk>
    <bk>
      <rc t="2" v="7234"/>
    </bk>
    <bk>
      <rc t="2" v="7235"/>
    </bk>
    <bk>
      <rc t="2" v="7236"/>
    </bk>
    <bk>
      <rc t="2" v="7237"/>
    </bk>
    <bk>
      <rc t="2" v="7238"/>
    </bk>
    <bk>
      <rc t="2" v="7239"/>
    </bk>
    <bk>
      <rc t="2" v="7240"/>
    </bk>
    <bk>
      <rc t="2" v="7241"/>
    </bk>
    <bk>
      <rc t="2" v="7242"/>
    </bk>
    <bk>
      <rc t="2" v="7243"/>
    </bk>
    <bk>
      <rc t="2" v="7244"/>
    </bk>
    <bk>
      <rc t="2" v="7245"/>
    </bk>
    <bk>
      <rc t="2" v="7246"/>
    </bk>
    <bk>
      <rc t="2" v="7247"/>
    </bk>
    <bk>
      <rc t="2" v="7248"/>
    </bk>
    <bk>
      <rc t="2" v="7249"/>
    </bk>
    <bk>
      <rc t="2" v="7250"/>
    </bk>
    <bk>
      <rc t="2" v="7251"/>
    </bk>
    <bk>
      <rc t="2" v="7252"/>
    </bk>
    <bk>
      <rc t="2" v="7253"/>
    </bk>
    <bk>
      <rc t="2" v="7254"/>
    </bk>
    <bk>
      <rc t="2" v="7255"/>
    </bk>
    <bk>
      <rc t="2" v="7256"/>
    </bk>
    <bk>
      <rc t="2" v="7257"/>
    </bk>
    <bk>
      <rc t="2" v="7258"/>
    </bk>
    <bk>
      <rc t="2" v="7259"/>
    </bk>
    <bk>
      <rc t="2" v="7260"/>
    </bk>
    <bk>
      <rc t="2" v="7261"/>
    </bk>
    <bk>
      <rc t="2" v="7262"/>
    </bk>
    <bk>
      <rc t="2" v="7263"/>
    </bk>
    <bk>
      <rc t="2" v="7264"/>
    </bk>
    <bk>
      <rc t="2" v="7265"/>
    </bk>
    <bk>
      <rc t="2" v="7266"/>
    </bk>
    <bk>
      <rc t="2" v="7267"/>
    </bk>
    <bk>
      <rc t="2" v="7268"/>
    </bk>
    <bk>
      <rc t="2" v="7269"/>
    </bk>
    <bk>
      <rc t="2" v="7270"/>
    </bk>
    <bk>
      <rc t="2" v="7271"/>
    </bk>
    <bk>
      <rc t="2" v="7272"/>
    </bk>
    <bk>
      <rc t="2" v="7273"/>
    </bk>
    <bk>
      <rc t="2" v="7274"/>
    </bk>
    <bk>
      <rc t="2" v="7275"/>
    </bk>
    <bk>
      <rc t="2" v="7276"/>
    </bk>
    <bk>
      <rc t="2" v="7277"/>
    </bk>
    <bk>
      <rc t="2" v="7278"/>
    </bk>
    <bk>
      <rc t="2" v="7279"/>
    </bk>
    <bk>
      <rc t="2" v="7280"/>
    </bk>
    <bk>
      <rc t="2" v="7281"/>
    </bk>
    <bk>
      <rc t="2" v="7282"/>
    </bk>
    <bk>
      <rc t="2" v="7283"/>
    </bk>
    <bk>
      <rc t="2" v="7284"/>
    </bk>
    <bk>
      <rc t="2" v="7285"/>
    </bk>
    <bk>
      <rc t="2" v="7286"/>
    </bk>
    <bk>
      <rc t="2" v="7287"/>
    </bk>
    <bk>
      <rc t="2" v="7288"/>
    </bk>
    <bk>
      <rc t="2" v="7289"/>
    </bk>
    <bk>
      <rc t="2" v="7290"/>
    </bk>
    <bk>
      <rc t="2" v="7291"/>
    </bk>
    <bk>
      <rc t="2" v="7292"/>
    </bk>
    <bk>
      <rc t="2" v="7293"/>
    </bk>
    <bk>
      <rc t="2" v="7294"/>
    </bk>
    <bk>
      <rc t="2" v="7295"/>
    </bk>
    <bk>
      <rc t="2" v="7296"/>
    </bk>
    <bk>
      <rc t="2" v="7297"/>
    </bk>
    <bk>
      <rc t="2" v="7298"/>
    </bk>
    <bk>
      <rc t="2" v="7299"/>
    </bk>
    <bk>
      <rc t="2" v="7300"/>
    </bk>
    <bk>
      <rc t="2" v="7301"/>
    </bk>
    <bk>
      <rc t="2" v="7302"/>
    </bk>
    <bk>
      <rc t="2" v="7303"/>
    </bk>
    <bk>
      <rc t="2" v="7304"/>
    </bk>
    <bk>
      <rc t="2" v="7305"/>
    </bk>
    <bk>
      <rc t="2" v="7306"/>
    </bk>
    <bk>
      <rc t="2" v="7307"/>
    </bk>
    <bk>
      <rc t="2" v="7308"/>
    </bk>
    <bk>
      <rc t="2" v="7309"/>
    </bk>
    <bk>
      <rc t="2" v="7310"/>
    </bk>
    <bk>
      <rc t="2" v="7311"/>
    </bk>
    <bk>
      <rc t="2" v="7312"/>
    </bk>
    <bk>
      <rc t="2" v="7313"/>
    </bk>
    <bk>
      <rc t="2" v="7314"/>
    </bk>
    <bk>
      <rc t="2" v="7315"/>
    </bk>
    <bk>
      <rc t="2" v="7316"/>
    </bk>
    <bk>
      <rc t="2" v="7317"/>
    </bk>
    <bk>
      <rc t="2" v="7318"/>
    </bk>
    <bk>
      <rc t="2" v="7319"/>
    </bk>
    <bk>
      <rc t="2" v="7320"/>
    </bk>
    <bk>
      <rc t="2" v="7321"/>
    </bk>
    <bk>
      <rc t="2" v="7322"/>
    </bk>
    <bk>
      <rc t="2" v="7323"/>
    </bk>
    <bk>
      <rc t="2" v="7324"/>
    </bk>
    <bk>
      <rc t="2" v="7325"/>
    </bk>
    <bk>
      <rc t="2" v="7326"/>
    </bk>
    <bk>
      <rc t="2" v="7327"/>
    </bk>
    <bk>
      <rc t="2" v="7328"/>
    </bk>
    <bk>
      <rc t="2" v="7329"/>
    </bk>
    <bk>
      <rc t="2" v="7330"/>
    </bk>
    <bk>
      <rc t="2" v="7331"/>
    </bk>
    <bk>
      <rc t="2" v="7332"/>
    </bk>
    <bk>
      <rc t="2" v="7333"/>
    </bk>
    <bk>
      <rc t="2" v="7334"/>
    </bk>
    <bk>
      <rc t="2" v="7335"/>
    </bk>
    <bk>
      <rc t="2" v="7336"/>
    </bk>
    <bk>
      <rc t="2" v="7337"/>
    </bk>
    <bk>
      <rc t="2" v="7338"/>
    </bk>
    <bk>
      <rc t="2" v="7339"/>
    </bk>
    <bk>
      <rc t="2" v="7340"/>
    </bk>
    <bk>
      <rc t="2" v="7341"/>
    </bk>
    <bk>
      <rc t="2" v="7342"/>
    </bk>
    <bk>
      <rc t="2" v="7343"/>
    </bk>
    <bk>
      <rc t="2" v="7344"/>
    </bk>
    <bk>
      <rc t="2" v="7345"/>
    </bk>
    <bk>
      <rc t="2" v="7346"/>
    </bk>
    <bk>
      <rc t="2" v="7347"/>
    </bk>
    <bk>
      <rc t="2" v="7348"/>
    </bk>
    <bk>
      <rc t="2" v="7349"/>
    </bk>
    <bk>
      <rc t="2" v="7350"/>
    </bk>
    <bk>
      <rc t="2" v="7351"/>
    </bk>
    <bk>
      <rc t="2" v="7352"/>
    </bk>
    <bk>
      <rc t="2" v="7353"/>
    </bk>
    <bk>
      <rc t="2" v="7354"/>
    </bk>
    <bk>
      <rc t="2" v="7355"/>
    </bk>
    <bk>
      <rc t="2" v="7356"/>
    </bk>
    <bk>
      <rc t="2" v="7357"/>
    </bk>
    <bk>
      <rc t="2" v="7358"/>
    </bk>
    <bk>
      <rc t="2" v="7359"/>
    </bk>
    <bk>
      <rc t="2" v="7360"/>
    </bk>
    <bk>
      <rc t="2" v="7361"/>
    </bk>
    <bk>
      <rc t="2" v="7362"/>
    </bk>
    <bk>
      <rc t="2" v="7363"/>
    </bk>
    <bk>
      <rc t="2" v="7364"/>
    </bk>
    <bk>
      <rc t="2" v="7365"/>
    </bk>
    <bk>
      <rc t="2" v="7366"/>
    </bk>
    <bk>
      <rc t="2" v="7367"/>
    </bk>
    <bk>
      <rc t="2" v="7368"/>
    </bk>
    <bk>
      <rc t="2" v="7369"/>
    </bk>
    <bk>
      <rc t="2" v="7370"/>
    </bk>
    <bk>
      <rc t="2" v="7371"/>
    </bk>
    <bk>
      <rc t="2" v="7372"/>
    </bk>
    <bk>
      <rc t="2" v="7373"/>
    </bk>
    <bk>
      <rc t="2" v="7374"/>
    </bk>
    <bk>
      <rc t="2" v="7375"/>
    </bk>
    <bk>
      <rc t="2" v="7376"/>
    </bk>
    <bk>
      <rc t="2" v="7377"/>
    </bk>
    <bk>
      <rc t="2" v="7378"/>
    </bk>
    <bk>
      <rc t="2" v="7379"/>
    </bk>
    <bk>
      <rc t="2" v="7380"/>
    </bk>
    <bk>
      <rc t="2" v="7381"/>
    </bk>
    <bk>
      <rc t="2" v="7382"/>
    </bk>
    <bk>
      <rc t="2" v="7383"/>
    </bk>
    <bk>
      <rc t="2" v="7384"/>
    </bk>
    <bk>
      <rc t="2" v="7385"/>
    </bk>
    <bk>
      <rc t="2" v="7386"/>
    </bk>
    <bk>
      <rc t="2" v="7387"/>
    </bk>
    <bk>
      <rc t="2" v="7388"/>
    </bk>
    <bk>
      <rc t="2" v="7389"/>
    </bk>
    <bk>
      <rc t="2" v="7390"/>
    </bk>
    <bk>
      <rc t="2" v="7391"/>
    </bk>
    <bk>
      <rc t="2" v="7392"/>
    </bk>
    <bk>
      <rc t="2" v="7393"/>
    </bk>
    <bk>
      <rc t="2" v="7394"/>
    </bk>
    <bk>
      <rc t="2" v="7395"/>
    </bk>
    <bk>
      <rc t="2" v="7396"/>
    </bk>
    <bk>
      <rc t="2" v="7397"/>
    </bk>
    <bk>
      <rc t="2" v="7398"/>
    </bk>
    <bk>
      <rc t="2" v="7399"/>
    </bk>
    <bk>
      <rc t="2" v="7400"/>
    </bk>
    <bk>
      <rc t="2" v="7401"/>
    </bk>
    <bk>
      <rc t="2" v="7402"/>
    </bk>
    <bk>
      <rc t="2" v="7403"/>
    </bk>
    <bk>
      <rc t="2" v="7404"/>
    </bk>
    <bk>
      <rc t="2" v="7405"/>
    </bk>
    <bk>
      <rc t="2" v="7406"/>
    </bk>
    <bk>
      <rc t="2" v="7407"/>
    </bk>
    <bk>
      <rc t="2" v="7408"/>
    </bk>
    <bk>
      <rc t="2" v="7409"/>
    </bk>
    <bk>
      <rc t="2" v="7410"/>
    </bk>
    <bk>
      <rc t="2" v="7411"/>
    </bk>
    <bk>
      <rc t="2" v="7412"/>
    </bk>
    <bk>
      <rc t="2" v="7413"/>
    </bk>
    <bk>
      <rc t="2" v="7414"/>
    </bk>
    <bk>
      <rc t="2" v="7415"/>
    </bk>
    <bk>
      <rc t="2" v="7416"/>
    </bk>
    <bk>
      <rc t="2" v="7417"/>
    </bk>
    <bk>
      <rc t="2" v="7418"/>
    </bk>
    <bk>
      <rc t="2" v="7419"/>
    </bk>
    <bk>
      <rc t="2" v="7420"/>
    </bk>
    <bk>
      <rc t="2" v="7421"/>
    </bk>
    <bk>
      <rc t="2" v="7422"/>
    </bk>
    <bk>
      <rc t="2" v="7423"/>
    </bk>
    <bk>
      <rc t="2" v="7424"/>
    </bk>
    <bk>
      <rc t="2" v="7425"/>
    </bk>
    <bk>
      <rc t="2" v="7426"/>
    </bk>
    <bk>
      <rc t="2" v="7427"/>
    </bk>
    <bk>
      <rc t="2" v="7428"/>
    </bk>
    <bk>
      <rc t="2" v="7429"/>
    </bk>
    <bk>
      <rc t="2" v="7430"/>
    </bk>
    <bk>
      <rc t="2" v="7431"/>
    </bk>
    <bk>
      <rc t="2" v="7432"/>
    </bk>
    <bk>
      <rc t="2" v="7433"/>
    </bk>
    <bk>
      <rc t="2" v="7434"/>
    </bk>
    <bk>
      <rc t="2" v="7435"/>
    </bk>
    <bk>
      <rc t="2" v="7436"/>
    </bk>
    <bk>
      <rc t="2" v="7437"/>
    </bk>
    <bk>
      <rc t="2" v="7438"/>
    </bk>
    <bk>
      <rc t="2" v="7439"/>
    </bk>
    <bk>
      <rc t="2" v="7440"/>
    </bk>
    <bk>
      <rc t="2" v="7441"/>
    </bk>
    <bk>
      <rc t="2" v="7442"/>
    </bk>
    <bk>
      <rc t="2" v="7443"/>
    </bk>
    <bk>
      <rc t="2" v="7444"/>
    </bk>
    <bk>
      <rc t="2" v="7445"/>
    </bk>
    <bk>
      <rc t="2" v="7446"/>
    </bk>
    <bk>
      <rc t="2" v="7447"/>
    </bk>
    <bk>
      <rc t="2" v="7448"/>
    </bk>
    <bk>
      <rc t="2" v="7449"/>
    </bk>
    <bk>
      <rc t="2" v="7450"/>
    </bk>
    <bk>
      <rc t="2" v="7451"/>
    </bk>
    <bk>
      <rc t="2" v="7452"/>
    </bk>
    <bk>
      <rc t="2" v="7453"/>
    </bk>
    <bk>
      <rc t="2" v="7454"/>
    </bk>
    <bk>
      <rc t="2" v="7455"/>
    </bk>
    <bk>
      <rc t="2" v="7456"/>
    </bk>
    <bk>
      <rc t="2" v="7457"/>
    </bk>
    <bk>
      <rc t="2" v="7458"/>
    </bk>
    <bk>
      <rc t="2" v="7459"/>
    </bk>
    <bk>
      <rc t="2" v="7460"/>
    </bk>
    <bk>
      <rc t="2" v="7461"/>
    </bk>
    <bk>
      <rc t="2" v="7462"/>
    </bk>
    <bk>
      <rc t="2" v="7463"/>
    </bk>
    <bk>
      <rc t="2" v="7464"/>
    </bk>
    <bk>
      <rc t="2" v="7465"/>
    </bk>
    <bk>
      <rc t="2" v="7466"/>
    </bk>
    <bk>
      <rc t="2" v="7467"/>
    </bk>
    <bk>
      <rc t="2" v="7468"/>
    </bk>
    <bk>
      <rc t="2" v="7469"/>
    </bk>
    <bk>
      <rc t="2" v="7470"/>
    </bk>
    <bk>
      <rc t="2" v="7471"/>
    </bk>
    <bk>
      <rc t="2" v="7472"/>
    </bk>
    <bk>
      <rc t="2" v="7473"/>
    </bk>
    <bk>
      <rc t="2" v="7474"/>
    </bk>
    <bk>
      <rc t="2" v="7475"/>
    </bk>
    <bk>
      <rc t="2" v="7476"/>
    </bk>
    <bk>
      <rc t="2" v="7477"/>
    </bk>
    <bk>
      <rc t="2" v="7478"/>
    </bk>
    <bk>
      <rc t="2" v="7479"/>
    </bk>
    <bk>
      <rc t="2" v="7480"/>
    </bk>
    <bk>
      <rc t="2" v="7481"/>
    </bk>
    <bk>
      <rc t="2" v="7482"/>
    </bk>
    <bk>
      <rc t="2" v="7483"/>
    </bk>
    <bk>
      <rc t="2" v="7484"/>
    </bk>
    <bk>
      <rc t="2" v="7485"/>
    </bk>
    <bk>
      <rc t="2" v="7486"/>
    </bk>
    <bk>
      <rc t="2" v="7487"/>
    </bk>
    <bk>
      <rc t="2" v="7488"/>
    </bk>
    <bk>
      <rc t="2" v="7489"/>
    </bk>
    <bk>
      <rc t="2" v="7490"/>
    </bk>
    <bk>
      <rc t="2" v="7491"/>
    </bk>
    <bk>
      <rc t="2" v="7492"/>
    </bk>
    <bk>
      <rc t="2" v="7493"/>
    </bk>
    <bk>
      <rc t="2" v="7494"/>
    </bk>
    <bk>
      <rc t="2" v="7495"/>
    </bk>
    <bk>
      <rc t="2" v="7496"/>
    </bk>
    <bk>
      <rc t="2" v="7497"/>
    </bk>
    <bk>
      <rc t="2" v="7498"/>
    </bk>
    <bk>
      <rc t="2" v="7499"/>
    </bk>
    <bk>
      <rc t="2" v="7500"/>
    </bk>
    <bk>
      <rc t="2" v="7501"/>
    </bk>
    <bk>
      <rc t="2" v="7502"/>
    </bk>
    <bk>
      <rc t="2" v="7503"/>
    </bk>
    <bk>
      <rc t="2" v="7504"/>
    </bk>
    <bk>
      <rc t="2" v="7505"/>
    </bk>
    <bk>
      <rc t="2" v="7506"/>
    </bk>
    <bk>
      <rc t="2" v="7507"/>
    </bk>
    <bk>
      <rc t="2" v="7508"/>
    </bk>
    <bk>
      <rc t="2" v="7509"/>
    </bk>
    <bk>
      <rc t="2" v="7510"/>
    </bk>
    <bk>
      <rc t="2" v="7511"/>
    </bk>
    <bk>
      <rc t="2" v="7512"/>
    </bk>
    <bk>
      <rc t="2" v="7513"/>
    </bk>
    <bk>
      <rc t="2" v="7514"/>
    </bk>
    <bk>
      <rc t="2" v="7515"/>
    </bk>
    <bk>
      <rc t="2" v="7516"/>
    </bk>
    <bk>
      <rc t="2" v="7517"/>
    </bk>
    <bk>
      <rc t="2" v="7518"/>
    </bk>
    <bk>
      <rc t="2" v="7519"/>
    </bk>
    <bk>
      <rc t="2" v="7520"/>
    </bk>
    <bk>
      <rc t="2" v="7521"/>
    </bk>
    <bk>
      <rc t="2" v="7522"/>
    </bk>
    <bk>
      <rc t="2" v="7523"/>
    </bk>
    <bk>
      <rc t="2" v="7524"/>
    </bk>
    <bk>
      <rc t="2" v="7525"/>
    </bk>
    <bk>
      <rc t="2" v="7526"/>
    </bk>
    <bk>
      <rc t="2" v="7527"/>
    </bk>
    <bk>
      <rc t="2" v="7528"/>
    </bk>
    <bk>
      <rc t="2" v="7529"/>
    </bk>
    <bk>
      <rc t="2" v="7530"/>
    </bk>
    <bk>
      <rc t="2" v="7531"/>
    </bk>
    <bk>
      <rc t="2" v="7532"/>
    </bk>
    <bk>
      <rc t="2" v="7533"/>
    </bk>
    <bk>
      <rc t="2" v="7534"/>
    </bk>
    <bk>
      <rc t="2" v="7535"/>
    </bk>
    <bk>
      <rc t="2" v="7536"/>
    </bk>
    <bk>
      <rc t="2" v="7537"/>
    </bk>
    <bk>
      <rc t="2" v="7538"/>
    </bk>
    <bk>
      <rc t="2" v="7539"/>
    </bk>
    <bk>
      <rc t="2" v="7540"/>
    </bk>
    <bk>
      <rc t="2" v="7541"/>
    </bk>
    <bk>
      <rc t="2" v="7542"/>
    </bk>
    <bk>
      <rc t="2" v="7543"/>
    </bk>
    <bk>
      <rc t="2" v="7544"/>
    </bk>
    <bk>
      <rc t="2" v="7545"/>
    </bk>
    <bk>
      <rc t="2" v="7546"/>
    </bk>
    <bk>
      <rc t="2" v="7547"/>
    </bk>
    <bk>
      <rc t="2" v="7548"/>
    </bk>
    <bk>
      <rc t="2" v="7549"/>
    </bk>
    <bk>
      <rc t="2" v="7550"/>
    </bk>
    <bk>
      <rc t="2" v="7551"/>
    </bk>
    <bk>
      <rc t="2" v="7552"/>
    </bk>
    <bk>
      <rc t="2" v="7553"/>
    </bk>
    <bk>
      <rc t="2" v="7554"/>
    </bk>
    <bk>
      <rc t="2" v="7555"/>
    </bk>
    <bk>
      <rc t="2" v="7556"/>
    </bk>
    <bk>
      <rc t="2" v="7557"/>
    </bk>
    <bk>
      <rc t="2" v="7558"/>
    </bk>
    <bk>
      <rc t="2" v="7559"/>
    </bk>
    <bk>
      <rc t="2" v="7560"/>
    </bk>
    <bk>
      <rc t="2" v="7561"/>
    </bk>
    <bk>
      <rc t="2" v="7562"/>
    </bk>
    <bk>
      <rc t="2" v="7563"/>
    </bk>
    <bk>
      <rc t="2" v="7564"/>
    </bk>
    <bk>
      <rc t="2" v="7565"/>
    </bk>
    <bk>
      <rc t="2" v="7566"/>
    </bk>
    <bk>
      <rc t="2" v="7567"/>
    </bk>
    <bk>
      <rc t="2" v="7568"/>
    </bk>
    <bk>
      <rc t="2" v="7569"/>
    </bk>
    <bk>
      <rc t="2" v="7570"/>
    </bk>
    <bk>
      <rc t="2" v="7571"/>
    </bk>
    <bk>
      <rc t="2" v="7572"/>
    </bk>
    <bk>
      <rc t="2" v="7573"/>
    </bk>
    <bk>
      <rc t="2" v="7574"/>
    </bk>
    <bk>
      <rc t="2" v="7575"/>
    </bk>
    <bk>
      <rc t="2" v="7576"/>
    </bk>
    <bk>
      <rc t="2" v="7577"/>
    </bk>
    <bk>
      <rc t="2" v="7578"/>
    </bk>
    <bk>
      <rc t="2" v="7579"/>
    </bk>
    <bk>
      <rc t="2" v="7580"/>
    </bk>
    <bk>
      <rc t="2" v="7581"/>
    </bk>
    <bk>
      <rc t="2" v="7582"/>
    </bk>
    <bk>
      <rc t="2" v="7583"/>
    </bk>
    <bk>
      <rc t="2" v="7584"/>
    </bk>
    <bk>
      <rc t="2" v="7585"/>
    </bk>
    <bk>
      <rc t="2" v="7586"/>
    </bk>
    <bk>
      <rc t="2" v="7587"/>
    </bk>
    <bk>
      <rc t="2" v="7588"/>
    </bk>
    <bk>
      <rc t="2" v="7589"/>
    </bk>
    <bk>
      <rc t="2" v="7590"/>
    </bk>
    <bk>
      <rc t="2" v="7591"/>
    </bk>
    <bk>
      <rc t="2" v="7592"/>
    </bk>
    <bk>
      <rc t="2" v="7593"/>
    </bk>
    <bk>
      <rc t="2" v="7594"/>
    </bk>
    <bk>
      <rc t="2" v="7595"/>
    </bk>
    <bk>
      <rc t="2" v="7596"/>
    </bk>
    <bk>
      <rc t="2" v="7597"/>
    </bk>
    <bk>
      <rc t="2" v="7598"/>
    </bk>
    <bk>
      <rc t="2" v="7599"/>
    </bk>
    <bk>
      <rc t="2" v="7600"/>
    </bk>
    <bk>
      <rc t="2" v="7601"/>
    </bk>
    <bk>
      <rc t="2" v="7602"/>
    </bk>
    <bk>
      <rc t="2" v="7603"/>
    </bk>
    <bk>
      <rc t="2" v="7604"/>
    </bk>
    <bk>
      <rc t="2" v="7605"/>
    </bk>
    <bk>
      <rc t="2" v="7606"/>
    </bk>
    <bk>
      <rc t="2" v="7607"/>
    </bk>
    <bk>
      <rc t="2" v="7608"/>
    </bk>
    <bk>
      <rc t="2" v="7609"/>
    </bk>
    <bk>
      <rc t="2" v="7610"/>
    </bk>
    <bk>
      <rc t="2" v="7611"/>
    </bk>
    <bk>
      <rc t="2" v="7612"/>
    </bk>
    <bk>
      <rc t="2" v="7613"/>
    </bk>
    <bk>
      <rc t="2" v="7614"/>
    </bk>
    <bk>
      <rc t="2" v="7615"/>
    </bk>
    <bk>
      <rc t="2" v="7616"/>
    </bk>
    <bk>
      <rc t="2" v="7617"/>
    </bk>
    <bk>
      <rc t="2" v="7618"/>
    </bk>
    <bk>
      <rc t="2" v="7619"/>
    </bk>
    <bk>
      <rc t="2" v="7620"/>
    </bk>
    <bk>
      <rc t="2" v="7621"/>
    </bk>
    <bk>
      <rc t="2" v="7622"/>
    </bk>
    <bk>
      <rc t="2" v="7623"/>
    </bk>
    <bk>
      <rc t="2" v="7624"/>
    </bk>
    <bk>
      <rc t="2" v="7625"/>
    </bk>
    <bk>
      <rc t="2" v="7626"/>
    </bk>
    <bk>
      <rc t="2" v="7627"/>
    </bk>
    <bk>
      <rc t="2" v="7628"/>
    </bk>
    <bk>
      <rc t="2" v="7629"/>
    </bk>
    <bk>
      <rc t="2" v="7630"/>
    </bk>
    <bk>
      <rc t="2" v="7631"/>
    </bk>
    <bk>
      <rc t="2" v="7632"/>
    </bk>
    <bk>
      <rc t="2" v="7633"/>
    </bk>
    <bk>
      <rc t="2" v="7634"/>
    </bk>
    <bk>
      <rc t="2" v="7635"/>
    </bk>
    <bk>
      <rc t="2" v="7636"/>
    </bk>
    <bk>
      <rc t="2" v="7637"/>
    </bk>
    <bk>
      <rc t="2" v="7638"/>
    </bk>
    <bk>
      <rc t="2" v="7639"/>
    </bk>
    <bk>
      <rc t="2" v="7640"/>
    </bk>
    <bk>
      <rc t="2" v="7641"/>
    </bk>
    <bk>
      <rc t="2" v="7642"/>
    </bk>
    <bk>
      <rc t="2" v="7643"/>
    </bk>
    <bk>
      <rc t="2" v="7644"/>
    </bk>
    <bk>
      <rc t="2" v="7645"/>
    </bk>
    <bk>
      <rc t="2" v="7646"/>
    </bk>
    <bk>
      <rc t="2" v="7647"/>
    </bk>
    <bk>
      <rc t="2" v="7648"/>
    </bk>
    <bk>
      <rc t="2" v="7649"/>
    </bk>
    <bk>
      <rc t="2" v="7650"/>
    </bk>
    <bk>
      <rc t="2" v="7651"/>
    </bk>
    <bk>
      <rc t="2" v="7652"/>
    </bk>
    <bk>
      <rc t="2" v="7653"/>
    </bk>
    <bk>
      <rc t="2" v="7654"/>
    </bk>
    <bk>
      <rc t="2" v="7655"/>
    </bk>
    <bk>
      <rc t="2" v="7656"/>
    </bk>
    <bk>
      <rc t="2" v="7657"/>
    </bk>
    <bk>
      <rc t="2" v="7658"/>
    </bk>
    <bk>
      <rc t="2" v="7659"/>
    </bk>
    <bk>
      <rc t="2" v="7660"/>
    </bk>
    <bk>
      <rc t="2" v="7661"/>
    </bk>
    <bk>
      <rc t="2" v="7662"/>
    </bk>
    <bk>
      <rc t="2" v="7663"/>
    </bk>
    <bk>
      <rc t="2" v="7664"/>
    </bk>
    <bk>
      <rc t="2" v="7665"/>
    </bk>
    <bk>
      <rc t="2" v="7666"/>
    </bk>
    <bk>
      <rc t="2" v="7667"/>
    </bk>
    <bk>
      <rc t="2" v="7668"/>
    </bk>
    <bk>
      <rc t="2" v="7669"/>
    </bk>
    <bk>
      <rc t="2" v="7670"/>
    </bk>
    <bk>
      <rc t="2" v="7671"/>
    </bk>
    <bk>
      <rc t="2" v="7672"/>
    </bk>
    <bk>
      <rc t="2" v="7673"/>
    </bk>
    <bk>
      <rc t="2" v="7674"/>
    </bk>
    <bk>
      <rc t="2" v="7675"/>
    </bk>
    <bk>
      <rc t="2" v="7676"/>
    </bk>
    <bk>
      <rc t="2" v="7677"/>
    </bk>
    <bk>
      <rc t="2" v="7678"/>
    </bk>
    <bk>
      <rc t="2" v="7679"/>
    </bk>
    <bk>
      <rc t="2" v="7680"/>
    </bk>
    <bk>
      <rc t="2" v="7681"/>
    </bk>
    <bk>
      <rc t="2" v="7682"/>
    </bk>
    <bk>
      <rc t="2" v="7683"/>
    </bk>
    <bk>
      <rc t="2" v="7684"/>
    </bk>
    <bk>
      <rc t="2" v="7685"/>
    </bk>
    <bk>
      <rc t="2" v="7686"/>
    </bk>
    <bk>
      <rc t="2" v="7687"/>
    </bk>
    <bk>
      <rc t="2" v="7688"/>
    </bk>
    <bk>
      <rc t="2" v="7689"/>
    </bk>
    <bk>
      <rc t="2" v="7690"/>
    </bk>
    <bk>
      <rc t="2" v="7691"/>
    </bk>
    <bk>
      <rc t="2" v="7692"/>
    </bk>
    <bk>
      <rc t="2" v="7693"/>
    </bk>
    <bk>
      <rc t="2" v="7694"/>
    </bk>
    <bk>
      <rc t="2" v="7695"/>
    </bk>
    <bk>
      <rc t="2" v="7696"/>
    </bk>
    <bk>
      <rc t="2" v="7697"/>
    </bk>
    <bk>
      <rc t="2" v="7698"/>
    </bk>
    <bk>
      <rc t="2" v="7699"/>
    </bk>
    <bk>
      <rc t="2" v="7700"/>
    </bk>
    <bk>
      <rc t="2" v="7701"/>
    </bk>
    <bk>
      <rc t="2" v="7702"/>
    </bk>
    <bk>
      <rc t="2" v="7703"/>
    </bk>
    <bk>
      <rc t="2" v="7704"/>
    </bk>
    <bk>
      <rc t="2" v="7705"/>
    </bk>
    <bk>
      <rc t="2" v="7706"/>
    </bk>
    <bk>
      <rc t="2" v="7707"/>
    </bk>
    <bk>
      <rc t="2" v="7708"/>
    </bk>
    <bk>
      <rc t="2" v="7709"/>
    </bk>
    <bk>
      <rc t="2" v="7710"/>
    </bk>
    <bk>
      <rc t="2" v="7711"/>
    </bk>
    <bk>
      <rc t="2" v="7712"/>
    </bk>
    <bk>
      <rc t="2" v="7713"/>
    </bk>
    <bk>
      <rc t="2" v="7714"/>
    </bk>
    <bk>
      <rc t="2" v="7715"/>
    </bk>
    <bk>
      <rc t="2" v="7716"/>
    </bk>
    <bk>
      <rc t="2" v="7717"/>
    </bk>
    <bk>
      <rc t="2" v="7718"/>
    </bk>
    <bk>
      <rc t="2" v="7719"/>
    </bk>
    <bk>
      <rc t="2" v="7720"/>
    </bk>
    <bk>
      <rc t="2" v="7721"/>
    </bk>
    <bk>
      <rc t="2" v="7722"/>
    </bk>
    <bk>
      <rc t="2" v="7723"/>
    </bk>
    <bk>
      <rc t="2" v="7724"/>
    </bk>
    <bk>
      <rc t="2" v="7725"/>
    </bk>
    <bk>
      <rc t="2" v="7726"/>
    </bk>
    <bk>
      <rc t="2" v="7727"/>
    </bk>
    <bk>
      <rc t="2" v="7728"/>
    </bk>
    <bk>
      <rc t="2" v="7729"/>
    </bk>
    <bk>
      <rc t="2" v="7730"/>
    </bk>
    <bk>
      <rc t="2" v="7731"/>
    </bk>
    <bk>
      <rc t="2" v="7732"/>
    </bk>
    <bk>
      <rc t="2" v="7733"/>
    </bk>
    <bk>
      <rc t="2" v="7734"/>
    </bk>
    <bk>
      <rc t="2" v="7735"/>
    </bk>
    <bk>
      <rc t="2" v="7736"/>
    </bk>
    <bk>
      <rc t="2" v="7737"/>
    </bk>
    <bk>
      <rc t="2" v="7738"/>
    </bk>
    <bk>
      <rc t="2" v="7739"/>
    </bk>
    <bk>
      <rc t="2" v="7740"/>
    </bk>
    <bk>
      <rc t="2" v="7741"/>
    </bk>
    <bk>
      <rc t="2" v="7742"/>
    </bk>
    <bk>
      <rc t="2" v="7743"/>
    </bk>
    <bk>
      <rc t="2" v="7744"/>
    </bk>
    <bk>
      <rc t="2" v="7745"/>
    </bk>
    <bk>
      <rc t="2" v="7746"/>
    </bk>
    <bk>
      <rc t="2" v="7747"/>
    </bk>
    <bk>
      <rc t="2" v="7748"/>
    </bk>
    <bk>
      <rc t="2" v="7749"/>
    </bk>
    <bk>
      <rc t="2" v="7750"/>
    </bk>
    <bk>
      <rc t="2" v="7751"/>
    </bk>
    <bk>
      <rc t="2" v="7752"/>
    </bk>
    <bk>
      <rc t="2" v="7753"/>
    </bk>
    <bk>
      <rc t="2" v="7754"/>
    </bk>
    <bk>
      <rc t="2" v="7755"/>
    </bk>
    <bk>
      <rc t="2" v="7756"/>
    </bk>
    <bk>
      <rc t="2" v="7757"/>
    </bk>
    <bk>
      <rc t="2" v="7758"/>
    </bk>
    <bk>
      <rc t="2" v="7759"/>
    </bk>
    <bk>
      <rc t="2" v="7760"/>
    </bk>
    <bk>
      <rc t="2" v="7761"/>
    </bk>
    <bk>
      <rc t="2" v="7762"/>
    </bk>
    <bk>
      <rc t="2" v="7763"/>
    </bk>
    <bk>
      <rc t="2" v="7764"/>
    </bk>
    <bk>
      <rc t="2" v="7765"/>
    </bk>
    <bk>
      <rc t="2" v="7766"/>
    </bk>
    <bk>
      <rc t="2" v="7767"/>
    </bk>
    <bk>
      <rc t="2" v="7768"/>
    </bk>
    <bk>
      <rc t="2" v="7769"/>
    </bk>
    <bk>
      <rc t="2" v="7770"/>
    </bk>
    <bk>
      <rc t="2" v="7771"/>
    </bk>
    <bk>
      <rc t="2" v="7772"/>
    </bk>
    <bk>
      <rc t="2" v="7773"/>
    </bk>
    <bk>
      <rc t="2" v="7774"/>
    </bk>
    <bk>
      <rc t="2" v="7775"/>
    </bk>
    <bk>
      <rc t="2" v="7776"/>
    </bk>
    <bk>
      <rc t="2" v="7777"/>
    </bk>
    <bk>
      <rc t="2" v="7778"/>
    </bk>
    <bk>
      <rc t="2" v="7779"/>
    </bk>
    <bk>
      <rc t="2" v="7780"/>
    </bk>
    <bk>
      <rc t="2" v="7781"/>
    </bk>
    <bk>
      <rc t="2" v="7782"/>
    </bk>
    <bk>
      <rc t="2" v="7783"/>
    </bk>
    <bk>
      <rc t="2" v="7784"/>
    </bk>
    <bk>
      <rc t="2" v="7785"/>
    </bk>
    <bk>
      <rc t="2" v="7786"/>
    </bk>
    <bk>
      <rc t="2" v="7787"/>
    </bk>
    <bk>
      <rc t="2" v="7788"/>
    </bk>
    <bk>
      <rc t="2" v="7789"/>
    </bk>
    <bk>
      <rc t="2" v="7790"/>
    </bk>
    <bk>
      <rc t="2" v="7791"/>
    </bk>
    <bk>
      <rc t="2" v="7792"/>
    </bk>
    <bk>
      <rc t="2" v="7793"/>
    </bk>
    <bk>
      <rc t="2" v="7794"/>
    </bk>
    <bk>
      <rc t="2" v="7795"/>
    </bk>
    <bk>
      <rc t="2" v="7796"/>
    </bk>
    <bk>
      <rc t="2" v="7797"/>
    </bk>
    <bk>
      <rc t="2" v="7798"/>
    </bk>
    <bk>
      <rc t="2" v="7799"/>
    </bk>
    <bk>
      <rc t="2" v="7800"/>
    </bk>
    <bk>
      <rc t="2" v="7801"/>
    </bk>
    <bk>
      <rc t="2" v="7802"/>
    </bk>
    <bk>
      <rc t="2" v="7803"/>
    </bk>
    <bk>
      <rc t="2" v="7804"/>
    </bk>
    <bk>
      <rc t="2" v="7805"/>
    </bk>
    <bk>
      <rc t="2" v="7806"/>
    </bk>
    <bk>
      <rc t="2" v="7807"/>
    </bk>
    <bk>
      <rc t="2" v="7808"/>
    </bk>
    <bk>
      <rc t="2" v="7809"/>
    </bk>
    <bk>
      <rc t="2" v="7810"/>
    </bk>
    <bk>
      <rc t="2" v="7811"/>
    </bk>
    <bk>
      <rc t="2" v="7812"/>
    </bk>
    <bk>
      <rc t="2" v="7813"/>
    </bk>
    <bk>
      <rc t="2" v="7814"/>
    </bk>
    <bk>
      <rc t="2" v="7815"/>
    </bk>
    <bk>
      <rc t="2" v="7816"/>
    </bk>
    <bk>
      <rc t="2" v="7817"/>
    </bk>
    <bk>
      <rc t="2" v="7818"/>
    </bk>
    <bk>
      <rc t="2" v="7819"/>
    </bk>
    <bk>
      <rc t="2" v="7820"/>
    </bk>
    <bk>
      <rc t="2" v="7821"/>
    </bk>
    <bk>
      <rc t="2" v="7822"/>
    </bk>
    <bk>
      <rc t="2" v="7823"/>
    </bk>
    <bk>
      <rc t="2" v="7824"/>
    </bk>
    <bk>
      <rc t="2" v="7825"/>
    </bk>
    <bk>
      <rc t="2" v="7826"/>
    </bk>
    <bk>
      <rc t="2" v="7827"/>
    </bk>
    <bk>
      <rc t="2" v="7828"/>
    </bk>
    <bk>
      <rc t="2" v="7829"/>
    </bk>
    <bk>
      <rc t="2" v="7830"/>
    </bk>
    <bk>
      <rc t="2" v="7831"/>
    </bk>
    <bk>
      <rc t="2" v="7832"/>
    </bk>
    <bk>
      <rc t="2" v="7833"/>
    </bk>
    <bk>
      <rc t="2" v="7834"/>
    </bk>
    <bk>
      <rc t="2" v="7835"/>
    </bk>
    <bk>
      <rc t="2" v="7836"/>
    </bk>
    <bk>
      <rc t="2" v="7837"/>
    </bk>
    <bk>
      <rc t="2" v="7838"/>
    </bk>
    <bk>
      <rc t="2" v="7839"/>
    </bk>
    <bk>
      <rc t="2" v="7840"/>
    </bk>
    <bk>
      <rc t="2" v="7841"/>
    </bk>
    <bk>
      <rc t="2" v="7842"/>
    </bk>
    <bk>
      <rc t="2" v="7843"/>
    </bk>
    <bk>
      <rc t="2" v="7844"/>
    </bk>
    <bk>
      <rc t="2" v="7845"/>
    </bk>
    <bk>
      <rc t="2" v="7846"/>
    </bk>
    <bk>
      <rc t="2" v="7847"/>
    </bk>
    <bk>
      <rc t="2" v="7848"/>
    </bk>
    <bk>
      <rc t="2" v="7849"/>
    </bk>
    <bk>
      <rc t="2" v="7850"/>
    </bk>
    <bk>
      <rc t="2" v="7851"/>
    </bk>
    <bk>
      <rc t="2" v="7852"/>
    </bk>
    <bk>
      <rc t="2" v="7853"/>
    </bk>
    <bk>
      <rc t="2" v="7854"/>
    </bk>
    <bk>
      <rc t="2" v="7855"/>
    </bk>
    <bk>
      <rc t="2" v="7856"/>
    </bk>
    <bk>
      <rc t="2" v="7857"/>
    </bk>
    <bk>
      <rc t="2" v="7858"/>
    </bk>
    <bk>
      <rc t="2" v="7859"/>
    </bk>
    <bk>
      <rc t="2" v="7860"/>
    </bk>
    <bk>
      <rc t="2" v="7861"/>
    </bk>
    <bk>
      <rc t="2" v="7862"/>
    </bk>
    <bk>
      <rc t="2" v="7863"/>
    </bk>
    <bk>
      <rc t="2" v="7864"/>
    </bk>
    <bk>
      <rc t="2" v="7865"/>
    </bk>
    <bk>
      <rc t="2" v="7866"/>
    </bk>
    <bk>
      <rc t="2" v="7867"/>
    </bk>
    <bk>
      <rc t="2" v="7868"/>
    </bk>
    <bk>
      <rc t="2" v="7869"/>
    </bk>
    <bk>
      <rc t="2" v="7870"/>
    </bk>
    <bk>
      <rc t="2" v="7871"/>
    </bk>
    <bk>
      <rc t="2" v="7872"/>
    </bk>
    <bk>
      <rc t="2" v="7873"/>
    </bk>
    <bk>
      <rc t="2" v="7874"/>
    </bk>
    <bk>
      <rc t="2" v="7875"/>
    </bk>
    <bk>
      <rc t="2" v="7876"/>
    </bk>
    <bk>
      <rc t="2" v="7877"/>
    </bk>
    <bk>
      <rc t="2" v="7878"/>
    </bk>
    <bk>
      <rc t="2" v="7879"/>
    </bk>
    <bk>
      <rc t="2" v="7880"/>
    </bk>
    <bk>
      <rc t="2" v="7881"/>
    </bk>
    <bk>
      <rc t="2" v="7882"/>
    </bk>
    <bk>
      <rc t="2" v="7883"/>
    </bk>
    <bk>
      <rc t="2" v="7884"/>
    </bk>
    <bk>
      <rc t="2" v="7885"/>
    </bk>
    <bk>
      <rc t="2" v="7886"/>
    </bk>
    <bk>
      <rc t="2" v="7887"/>
    </bk>
    <bk>
      <rc t="2" v="7888"/>
    </bk>
    <bk>
      <rc t="2" v="7889"/>
    </bk>
    <bk>
      <rc t="2" v="7890"/>
    </bk>
    <bk>
      <rc t="2" v="7891"/>
    </bk>
    <bk>
      <rc t="2" v="7892"/>
    </bk>
    <bk>
      <rc t="2" v="7893"/>
    </bk>
    <bk>
      <rc t="2" v="7894"/>
    </bk>
    <bk>
      <rc t="2" v="7895"/>
    </bk>
    <bk>
      <rc t="2" v="7896"/>
    </bk>
    <bk>
      <rc t="2" v="7897"/>
    </bk>
    <bk>
      <rc t="2" v="7898"/>
    </bk>
    <bk>
      <rc t="2" v="7899"/>
    </bk>
    <bk>
      <rc t="2" v="7900"/>
    </bk>
    <bk>
      <rc t="2" v="7901"/>
    </bk>
    <bk>
      <rc t="2" v="7902"/>
    </bk>
    <bk>
      <rc t="2" v="7903"/>
    </bk>
    <bk>
      <rc t="2" v="7904"/>
    </bk>
    <bk>
      <rc t="2" v="7905"/>
    </bk>
    <bk>
      <rc t="2" v="7906"/>
    </bk>
    <bk>
      <rc t="2" v="7907"/>
    </bk>
    <bk>
      <rc t="2" v="7908"/>
    </bk>
    <bk>
      <rc t="2" v="7909"/>
    </bk>
    <bk>
      <rc t="2" v="7910"/>
    </bk>
    <bk>
      <rc t="2" v="7911"/>
    </bk>
    <bk>
      <rc t="2" v="7912"/>
    </bk>
    <bk>
      <rc t="2" v="7913"/>
    </bk>
    <bk>
      <rc t="2" v="7914"/>
    </bk>
    <bk>
      <rc t="2" v="7915"/>
    </bk>
    <bk>
      <rc t="2" v="7916"/>
    </bk>
    <bk>
      <rc t="2" v="7917"/>
    </bk>
    <bk>
      <rc t="2" v="7918"/>
    </bk>
    <bk>
      <rc t="2" v="7919"/>
    </bk>
    <bk>
      <rc t="2" v="7920"/>
    </bk>
    <bk>
      <rc t="2" v="7921"/>
    </bk>
    <bk>
      <rc t="2" v="7922"/>
    </bk>
    <bk>
      <rc t="2" v="7923"/>
    </bk>
    <bk>
      <rc t="2" v="7924"/>
    </bk>
    <bk>
      <rc t="2" v="7925"/>
    </bk>
    <bk>
      <rc t="2" v="7926"/>
    </bk>
    <bk>
      <rc t="2" v="7927"/>
    </bk>
    <bk>
      <rc t="2" v="7928"/>
    </bk>
    <bk>
      <rc t="2" v="7929"/>
    </bk>
    <bk>
      <rc t="2" v="7930"/>
    </bk>
    <bk>
      <rc t="2" v="7931"/>
    </bk>
    <bk>
      <rc t="2" v="7932"/>
    </bk>
    <bk>
      <rc t="2" v="7933"/>
    </bk>
    <bk>
      <rc t="2" v="7934"/>
    </bk>
    <bk>
      <rc t="2" v="7935"/>
    </bk>
    <bk>
      <rc t="2" v="7936"/>
    </bk>
    <bk>
      <rc t="2" v="7937"/>
    </bk>
    <bk>
      <rc t="2" v="7938"/>
    </bk>
    <bk>
      <rc t="2" v="7939"/>
    </bk>
    <bk>
      <rc t="2" v="7940"/>
    </bk>
    <bk>
      <rc t="2" v="7941"/>
    </bk>
    <bk>
      <rc t="2" v="7942"/>
    </bk>
    <bk>
      <rc t="2" v="7943"/>
    </bk>
    <bk>
      <rc t="2" v="7944"/>
    </bk>
    <bk>
      <rc t="2" v="7945"/>
    </bk>
    <bk>
      <rc t="2" v="7946"/>
    </bk>
    <bk>
      <rc t="2" v="7947"/>
    </bk>
    <bk>
      <rc t="2" v="7948"/>
    </bk>
    <bk>
      <rc t="2" v="7949"/>
    </bk>
    <bk>
      <rc t="2" v="7950"/>
    </bk>
    <bk>
      <rc t="2" v="7951"/>
    </bk>
    <bk>
      <rc t="2" v="7952"/>
    </bk>
    <bk>
      <rc t="2" v="7953"/>
    </bk>
    <bk>
      <rc t="2" v="7954"/>
    </bk>
    <bk>
      <rc t="2" v="7955"/>
    </bk>
    <bk>
      <rc t="2" v="7956"/>
    </bk>
    <bk>
      <rc t="2" v="7957"/>
    </bk>
    <bk>
      <rc t="2" v="7958"/>
    </bk>
    <bk>
      <rc t="2" v="7959"/>
    </bk>
    <bk>
      <rc t="2" v="7960"/>
    </bk>
    <bk>
      <rc t="2" v="7961"/>
    </bk>
    <bk>
      <rc t="2" v="7962"/>
    </bk>
    <bk>
      <rc t="2" v="7963"/>
    </bk>
    <bk>
      <rc t="2" v="7964"/>
    </bk>
    <bk>
      <rc t="2" v="7965"/>
    </bk>
    <bk>
      <rc t="2" v="7966"/>
    </bk>
    <bk>
      <rc t="2" v="7967"/>
    </bk>
    <bk>
      <rc t="2" v="7968"/>
    </bk>
    <bk>
      <rc t="2" v="7969"/>
    </bk>
    <bk>
      <rc t="2" v="7970"/>
    </bk>
    <bk>
      <rc t="2" v="7971"/>
    </bk>
    <bk>
      <rc t="2" v="7972"/>
    </bk>
    <bk>
      <rc t="2" v="7973"/>
    </bk>
    <bk>
      <rc t="2" v="7974"/>
    </bk>
    <bk>
      <rc t="2" v="7975"/>
    </bk>
    <bk>
      <rc t="2" v="7976"/>
    </bk>
    <bk>
      <rc t="2" v="7977"/>
    </bk>
    <bk>
      <rc t="2" v="7978"/>
    </bk>
    <bk>
      <rc t="2" v="7979"/>
    </bk>
    <bk>
      <rc t="2" v="7980"/>
    </bk>
    <bk>
      <rc t="2" v="7981"/>
    </bk>
    <bk>
      <rc t="2" v="7982"/>
    </bk>
    <bk>
      <rc t="2" v="7983"/>
    </bk>
    <bk>
      <rc t="2" v="7984"/>
    </bk>
    <bk>
      <rc t="2" v="7985"/>
    </bk>
    <bk>
      <rc t="2" v="7986"/>
    </bk>
    <bk>
      <rc t="2" v="7987"/>
    </bk>
    <bk>
      <rc t="2" v="7988"/>
    </bk>
    <bk>
      <rc t="2" v="7989"/>
    </bk>
    <bk>
      <rc t="2" v="7990"/>
    </bk>
    <bk>
      <rc t="2" v="7991"/>
    </bk>
    <bk>
      <rc t="2" v="7992"/>
    </bk>
    <bk>
      <rc t="2" v="7993"/>
    </bk>
    <bk>
      <rc t="2" v="7994"/>
    </bk>
    <bk>
      <rc t="2" v="7995"/>
    </bk>
    <bk>
      <rc t="2" v="7996"/>
    </bk>
    <bk>
      <rc t="2" v="7997"/>
    </bk>
    <bk>
      <rc t="2" v="7998"/>
    </bk>
    <bk>
      <rc t="2" v="7999"/>
    </bk>
    <bk>
      <rc t="2" v="8000"/>
    </bk>
    <bk>
      <rc t="2" v="8001"/>
    </bk>
    <bk>
      <rc t="2" v="8002"/>
    </bk>
    <bk>
      <rc t="2" v="8003"/>
    </bk>
    <bk>
      <rc t="2" v="8004"/>
    </bk>
    <bk>
      <rc t="2" v="8005"/>
    </bk>
    <bk>
      <rc t="2" v="8006"/>
    </bk>
    <bk>
      <rc t="2" v="8007"/>
    </bk>
    <bk>
      <rc t="2" v="8008"/>
    </bk>
    <bk>
      <rc t="2" v="8009"/>
    </bk>
    <bk>
      <rc t="2" v="8010"/>
    </bk>
    <bk>
      <rc t="2" v="8011"/>
    </bk>
    <bk>
      <rc t="2" v="8012"/>
    </bk>
    <bk>
      <rc t="2" v="8013"/>
    </bk>
    <bk>
      <rc t="2" v="8014"/>
    </bk>
    <bk>
      <rc t="2" v="8015"/>
    </bk>
    <bk>
      <rc t="2" v="8016"/>
    </bk>
    <bk>
      <rc t="2" v="8017"/>
    </bk>
    <bk>
      <rc t="2" v="8018"/>
    </bk>
    <bk>
      <rc t="2" v="8019"/>
    </bk>
    <bk>
      <rc t="2" v="8020"/>
    </bk>
    <bk>
      <rc t="2" v="8021"/>
    </bk>
    <bk>
      <rc t="2" v="8022"/>
    </bk>
    <bk>
      <rc t="2" v="8023"/>
    </bk>
    <bk>
      <rc t="2" v="8024"/>
    </bk>
    <bk>
      <rc t="2" v="8025"/>
    </bk>
    <bk>
      <rc t="2" v="8026"/>
    </bk>
    <bk>
      <rc t="2" v="8027"/>
    </bk>
    <bk>
      <rc t="2" v="8028"/>
    </bk>
    <bk>
      <rc t="2" v="8029"/>
    </bk>
    <bk>
      <rc t="2" v="8030"/>
    </bk>
    <bk>
      <rc t="2" v="8031"/>
    </bk>
    <bk>
      <rc t="2" v="8032"/>
    </bk>
    <bk>
      <rc t="2" v="8033"/>
    </bk>
    <bk>
      <rc t="2" v="8034"/>
    </bk>
    <bk>
      <rc t="2" v="8035"/>
    </bk>
    <bk>
      <rc t="2" v="8036"/>
    </bk>
    <bk>
      <rc t="2" v="8037"/>
    </bk>
    <bk>
      <rc t="2" v="8038"/>
    </bk>
    <bk>
      <rc t="2" v="8039"/>
    </bk>
    <bk>
      <rc t="2" v="8040"/>
    </bk>
    <bk>
      <rc t="2" v="8041"/>
    </bk>
    <bk>
      <rc t="2" v="8042"/>
    </bk>
    <bk>
      <rc t="2" v="8043"/>
    </bk>
    <bk>
      <rc t="2" v="8044"/>
    </bk>
    <bk>
      <rc t="2" v="8045"/>
    </bk>
    <bk>
      <rc t="2" v="8046"/>
    </bk>
    <bk>
      <rc t="2" v="8047"/>
    </bk>
    <bk>
      <rc t="2" v="8048"/>
    </bk>
    <bk>
      <rc t="2" v="8049"/>
    </bk>
    <bk>
      <rc t="2" v="8050"/>
    </bk>
    <bk>
      <rc t="2" v="8051"/>
    </bk>
    <bk>
      <rc t="2" v="8052"/>
    </bk>
    <bk>
      <rc t="2" v="8053"/>
    </bk>
    <bk>
      <rc t="2" v="8054"/>
    </bk>
    <bk>
      <rc t="2" v="8055"/>
    </bk>
    <bk>
      <rc t="2" v="8056"/>
    </bk>
    <bk>
      <rc t="2" v="8057"/>
    </bk>
    <bk>
      <rc t="2" v="8058"/>
    </bk>
    <bk>
      <rc t="2" v="8059"/>
    </bk>
    <bk>
      <rc t="2" v="8060"/>
    </bk>
    <bk>
      <rc t="2" v="8061"/>
    </bk>
    <bk>
      <rc t="2" v="8062"/>
    </bk>
    <bk>
      <rc t="2" v="8063"/>
    </bk>
    <bk>
      <rc t="2" v="8064"/>
    </bk>
    <bk>
      <rc t="2" v="8065"/>
    </bk>
    <bk>
      <rc t="2" v="8066"/>
    </bk>
    <bk>
      <rc t="2" v="8067"/>
    </bk>
    <bk>
      <rc t="2" v="8068"/>
    </bk>
    <bk>
      <rc t="2" v="8069"/>
    </bk>
    <bk>
      <rc t="2" v="8070"/>
    </bk>
    <bk>
      <rc t="2" v="8071"/>
    </bk>
    <bk>
      <rc t="2" v="8072"/>
    </bk>
    <bk>
      <rc t="2" v="8073"/>
    </bk>
    <bk>
      <rc t="2" v="8074"/>
    </bk>
    <bk>
      <rc t="2" v="8075"/>
    </bk>
    <bk>
      <rc t="2" v="8076"/>
    </bk>
    <bk>
      <rc t="2" v="8077"/>
    </bk>
    <bk>
      <rc t="2" v="8078"/>
    </bk>
    <bk>
      <rc t="2" v="8079"/>
    </bk>
    <bk>
      <rc t="2" v="8080"/>
    </bk>
    <bk>
      <rc t="2" v="8081"/>
    </bk>
    <bk>
      <rc t="2" v="8082"/>
    </bk>
    <bk>
      <rc t="2" v="8083"/>
    </bk>
    <bk>
      <rc t="2" v="8084"/>
    </bk>
    <bk>
      <rc t="2" v="8085"/>
    </bk>
    <bk>
      <rc t="2" v="8086"/>
    </bk>
    <bk>
      <rc t="2" v="8087"/>
    </bk>
    <bk>
      <rc t="2" v="8088"/>
    </bk>
    <bk>
      <rc t="2" v="8089"/>
    </bk>
    <bk>
      <rc t="2" v="8090"/>
    </bk>
    <bk>
      <rc t="2" v="8091"/>
    </bk>
    <bk>
      <rc t="2" v="8092"/>
    </bk>
    <bk>
      <rc t="2" v="8093"/>
    </bk>
    <bk>
      <rc t="2" v="8094"/>
    </bk>
    <bk>
      <rc t="2" v="8095"/>
    </bk>
    <bk>
      <rc t="2" v="8096"/>
    </bk>
    <bk>
      <rc t="2" v="8097"/>
    </bk>
    <bk>
      <rc t="2" v="8098"/>
    </bk>
    <bk>
      <rc t="2" v="8099"/>
    </bk>
    <bk>
      <rc t="2" v="8100"/>
    </bk>
    <bk>
      <rc t="2" v="8101"/>
    </bk>
    <bk>
      <rc t="2" v="8102"/>
    </bk>
    <bk>
      <rc t="2" v="8103"/>
    </bk>
    <bk>
      <rc t="2" v="8104"/>
    </bk>
    <bk>
      <rc t="2" v="8105"/>
    </bk>
    <bk>
      <rc t="2" v="8106"/>
    </bk>
    <bk>
      <rc t="2" v="8107"/>
    </bk>
    <bk>
      <rc t="2" v="8108"/>
    </bk>
    <bk>
      <rc t="2" v="8109"/>
    </bk>
    <bk>
      <rc t="2" v="8110"/>
    </bk>
    <bk>
      <rc t="2" v="8111"/>
    </bk>
    <bk>
      <rc t="2" v="8112"/>
    </bk>
    <bk>
      <rc t="2" v="8113"/>
    </bk>
    <bk>
      <rc t="2" v="8114"/>
    </bk>
    <bk>
      <rc t="2" v="8115"/>
    </bk>
    <bk>
      <rc t="2" v="8116"/>
    </bk>
    <bk>
      <rc t="2" v="8117"/>
    </bk>
    <bk>
      <rc t="2" v="8118"/>
    </bk>
    <bk>
      <rc t="2" v="8119"/>
    </bk>
    <bk>
      <rc t="2" v="8120"/>
    </bk>
    <bk>
      <rc t="2" v="8121"/>
    </bk>
    <bk>
      <rc t="2" v="8122"/>
    </bk>
    <bk>
      <rc t="2" v="8123"/>
    </bk>
    <bk>
      <rc t="2" v="8124"/>
    </bk>
    <bk>
      <rc t="2" v="8125"/>
    </bk>
    <bk>
      <rc t="2" v="8126"/>
    </bk>
    <bk>
      <rc t="2" v="8127"/>
    </bk>
    <bk>
      <rc t="2" v="8128"/>
    </bk>
    <bk>
      <rc t="2" v="8129"/>
    </bk>
    <bk>
      <rc t="2" v="8130"/>
    </bk>
    <bk>
      <rc t="2" v="8131"/>
    </bk>
    <bk>
      <rc t="2" v="8132"/>
    </bk>
    <bk>
      <rc t="2" v="8133"/>
    </bk>
    <bk>
      <rc t="2" v="8134"/>
    </bk>
    <bk>
      <rc t="2" v="8135"/>
    </bk>
    <bk>
      <rc t="2" v="8136"/>
    </bk>
    <bk>
      <rc t="2" v="8137"/>
    </bk>
    <bk>
      <rc t="2" v="8138"/>
    </bk>
    <bk>
      <rc t="2" v="8139"/>
    </bk>
    <bk>
      <rc t="2" v="8140"/>
    </bk>
    <bk>
      <rc t="2" v="8141"/>
    </bk>
    <bk>
      <rc t="2" v="8142"/>
    </bk>
    <bk>
      <rc t="2" v="8143"/>
    </bk>
    <bk>
      <rc t="2" v="8144"/>
    </bk>
    <bk>
      <rc t="2" v="8145"/>
    </bk>
    <bk>
      <rc t="2" v="8146"/>
    </bk>
    <bk>
      <rc t="2" v="8147"/>
    </bk>
    <bk>
      <rc t="2" v="8148"/>
    </bk>
    <bk>
      <rc t="2" v="8149"/>
    </bk>
    <bk>
      <rc t="2" v="8150"/>
    </bk>
    <bk>
      <rc t="2" v="8151"/>
    </bk>
    <bk>
      <rc t="2" v="8152"/>
    </bk>
    <bk>
      <rc t="2" v="8153"/>
    </bk>
    <bk>
      <rc t="2" v="8154"/>
    </bk>
    <bk>
      <rc t="2" v="8155"/>
    </bk>
    <bk>
      <rc t="2" v="8156"/>
    </bk>
    <bk>
      <rc t="2" v="8157"/>
    </bk>
    <bk>
      <rc t="2" v="8158"/>
    </bk>
    <bk>
      <rc t="2" v="8159"/>
    </bk>
    <bk>
      <rc t="2" v="8160"/>
    </bk>
    <bk>
      <rc t="2" v="8161"/>
    </bk>
    <bk>
      <rc t="2" v="8162"/>
    </bk>
    <bk>
      <rc t="2" v="8163"/>
    </bk>
    <bk>
      <rc t="2" v="8164"/>
    </bk>
    <bk>
      <rc t="2" v="8165"/>
    </bk>
    <bk>
      <rc t="2" v="8166"/>
    </bk>
    <bk>
      <rc t="2" v="8167"/>
    </bk>
    <bk>
      <rc t="2" v="8168"/>
    </bk>
    <bk>
      <rc t="2" v="8169"/>
    </bk>
    <bk>
      <rc t="2" v="8170"/>
    </bk>
    <bk>
      <rc t="2" v="8171"/>
    </bk>
    <bk>
      <rc t="2" v="8172"/>
    </bk>
    <bk>
      <rc t="2" v="8173"/>
    </bk>
    <bk>
      <rc t="2" v="8174"/>
    </bk>
    <bk>
      <rc t="2" v="8175"/>
    </bk>
    <bk>
      <rc t="2" v="8176"/>
    </bk>
    <bk>
      <rc t="2" v="8177"/>
    </bk>
    <bk>
      <rc t="2" v="8178"/>
    </bk>
    <bk>
      <rc t="2" v="8179"/>
    </bk>
    <bk>
      <rc t="2" v="8180"/>
    </bk>
    <bk>
      <rc t="2" v="8181"/>
    </bk>
    <bk>
      <rc t="2" v="8182"/>
    </bk>
    <bk>
      <rc t="2" v="8183"/>
    </bk>
    <bk>
      <rc t="2" v="8184"/>
    </bk>
    <bk>
      <rc t="2" v="8185"/>
    </bk>
    <bk>
      <rc t="2" v="8186"/>
    </bk>
    <bk>
      <rc t="2" v="8187"/>
    </bk>
    <bk>
      <rc t="2" v="8188"/>
    </bk>
    <bk>
      <rc t="2" v="8189"/>
    </bk>
    <bk>
      <rc t="2" v="8190"/>
    </bk>
    <bk>
      <rc t="2" v="8191"/>
    </bk>
    <bk>
      <rc t="2" v="8192"/>
    </bk>
    <bk>
      <rc t="2" v="8193"/>
    </bk>
    <bk>
      <rc t="2" v="8194"/>
    </bk>
    <bk>
      <rc t="2" v="8195"/>
    </bk>
    <bk>
      <rc t="2" v="8196"/>
    </bk>
    <bk>
      <rc t="2" v="8197"/>
    </bk>
    <bk>
      <rc t="2" v="8198"/>
    </bk>
    <bk>
      <rc t="2" v="8199"/>
    </bk>
    <bk>
      <rc t="2" v="8200"/>
    </bk>
    <bk>
      <rc t="2" v="8201"/>
    </bk>
    <bk>
      <rc t="2" v="8202"/>
    </bk>
    <bk>
      <rc t="2" v="8203"/>
    </bk>
    <bk>
      <rc t="2" v="8204"/>
    </bk>
    <bk>
      <rc t="2" v="8205"/>
    </bk>
    <bk>
      <rc t="2" v="8206"/>
    </bk>
    <bk>
      <rc t="2" v="8207"/>
    </bk>
    <bk>
      <rc t="2" v="8208"/>
    </bk>
    <bk>
      <rc t="2" v="8209"/>
    </bk>
    <bk>
      <rc t="2" v="8210"/>
    </bk>
    <bk>
      <rc t="2" v="8211"/>
    </bk>
    <bk>
      <rc t="2" v="8212"/>
    </bk>
    <bk>
      <rc t="2" v="8213"/>
    </bk>
    <bk>
      <rc t="2" v="8214"/>
    </bk>
    <bk>
      <rc t="2" v="8215"/>
    </bk>
    <bk>
      <rc t="2" v="8216"/>
    </bk>
    <bk>
      <rc t="2" v="8217"/>
    </bk>
    <bk>
      <rc t="2" v="8218"/>
    </bk>
    <bk>
      <rc t="2" v="8219"/>
    </bk>
    <bk>
      <rc t="2" v="8220"/>
    </bk>
    <bk>
      <rc t="2" v="8221"/>
    </bk>
    <bk>
      <rc t="2" v="8222"/>
    </bk>
    <bk>
      <rc t="2" v="8223"/>
    </bk>
    <bk>
      <rc t="2" v="8224"/>
    </bk>
    <bk>
      <rc t="2" v="8225"/>
    </bk>
    <bk>
      <rc t="2" v="8226"/>
    </bk>
    <bk>
      <rc t="2" v="8227"/>
    </bk>
    <bk>
      <rc t="2" v="8228"/>
    </bk>
    <bk>
      <rc t="2" v="8229"/>
    </bk>
    <bk>
      <rc t="2" v="8230"/>
    </bk>
    <bk>
      <rc t="2" v="8231"/>
    </bk>
    <bk>
      <rc t="2" v="8232"/>
    </bk>
    <bk>
      <rc t="2" v="8233"/>
    </bk>
    <bk>
      <rc t="2" v="8234"/>
    </bk>
    <bk>
      <rc t="2" v="8235"/>
    </bk>
    <bk>
      <rc t="2" v="8236"/>
    </bk>
    <bk>
      <rc t="2" v="8237"/>
    </bk>
    <bk>
      <rc t="2" v="8238"/>
    </bk>
    <bk>
      <rc t="2" v="8239"/>
    </bk>
    <bk>
      <rc t="2" v="8240"/>
    </bk>
    <bk>
      <rc t="2" v="8241"/>
    </bk>
    <bk>
      <rc t="2" v="8242"/>
    </bk>
    <bk>
      <rc t="2" v="8243"/>
    </bk>
    <bk>
      <rc t="2" v="8244"/>
    </bk>
    <bk>
      <rc t="2" v="8245"/>
    </bk>
    <bk>
      <rc t="2" v="8246"/>
    </bk>
    <bk>
      <rc t="2" v="8247"/>
    </bk>
    <bk>
      <rc t="2" v="8248"/>
    </bk>
    <bk>
      <rc t="2" v="8249"/>
    </bk>
    <bk>
      <rc t="2" v="8250"/>
    </bk>
    <bk>
      <rc t="2" v="8251"/>
    </bk>
    <bk>
      <rc t="2" v="8252"/>
    </bk>
    <bk>
      <rc t="2" v="8253"/>
    </bk>
    <bk>
      <rc t="2" v="8254"/>
    </bk>
    <bk>
      <rc t="2" v="8255"/>
    </bk>
    <bk>
      <rc t="2" v="8256"/>
    </bk>
    <bk>
      <rc t="2" v="8257"/>
    </bk>
    <bk>
      <rc t="2" v="8258"/>
    </bk>
    <bk>
      <rc t="2" v="8259"/>
    </bk>
    <bk>
      <rc t="2" v="8260"/>
    </bk>
    <bk>
      <rc t="2" v="8261"/>
    </bk>
    <bk>
      <rc t="2" v="8262"/>
    </bk>
    <bk>
      <rc t="2" v="8263"/>
    </bk>
    <bk>
      <rc t="2" v="8264"/>
    </bk>
    <bk>
      <rc t="2" v="8265"/>
    </bk>
    <bk>
      <rc t="2" v="8266"/>
    </bk>
    <bk>
      <rc t="2" v="8267"/>
    </bk>
    <bk>
      <rc t="2" v="8268"/>
    </bk>
    <bk>
      <rc t="2" v="8269"/>
    </bk>
    <bk>
      <rc t="2" v="8270"/>
    </bk>
    <bk>
      <rc t="2" v="8271"/>
    </bk>
    <bk>
      <rc t="2" v="8272"/>
    </bk>
    <bk>
      <rc t="2" v="8273"/>
    </bk>
    <bk>
      <rc t="2" v="8274"/>
    </bk>
    <bk>
      <rc t="2" v="8275"/>
    </bk>
    <bk>
      <rc t="2" v="8276"/>
    </bk>
    <bk>
      <rc t="2" v="8277"/>
    </bk>
    <bk>
      <rc t="2" v="8278"/>
    </bk>
    <bk>
      <rc t="2" v="8279"/>
    </bk>
    <bk>
      <rc t="2" v="8280"/>
    </bk>
    <bk>
      <rc t="2" v="8281"/>
    </bk>
    <bk>
      <rc t="2" v="8282"/>
    </bk>
    <bk>
      <rc t="2" v="8283"/>
    </bk>
    <bk>
      <rc t="2" v="8284"/>
    </bk>
    <bk>
      <rc t="2" v="8285"/>
    </bk>
    <bk>
      <rc t="2" v="8286"/>
    </bk>
    <bk>
      <rc t="2" v="8287"/>
    </bk>
    <bk>
      <rc t="2" v="8288"/>
    </bk>
    <bk>
      <rc t="2" v="8289"/>
    </bk>
    <bk>
      <rc t="2" v="8290"/>
    </bk>
    <bk>
      <rc t="2" v="8291"/>
    </bk>
    <bk>
      <rc t="2" v="8292"/>
    </bk>
    <bk>
      <rc t="2" v="8293"/>
    </bk>
    <bk>
      <rc t="2" v="8294"/>
    </bk>
    <bk>
      <rc t="2" v="8295"/>
    </bk>
    <bk>
      <rc t="2" v="8296"/>
    </bk>
    <bk>
      <rc t="2" v="8297"/>
    </bk>
    <bk>
      <rc t="2" v="8298"/>
    </bk>
    <bk>
      <rc t="2" v="8299"/>
    </bk>
    <bk>
      <rc t="2" v="8300"/>
    </bk>
    <bk>
      <rc t="2" v="8301"/>
    </bk>
    <bk>
      <rc t="2" v="8302"/>
    </bk>
    <bk>
      <rc t="2" v="8303"/>
    </bk>
    <bk>
      <rc t="2" v="8304"/>
    </bk>
    <bk>
      <rc t="2" v="8305"/>
    </bk>
    <bk>
      <rc t="2" v="8306"/>
    </bk>
    <bk>
      <rc t="2" v="8307"/>
    </bk>
    <bk>
      <rc t="2" v="8308"/>
    </bk>
    <bk>
      <rc t="2" v="8309"/>
    </bk>
    <bk>
      <rc t="2" v="8310"/>
    </bk>
    <bk>
      <rc t="2" v="8311"/>
    </bk>
    <bk>
      <rc t="2" v="8312"/>
    </bk>
    <bk>
      <rc t="2" v="8313"/>
    </bk>
    <bk>
      <rc t="2" v="8314"/>
    </bk>
    <bk>
      <rc t="2" v="8315"/>
    </bk>
    <bk>
      <rc t="2" v="8316"/>
    </bk>
    <bk>
      <rc t="2" v="8317"/>
    </bk>
    <bk>
      <rc t="2" v="8318"/>
    </bk>
    <bk>
      <rc t="2" v="8319"/>
    </bk>
    <bk>
      <rc t="2" v="8320"/>
    </bk>
    <bk>
      <rc t="2" v="8321"/>
    </bk>
    <bk>
      <rc t="2" v="8322"/>
    </bk>
    <bk>
      <rc t="2" v="8323"/>
    </bk>
    <bk>
      <rc t="2" v="8324"/>
    </bk>
    <bk>
      <rc t="2" v="8325"/>
    </bk>
    <bk>
      <rc t="2" v="8326"/>
    </bk>
    <bk>
      <rc t="2" v="8327"/>
    </bk>
    <bk>
      <rc t="2" v="8328"/>
    </bk>
    <bk>
      <rc t="2" v="8329"/>
    </bk>
    <bk>
      <rc t="2" v="8330"/>
    </bk>
    <bk>
      <rc t="2" v="8331"/>
    </bk>
    <bk>
      <rc t="2" v="8332"/>
    </bk>
    <bk>
      <rc t="2" v="8333"/>
    </bk>
    <bk>
      <rc t="2" v="8334"/>
    </bk>
    <bk>
      <rc t="2" v="8335"/>
    </bk>
    <bk>
      <rc t="2" v="8336"/>
    </bk>
    <bk>
      <rc t="2" v="8337"/>
    </bk>
    <bk>
      <rc t="2" v="8338"/>
    </bk>
    <bk>
      <rc t="2" v="8339"/>
    </bk>
    <bk>
      <rc t="2" v="8340"/>
    </bk>
    <bk>
      <rc t="2" v="8341"/>
    </bk>
    <bk>
      <rc t="2" v="8342"/>
    </bk>
    <bk>
      <rc t="2" v="8343"/>
    </bk>
    <bk>
      <rc t="2" v="8344"/>
    </bk>
    <bk>
      <rc t="2" v="8345"/>
    </bk>
    <bk>
      <rc t="2" v="8346"/>
    </bk>
    <bk>
      <rc t="2" v="8347"/>
    </bk>
    <bk>
      <rc t="2" v="8348"/>
    </bk>
    <bk>
      <rc t="2" v="8349"/>
    </bk>
    <bk>
      <rc t="2" v="8350"/>
    </bk>
    <bk>
      <rc t="2" v="8351"/>
    </bk>
    <bk>
      <rc t="2" v="8352"/>
    </bk>
    <bk>
      <rc t="2" v="8353"/>
    </bk>
    <bk>
      <rc t="2" v="8354"/>
    </bk>
    <bk>
      <rc t="2" v="8355"/>
    </bk>
    <bk>
      <rc t="2" v="8356"/>
    </bk>
    <bk>
      <rc t="2" v="8357"/>
    </bk>
    <bk>
      <rc t="2" v="8358"/>
    </bk>
    <bk>
      <rc t="2" v="8359"/>
    </bk>
    <bk>
      <rc t="2" v="8360"/>
    </bk>
    <bk>
      <rc t="2" v="8361"/>
    </bk>
    <bk>
      <rc t="2" v="8362"/>
    </bk>
    <bk>
      <rc t="2" v="8363"/>
    </bk>
    <bk>
      <rc t="2" v="8364"/>
    </bk>
    <bk>
      <rc t="2" v="8365"/>
    </bk>
    <bk>
      <rc t="2" v="8366"/>
    </bk>
    <bk>
      <rc t="2" v="8367"/>
    </bk>
    <bk>
      <rc t="2" v="8368"/>
    </bk>
    <bk>
      <rc t="2" v="8369"/>
    </bk>
    <bk>
      <rc t="2" v="8370"/>
    </bk>
    <bk>
      <rc t="2" v="8371"/>
    </bk>
    <bk>
      <rc t="2" v="8372"/>
    </bk>
    <bk>
      <rc t="2" v="8373"/>
    </bk>
    <bk>
      <rc t="2" v="8374"/>
    </bk>
    <bk>
      <rc t="2" v="8375"/>
    </bk>
    <bk>
      <rc t="2" v="8376"/>
    </bk>
    <bk>
      <rc t="2" v="8377"/>
    </bk>
    <bk>
      <rc t="2" v="8378"/>
    </bk>
    <bk>
      <rc t="2" v="8379"/>
    </bk>
    <bk>
      <rc t="2" v="8380"/>
    </bk>
    <bk>
      <rc t="2" v="8381"/>
    </bk>
    <bk>
      <rc t="2" v="8382"/>
    </bk>
    <bk>
      <rc t="2" v="8383"/>
    </bk>
    <bk>
      <rc t="2" v="8384"/>
    </bk>
    <bk>
      <rc t="2" v="8385"/>
    </bk>
    <bk>
      <rc t="2" v="8386"/>
    </bk>
    <bk>
      <rc t="2" v="8387"/>
    </bk>
    <bk>
      <rc t="2" v="8388"/>
    </bk>
    <bk>
      <rc t="2" v="8389"/>
    </bk>
    <bk>
      <rc t="2" v="8390"/>
    </bk>
    <bk>
      <rc t="2" v="8391"/>
    </bk>
    <bk>
      <rc t="2" v="8392"/>
    </bk>
    <bk>
      <rc t="2" v="8393"/>
    </bk>
    <bk>
      <rc t="2" v="8394"/>
    </bk>
    <bk>
      <rc t="2" v="8395"/>
    </bk>
    <bk>
      <rc t="2" v="8396"/>
    </bk>
    <bk>
      <rc t="2" v="8397"/>
    </bk>
    <bk>
      <rc t="2" v="8398"/>
    </bk>
    <bk>
      <rc t="2" v="8399"/>
    </bk>
    <bk>
      <rc t="2" v="8400"/>
    </bk>
    <bk>
      <rc t="2" v="8401"/>
    </bk>
    <bk>
      <rc t="2" v="8402"/>
    </bk>
    <bk>
      <rc t="2" v="8403"/>
    </bk>
    <bk>
      <rc t="2" v="8404"/>
    </bk>
    <bk>
      <rc t="2" v="8405"/>
    </bk>
    <bk>
      <rc t="2" v="8406"/>
    </bk>
    <bk>
      <rc t="2" v="8407"/>
    </bk>
    <bk>
      <rc t="2" v="8408"/>
    </bk>
    <bk>
      <rc t="2" v="8409"/>
    </bk>
    <bk>
      <rc t="2" v="8410"/>
    </bk>
    <bk>
      <rc t="2" v="8411"/>
    </bk>
    <bk>
      <rc t="2" v="8412"/>
    </bk>
    <bk>
      <rc t="2" v="8413"/>
    </bk>
    <bk>
      <rc t="2" v="8414"/>
    </bk>
    <bk>
      <rc t="2" v="8415"/>
    </bk>
    <bk>
      <rc t="2" v="8416"/>
    </bk>
    <bk>
      <rc t="2" v="8417"/>
    </bk>
    <bk>
      <rc t="2" v="8418"/>
    </bk>
    <bk>
      <rc t="2" v="8419"/>
    </bk>
    <bk>
      <rc t="2" v="8420"/>
    </bk>
    <bk>
      <rc t="2" v="8421"/>
    </bk>
    <bk>
      <rc t="2" v="8422"/>
    </bk>
    <bk>
      <rc t="2" v="8423"/>
    </bk>
    <bk>
      <rc t="2" v="8424"/>
    </bk>
    <bk>
      <rc t="2" v="8425"/>
    </bk>
    <bk>
      <rc t="2" v="8426"/>
    </bk>
    <bk>
      <rc t="2" v="8427"/>
    </bk>
    <bk>
      <rc t="2" v="8428"/>
    </bk>
    <bk>
      <rc t="2" v="8429"/>
    </bk>
    <bk>
      <rc t="2" v="8430"/>
    </bk>
    <bk>
      <rc t="2" v="8431"/>
    </bk>
    <bk>
      <rc t="2" v="8432"/>
    </bk>
    <bk>
      <rc t="2" v="8433"/>
    </bk>
    <bk>
      <rc t="2" v="8434"/>
    </bk>
    <bk>
      <rc t="2" v="8435"/>
    </bk>
    <bk>
      <rc t="2" v="8436"/>
    </bk>
    <bk>
      <rc t="2" v="8437"/>
    </bk>
    <bk>
      <rc t="2" v="8438"/>
    </bk>
    <bk>
      <rc t="2" v="8439"/>
    </bk>
    <bk>
      <rc t="2" v="8440"/>
    </bk>
    <bk>
      <rc t="2" v="8441"/>
    </bk>
    <bk>
      <rc t="2" v="8442"/>
    </bk>
    <bk>
      <rc t="2" v="8443"/>
    </bk>
    <bk>
      <rc t="2" v="8444"/>
    </bk>
    <bk>
      <rc t="2" v="8445"/>
    </bk>
    <bk>
      <rc t="2" v="8446"/>
    </bk>
    <bk>
      <rc t="2" v="8447"/>
    </bk>
    <bk>
      <rc t="2" v="8448"/>
    </bk>
    <bk>
      <rc t="2" v="8449"/>
    </bk>
    <bk>
      <rc t="2" v="8450"/>
    </bk>
    <bk>
      <rc t="2" v="8451"/>
    </bk>
    <bk>
      <rc t="2" v="8452"/>
    </bk>
    <bk>
      <rc t="2" v="8453"/>
    </bk>
    <bk>
      <rc t="2" v="8454"/>
    </bk>
    <bk>
      <rc t="2" v="8455"/>
    </bk>
    <bk>
      <rc t="2" v="8456"/>
    </bk>
    <bk>
      <rc t="2" v="8457"/>
    </bk>
    <bk>
      <rc t="2" v="8458"/>
    </bk>
    <bk>
      <rc t="2" v="8459"/>
    </bk>
    <bk>
      <rc t="2" v="8460"/>
    </bk>
    <bk>
      <rc t="2" v="8461"/>
    </bk>
    <bk>
      <rc t="2" v="8462"/>
    </bk>
    <bk>
      <rc t="2" v="8463"/>
    </bk>
    <bk>
      <rc t="2" v="8464"/>
    </bk>
    <bk>
      <rc t="2" v="8465"/>
    </bk>
    <bk>
      <rc t="2" v="8466"/>
    </bk>
    <bk>
      <rc t="2" v="8467"/>
    </bk>
    <bk>
      <rc t="2" v="8468"/>
    </bk>
    <bk>
      <rc t="2" v="8469"/>
    </bk>
    <bk>
      <rc t="2" v="8470"/>
    </bk>
    <bk>
      <rc t="2" v="8471"/>
    </bk>
    <bk>
      <rc t="2" v="8472"/>
    </bk>
    <bk>
      <rc t="2" v="8473"/>
    </bk>
    <bk>
      <rc t="2" v="8474"/>
    </bk>
    <bk>
      <rc t="2" v="8475"/>
    </bk>
    <bk>
      <rc t="2" v="8476"/>
    </bk>
    <bk>
      <rc t="2" v="8477"/>
    </bk>
    <bk>
      <rc t="2" v="8478"/>
    </bk>
    <bk>
      <rc t="2" v="8479"/>
    </bk>
    <bk>
      <rc t="2" v="8480"/>
    </bk>
    <bk>
      <rc t="2" v="8481"/>
    </bk>
    <bk>
      <rc t="2" v="8482"/>
    </bk>
    <bk>
      <rc t="2" v="8483"/>
    </bk>
    <bk>
      <rc t="2" v="8484"/>
    </bk>
    <bk>
      <rc t="2" v="8485"/>
    </bk>
    <bk>
      <rc t="2" v="8486"/>
    </bk>
    <bk>
      <rc t="2" v="8487"/>
    </bk>
    <bk>
      <rc t="2" v="8488"/>
    </bk>
    <bk>
      <rc t="2" v="8489"/>
    </bk>
    <bk>
      <rc t="2" v="8490"/>
    </bk>
    <bk>
      <rc t="2" v="8491"/>
    </bk>
    <bk>
      <rc t="2" v="8492"/>
    </bk>
    <bk>
      <rc t="2" v="8493"/>
    </bk>
    <bk>
      <rc t="2" v="8494"/>
    </bk>
    <bk>
      <rc t="2" v="8495"/>
    </bk>
    <bk>
      <rc t="2" v="8496"/>
    </bk>
    <bk>
      <rc t="2" v="8497"/>
    </bk>
    <bk>
      <rc t="2" v="8498"/>
    </bk>
    <bk>
      <rc t="2" v="8499"/>
    </bk>
    <bk>
      <rc t="2" v="8500"/>
    </bk>
    <bk>
      <rc t="2" v="8501"/>
    </bk>
    <bk>
      <rc t="2" v="8502"/>
    </bk>
    <bk>
      <rc t="2" v="8503"/>
    </bk>
    <bk>
      <rc t="2" v="8504"/>
    </bk>
    <bk>
      <rc t="2" v="8505"/>
    </bk>
    <bk>
      <rc t="2" v="8506"/>
    </bk>
    <bk>
      <rc t="2" v="8507"/>
    </bk>
    <bk>
      <rc t="2" v="8508"/>
    </bk>
    <bk>
      <rc t="2" v="8509"/>
    </bk>
    <bk>
      <rc t="2" v="8510"/>
    </bk>
    <bk>
      <rc t="2" v="8511"/>
    </bk>
    <bk>
      <rc t="2" v="8512"/>
    </bk>
    <bk>
      <rc t="2" v="8513"/>
    </bk>
    <bk>
      <rc t="2" v="8514"/>
    </bk>
    <bk>
      <rc t="2" v="8515"/>
    </bk>
    <bk>
      <rc t="2" v="8516"/>
    </bk>
    <bk>
      <rc t="2" v="8517"/>
    </bk>
    <bk>
      <rc t="2" v="8518"/>
    </bk>
    <bk>
      <rc t="2" v="8519"/>
    </bk>
    <bk>
      <rc t="2" v="8520"/>
    </bk>
    <bk>
      <rc t="2" v="8521"/>
    </bk>
    <bk>
      <rc t="2" v="8522"/>
    </bk>
    <bk>
      <rc t="2" v="8523"/>
    </bk>
    <bk>
      <rc t="2" v="8524"/>
    </bk>
    <bk>
      <rc t="2" v="8525"/>
    </bk>
    <bk>
      <rc t="2" v="8526"/>
    </bk>
    <bk>
      <rc t="2" v="8527"/>
    </bk>
    <bk>
      <rc t="2" v="8528"/>
    </bk>
    <bk>
      <rc t="2" v="8529"/>
    </bk>
    <bk>
      <rc t="2" v="8530"/>
    </bk>
    <bk>
      <rc t="2" v="8531"/>
    </bk>
    <bk>
      <rc t="2" v="8532"/>
    </bk>
    <bk>
      <rc t="2" v="8533"/>
    </bk>
    <bk>
      <rc t="2" v="8534"/>
    </bk>
    <bk>
      <rc t="2" v="8535"/>
    </bk>
    <bk>
      <rc t="2" v="8536"/>
    </bk>
    <bk>
      <rc t="2" v="8537"/>
    </bk>
    <bk>
      <rc t="2" v="8538"/>
    </bk>
    <bk>
      <rc t="2" v="8539"/>
    </bk>
    <bk>
      <rc t="2" v="8540"/>
    </bk>
    <bk>
      <rc t="2" v="8541"/>
    </bk>
    <bk>
      <rc t="2" v="8542"/>
    </bk>
    <bk>
      <rc t="2" v="8543"/>
    </bk>
    <bk>
      <rc t="2" v="8544"/>
    </bk>
    <bk>
      <rc t="2" v="8545"/>
    </bk>
    <bk>
      <rc t="2" v="8546"/>
    </bk>
    <bk>
      <rc t="2" v="8547"/>
    </bk>
    <bk>
      <rc t="2" v="8548"/>
    </bk>
    <bk>
      <rc t="2" v="8549"/>
    </bk>
    <bk>
      <rc t="2" v="8550"/>
    </bk>
    <bk>
      <rc t="2" v="8551"/>
    </bk>
    <bk>
      <rc t="2" v="8552"/>
    </bk>
    <bk>
      <rc t="2" v="8553"/>
    </bk>
    <bk>
      <rc t="2" v="8554"/>
    </bk>
    <bk>
      <rc t="2" v="8555"/>
    </bk>
    <bk>
      <rc t="2" v="8556"/>
    </bk>
    <bk>
      <rc t="2" v="8557"/>
    </bk>
    <bk>
      <rc t="2" v="8558"/>
    </bk>
    <bk>
      <rc t="2" v="8559"/>
    </bk>
    <bk>
      <rc t="2" v="8560"/>
    </bk>
    <bk>
      <rc t="2" v="8561"/>
    </bk>
    <bk>
      <rc t="2" v="8562"/>
    </bk>
    <bk>
      <rc t="2" v="8563"/>
    </bk>
    <bk>
      <rc t="2" v="8564"/>
    </bk>
    <bk>
      <rc t="2" v="8565"/>
    </bk>
    <bk>
      <rc t="2" v="8566"/>
    </bk>
    <bk>
      <rc t="2" v="8567"/>
    </bk>
    <bk>
      <rc t="2" v="8568"/>
    </bk>
    <bk>
      <rc t="2" v="8569"/>
    </bk>
    <bk>
      <rc t="2" v="8570"/>
    </bk>
    <bk>
      <rc t="2" v="8571"/>
    </bk>
    <bk>
      <rc t="2" v="8572"/>
    </bk>
    <bk>
      <rc t="2" v="8573"/>
    </bk>
    <bk>
      <rc t="2" v="8574"/>
    </bk>
    <bk>
      <rc t="2" v="8575"/>
    </bk>
    <bk>
      <rc t="2" v="8576"/>
    </bk>
    <bk>
      <rc t="2" v="8577"/>
    </bk>
    <bk>
      <rc t="2" v="8578"/>
    </bk>
    <bk>
      <rc t="2" v="8579"/>
    </bk>
    <bk>
      <rc t="2" v="8580"/>
    </bk>
    <bk>
      <rc t="2" v="8581"/>
    </bk>
    <bk>
      <rc t="2" v="8582"/>
    </bk>
    <bk>
      <rc t="2" v="8583"/>
    </bk>
    <bk>
      <rc t="2" v="8584"/>
    </bk>
    <bk>
      <rc t="2" v="8585"/>
    </bk>
    <bk>
      <rc t="2" v="8586"/>
    </bk>
    <bk>
      <rc t="2" v="8587"/>
    </bk>
    <bk>
      <rc t="2" v="8588"/>
    </bk>
    <bk>
      <rc t="2" v="8589"/>
    </bk>
    <bk>
      <rc t="2" v="8590"/>
    </bk>
    <bk>
      <rc t="2" v="8591"/>
    </bk>
    <bk>
      <rc t="2" v="8592"/>
    </bk>
    <bk>
      <rc t="2" v="8593"/>
    </bk>
    <bk>
      <rc t="2" v="8594"/>
    </bk>
    <bk>
      <rc t="2" v="8595"/>
    </bk>
    <bk>
      <rc t="2" v="8596"/>
    </bk>
    <bk>
      <rc t="2" v="8597"/>
    </bk>
    <bk>
      <rc t="2" v="8598"/>
    </bk>
    <bk>
      <rc t="2" v="8599"/>
    </bk>
    <bk>
      <rc t="2" v="8600"/>
    </bk>
    <bk>
      <rc t="2" v="8601"/>
    </bk>
    <bk>
      <rc t="2" v="8602"/>
    </bk>
    <bk>
      <rc t="2" v="8603"/>
    </bk>
    <bk>
      <rc t="2" v="8604"/>
    </bk>
    <bk>
      <rc t="2" v="8605"/>
    </bk>
    <bk>
      <rc t="2" v="8606"/>
    </bk>
    <bk>
      <rc t="2" v="8607"/>
    </bk>
    <bk>
      <rc t="2" v="8608"/>
    </bk>
    <bk>
      <rc t="2" v="8609"/>
    </bk>
    <bk>
      <rc t="2" v="8610"/>
    </bk>
    <bk>
      <rc t="2" v="8611"/>
    </bk>
    <bk>
      <rc t="2" v="8612"/>
    </bk>
    <bk>
      <rc t="2" v="8613"/>
    </bk>
    <bk>
      <rc t="2" v="8614"/>
    </bk>
    <bk>
      <rc t="2" v="8615"/>
    </bk>
    <bk>
      <rc t="2" v="8616"/>
    </bk>
    <bk>
      <rc t="2" v="8617"/>
    </bk>
    <bk>
      <rc t="2" v="8618"/>
    </bk>
    <bk>
      <rc t="2" v="8619"/>
    </bk>
    <bk>
      <rc t="2" v="8620"/>
    </bk>
    <bk>
      <rc t="2" v="8621"/>
    </bk>
    <bk>
      <rc t="2" v="8622"/>
    </bk>
    <bk>
      <rc t="2" v="8623"/>
    </bk>
    <bk>
      <rc t="2" v="8624"/>
    </bk>
    <bk>
      <rc t="2" v="8625"/>
    </bk>
    <bk>
      <rc t="2" v="8626"/>
    </bk>
    <bk>
      <rc t="2" v="8627"/>
    </bk>
    <bk>
      <rc t="2" v="8628"/>
    </bk>
    <bk>
      <rc t="2" v="8629"/>
    </bk>
    <bk>
      <rc t="2" v="8630"/>
    </bk>
    <bk>
      <rc t="2" v="8631"/>
    </bk>
    <bk>
      <rc t="2" v="8632"/>
    </bk>
    <bk>
      <rc t="2" v="8633"/>
    </bk>
    <bk>
      <rc t="2" v="8634"/>
    </bk>
    <bk>
      <rc t="2" v="8635"/>
    </bk>
    <bk>
      <rc t="2" v="8636"/>
    </bk>
    <bk>
      <rc t="2" v="8637"/>
    </bk>
    <bk>
      <rc t="2" v="8638"/>
    </bk>
    <bk>
      <rc t="2" v="8639"/>
    </bk>
    <bk>
      <rc t="2" v="8640"/>
    </bk>
    <bk>
      <rc t="2" v="8641"/>
    </bk>
    <bk>
      <rc t="2" v="8642"/>
    </bk>
    <bk>
      <rc t="2" v="8643"/>
    </bk>
    <bk>
      <rc t="2" v="8644"/>
    </bk>
    <bk>
      <rc t="2" v="8645"/>
    </bk>
    <bk>
      <rc t="2" v="8646"/>
    </bk>
    <bk>
      <rc t="2" v="8647"/>
    </bk>
    <bk>
      <rc t="2" v="8648"/>
    </bk>
    <bk>
      <rc t="2" v="8649"/>
    </bk>
    <bk>
      <rc t="2" v="8650"/>
    </bk>
    <bk>
      <rc t="2" v="8651"/>
    </bk>
    <bk>
      <rc t="2" v="8652"/>
    </bk>
    <bk>
      <rc t="2" v="8653"/>
    </bk>
    <bk>
      <rc t="2" v="8654"/>
    </bk>
    <bk>
      <rc t="2" v="8655"/>
    </bk>
    <bk>
      <rc t="2" v="8656"/>
    </bk>
    <bk>
      <rc t="2" v="8657"/>
    </bk>
    <bk>
      <rc t="2" v="8658"/>
    </bk>
    <bk>
      <rc t="2" v="8659"/>
    </bk>
    <bk>
      <rc t="2" v="8660"/>
    </bk>
    <bk>
      <rc t="2" v="8661"/>
    </bk>
    <bk>
      <rc t="2" v="8662"/>
    </bk>
    <bk>
      <rc t="2" v="8663"/>
    </bk>
    <bk>
      <rc t="2" v="8664"/>
    </bk>
    <bk>
      <rc t="2" v="8665"/>
    </bk>
    <bk>
      <rc t="2" v="8666"/>
    </bk>
    <bk>
      <rc t="2" v="8667"/>
    </bk>
    <bk>
      <rc t="2" v="8668"/>
    </bk>
    <bk>
      <rc t="2" v="8669"/>
    </bk>
    <bk>
      <rc t="2" v="8670"/>
    </bk>
    <bk>
      <rc t="2" v="8671"/>
    </bk>
    <bk>
      <rc t="2" v="8672"/>
    </bk>
    <bk>
      <rc t="2" v="8673"/>
    </bk>
    <bk>
      <rc t="2" v="8674"/>
    </bk>
    <bk>
      <rc t="2" v="8675"/>
    </bk>
    <bk>
      <rc t="2" v="8676"/>
    </bk>
    <bk>
      <rc t="2" v="8677"/>
    </bk>
    <bk>
      <rc t="2" v="8678"/>
    </bk>
    <bk>
      <rc t="2" v="8679"/>
    </bk>
    <bk>
      <rc t="2" v="8680"/>
    </bk>
    <bk>
      <rc t="2" v="8681"/>
    </bk>
    <bk>
      <rc t="2" v="8682"/>
    </bk>
    <bk>
      <rc t="2" v="8683"/>
    </bk>
    <bk>
      <rc t="2" v="8684"/>
    </bk>
    <bk>
      <rc t="2" v="8685"/>
    </bk>
    <bk>
      <rc t="2" v="8686"/>
    </bk>
    <bk>
      <rc t="2" v="8687"/>
    </bk>
    <bk>
      <rc t="2" v="8688"/>
    </bk>
    <bk>
      <rc t="2" v="8689"/>
    </bk>
    <bk>
      <rc t="2" v="8690"/>
    </bk>
    <bk>
      <rc t="2" v="8691"/>
    </bk>
    <bk>
      <rc t="2" v="8692"/>
    </bk>
    <bk>
      <rc t="2" v="8693"/>
    </bk>
    <bk>
      <rc t="2" v="8694"/>
    </bk>
    <bk>
      <rc t="2" v="8695"/>
    </bk>
    <bk>
      <rc t="2" v="8696"/>
    </bk>
    <bk>
      <rc t="2" v="8697"/>
    </bk>
    <bk>
      <rc t="2" v="8698"/>
    </bk>
    <bk>
      <rc t="2" v="8699"/>
    </bk>
    <bk>
      <rc t="2" v="8700"/>
    </bk>
    <bk>
      <rc t="2" v="8701"/>
    </bk>
    <bk>
      <rc t="2" v="8702"/>
    </bk>
    <bk>
      <rc t="2" v="8703"/>
    </bk>
    <bk>
      <rc t="2" v="8704"/>
    </bk>
    <bk>
      <rc t="2" v="8705"/>
    </bk>
    <bk>
      <rc t="2" v="8706"/>
    </bk>
    <bk>
      <rc t="2" v="8707"/>
    </bk>
    <bk>
      <rc t="2" v="8708"/>
    </bk>
    <bk>
      <rc t="2" v="8709"/>
    </bk>
    <bk>
      <rc t="2" v="8710"/>
    </bk>
    <bk>
      <rc t="2" v="8711"/>
    </bk>
    <bk>
      <rc t="2" v="8712"/>
    </bk>
    <bk>
      <rc t="2" v="8713"/>
    </bk>
    <bk>
      <rc t="2" v="8714"/>
    </bk>
    <bk>
      <rc t="2" v="8715"/>
    </bk>
    <bk>
      <rc t="2" v="8716"/>
    </bk>
    <bk>
      <rc t="2" v="8717"/>
    </bk>
    <bk>
      <rc t="2" v="8718"/>
    </bk>
    <bk>
      <rc t="2" v="8719"/>
    </bk>
    <bk>
      <rc t="2" v="8720"/>
    </bk>
    <bk>
      <rc t="2" v="8721"/>
    </bk>
    <bk>
      <rc t="2" v="8722"/>
    </bk>
    <bk>
      <rc t="2" v="8723"/>
    </bk>
    <bk>
      <rc t="2" v="8724"/>
    </bk>
    <bk>
      <rc t="2" v="8725"/>
    </bk>
    <bk>
      <rc t="2" v="8726"/>
    </bk>
    <bk>
      <rc t="2" v="8727"/>
    </bk>
    <bk>
      <rc t="2" v="8728"/>
    </bk>
    <bk>
      <rc t="2" v="8729"/>
    </bk>
    <bk>
      <rc t="2" v="8730"/>
    </bk>
    <bk>
      <rc t="2" v="8731"/>
    </bk>
    <bk>
      <rc t="2" v="8732"/>
    </bk>
    <bk>
      <rc t="2" v="8733"/>
    </bk>
    <bk>
      <rc t="2" v="8734"/>
    </bk>
    <bk>
      <rc t="2" v="8735"/>
    </bk>
    <bk>
      <rc t="2" v="8736"/>
    </bk>
    <bk>
      <rc t="2" v="8737"/>
    </bk>
    <bk>
      <rc t="2" v="8738"/>
    </bk>
    <bk>
      <rc t="2" v="8739"/>
    </bk>
    <bk>
      <rc t="2" v="8740"/>
    </bk>
    <bk>
      <rc t="2" v="8741"/>
    </bk>
    <bk>
      <rc t="2" v="8742"/>
    </bk>
    <bk>
      <rc t="2" v="8743"/>
    </bk>
    <bk>
      <rc t="2" v="8744"/>
    </bk>
    <bk>
      <rc t="2" v="8745"/>
    </bk>
    <bk>
      <rc t="2" v="8746"/>
    </bk>
    <bk>
      <rc t="2" v="8747"/>
    </bk>
    <bk>
      <rc t="2" v="8748"/>
    </bk>
    <bk>
      <rc t="2" v="8749"/>
    </bk>
    <bk>
      <rc t="2" v="8750"/>
    </bk>
    <bk>
      <rc t="2" v="8751"/>
    </bk>
    <bk>
      <rc t="2" v="8752"/>
    </bk>
    <bk>
      <rc t="2" v="8753"/>
    </bk>
    <bk>
      <rc t="2" v="8754"/>
    </bk>
    <bk>
      <rc t="2" v="8755"/>
    </bk>
    <bk>
      <rc t="2" v="8756"/>
    </bk>
    <bk>
      <rc t="2" v="8757"/>
    </bk>
    <bk>
      <rc t="2" v="8758"/>
    </bk>
    <bk>
      <rc t="2" v="8759"/>
    </bk>
    <bk>
      <rc t="2" v="8760"/>
    </bk>
    <bk>
      <rc t="2" v="8761"/>
    </bk>
    <bk>
      <rc t="2" v="8762"/>
    </bk>
    <bk>
      <rc t="2" v="8763"/>
    </bk>
    <bk>
      <rc t="2" v="8764"/>
    </bk>
    <bk>
      <rc t="2" v="8765"/>
    </bk>
    <bk>
      <rc t="2" v="8766"/>
    </bk>
    <bk>
      <rc t="2" v="8767"/>
    </bk>
    <bk>
      <rc t="2" v="8768"/>
    </bk>
    <bk>
      <rc t="2" v="8769"/>
    </bk>
    <bk>
      <rc t="2" v="8770"/>
    </bk>
    <bk>
      <rc t="2" v="8771"/>
    </bk>
    <bk>
      <rc t="2" v="8772"/>
    </bk>
    <bk>
      <rc t="2" v="8773"/>
    </bk>
    <bk>
      <rc t="2" v="8774"/>
    </bk>
    <bk>
      <rc t="2" v="8775"/>
    </bk>
    <bk>
      <rc t="2" v="8776"/>
    </bk>
    <bk>
      <rc t="2" v="8777"/>
    </bk>
    <bk>
      <rc t="2" v="8778"/>
    </bk>
    <bk>
      <rc t="2" v="8779"/>
    </bk>
    <bk>
      <rc t="2" v="8780"/>
    </bk>
    <bk>
      <rc t="2" v="8781"/>
    </bk>
    <bk>
      <rc t="2" v="8782"/>
    </bk>
    <bk>
      <rc t="2" v="8783"/>
    </bk>
    <bk>
      <rc t="2" v="8784"/>
    </bk>
    <bk>
      <rc t="2" v="8785"/>
    </bk>
    <bk>
      <rc t="2" v="8786"/>
    </bk>
    <bk>
      <rc t="2" v="8787"/>
    </bk>
    <bk>
      <rc t="2" v="8788"/>
    </bk>
    <bk>
      <rc t="2" v="8789"/>
    </bk>
    <bk>
      <rc t="2" v="8790"/>
    </bk>
    <bk>
      <rc t="2" v="8791"/>
    </bk>
    <bk>
      <rc t="2" v="8792"/>
    </bk>
    <bk>
      <rc t="2" v="8793"/>
    </bk>
    <bk>
      <rc t="2" v="8794"/>
    </bk>
    <bk>
      <rc t="2" v="8795"/>
    </bk>
    <bk>
      <rc t="2" v="8796"/>
    </bk>
    <bk>
      <rc t="2" v="8797"/>
    </bk>
    <bk>
      <rc t="2" v="8798"/>
    </bk>
    <bk>
      <rc t="2" v="8799"/>
    </bk>
    <bk>
      <rc t="2" v="8800"/>
    </bk>
    <bk>
      <rc t="2" v="8801"/>
    </bk>
    <bk>
      <rc t="2" v="8802"/>
    </bk>
    <bk>
      <rc t="2" v="8803"/>
    </bk>
    <bk>
      <rc t="2" v="8804"/>
    </bk>
    <bk>
      <rc t="2" v="8805"/>
    </bk>
    <bk>
      <rc t="2" v="8806"/>
    </bk>
    <bk>
      <rc t="2" v="8807"/>
    </bk>
    <bk>
      <rc t="2" v="8808"/>
    </bk>
    <bk>
      <rc t="2" v="8809"/>
    </bk>
    <bk>
      <rc t="2" v="8810"/>
    </bk>
    <bk>
      <rc t="2" v="8811"/>
    </bk>
    <bk>
      <rc t="2" v="8812"/>
    </bk>
    <bk>
      <rc t="2" v="8813"/>
    </bk>
    <bk>
      <rc t="2" v="8814"/>
    </bk>
    <bk>
      <rc t="2" v="8815"/>
    </bk>
    <bk>
      <rc t="2" v="8816"/>
    </bk>
    <bk>
      <rc t="2" v="8817"/>
    </bk>
    <bk>
      <rc t="2" v="8818"/>
    </bk>
    <bk>
      <rc t="2" v="8819"/>
    </bk>
    <bk>
      <rc t="2" v="8820"/>
    </bk>
    <bk>
      <rc t="2" v="8821"/>
    </bk>
    <bk>
      <rc t="2" v="8822"/>
    </bk>
    <bk>
      <rc t="2" v="8823"/>
    </bk>
    <bk>
      <rc t="2" v="8824"/>
    </bk>
    <bk>
      <rc t="2" v="8825"/>
    </bk>
    <bk>
      <rc t="2" v="8826"/>
    </bk>
    <bk>
      <rc t="2" v="8827"/>
    </bk>
    <bk>
      <rc t="2" v="8828"/>
    </bk>
    <bk>
      <rc t="2" v="8829"/>
    </bk>
    <bk>
      <rc t="2" v="8830"/>
    </bk>
    <bk>
      <rc t="2" v="8831"/>
    </bk>
    <bk>
      <rc t="2" v="8832"/>
    </bk>
    <bk>
      <rc t="2" v="8833"/>
    </bk>
    <bk>
      <rc t="2" v="8834"/>
    </bk>
    <bk>
      <rc t="2" v="8835"/>
    </bk>
    <bk>
      <rc t="2" v="8836"/>
    </bk>
    <bk>
      <rc t="2" v="8837"/>
    </bk>
    <bk>
      <rc t="2" v="8838"/>
    </bk>
    <bk>
      <rc t="2" v="8839"/>
    </bk>
    <bk>
      <rc t="2" v="8840"/>
    </bk>
    <bk>
      <rc t="2" v="8841"/>
    </bk>
    <bk>
      <rc t="2" v="8842"/>
    </bk>
    <bk>
      <rc t="2" v="8843"/>
    </bk>
    <bk>
      <rc t="2" v="8844"/>
    </bk>
    <bk>
      <rc t="2" v="8845"/>
    </bk>
    <bk>
      <rc t="2" v="8846"/>
    </bk>
    <bk>
      <rc t="2" v="8847"/>
    </bk>
    <bk>
      <rc t="2" v="8848"/>
    </bk>
    <bk>
      <rc t="2" v="8849"/>
    </bk>
    <bk>
      <rc t="2" v="8850"/>
    </bk>
    <bk>
      <rc t="2" v="8851"/>
    </bk>
    <bk>
      <rc t="2" v="8852"/>
    </bk>
    <bk>
      <rc t="2" v="8853"/>
    </bk>
    <bk>
      <rc t="2" v="8854"/>
    </bk>
    <bk>
      <rc t="2" v="8855"/>
    </bk>
    <bk>
      <rc t="2" v="8856"/>
    </bk>
    <bk>
      <rc t="2" v="8857"/>
    </bk>
    <bk>
      <rc t="2" v="8858"/>
    </bk>
    <bk>
      <rc t="2" v="8859"/>
    </bk>
    <bk>
      <rc t="2" v="8860"/>
    </bk>
    <bk>
      <rc t="2" v="8861"/>
    </bk>
    <bk>
      <rc t="2" v="8862"/>
    </bk>
    <bk>
      <rc t="2" v="8863"/>
    </bk>
    <bk>
      <rc t="2" v="8864"/>
    </bk>
    <bk>
      <rc t="2" v="8865"/>
    </bk>
    <bk>
      <rc t="2" v="8866"/>
    </bk>
    <bk>
      <rc t="2" v="8867"/>
    </bk>
    <bk>
      <rc t="2" v="8868"/>
    </bk>
    <bk>
      <rc t="2" v="8869"/>
    </bk>
    <bk>
      <rc t="2" v="8870"/>
    </bk>
    <bk>
      <rc t="2" v="8871"/>
    </bk>
    <bk>
      <rc t="2" v="8872"/>
    </bk>
    <bk>
      <rc t="2" v="8873"/>
    </bk>
    <bk>
      <rc t="2" v="8874"/>
    </bk>
    <bk>
      <rc t="2" v="8875"/>
    </bk>
    <bk>
      <rc t="2" v="8876"/>
    </bk>
    <bk>
      <rc t="2" v="8877"/>
    </bk>
    <bk>
      <rc t="2" v="8878"/>
    </bk>
    <bk>
      <rc t="2" v="8879"/>
    </bk>
    <bk>
      <rc t="2" v="8880"/>
    </bk>
    <bk>
      <rc t="2" v="8881"/>
    </bk>
    <bk>
      <rc t="2" v="8882"/>
    </bk>
    <bk>
      <rc t="2" v="8883"/>
    </bk>
    <bk>
      <rc t="2" v="8884"/>
    </bk>
    <bk>
      <rc t="2" v="8885"/>
    </bk>
    <bk>
      <rc t="2" v="8886"/>
    </bk>
    <bk>
      <rc t="2" v="8887"/>
    </bk>
    <bk>
      <rc t="2" v="8888"/>
    </bk>
    <bk>
      <rc t="2" v="8889"/>
    </bk>
    <bk>
      <rc t="2" v="8890"/>
    </bk>
    <bk>
      <rc t="2" v="8891"/>
    </bk>
    <bk>
      <rc t="2" v="8892"/>
    </bk>
    <bk>
      <rc t="2" v="8893"/>
    </bk>
    <bk>
      <rc t="2" v="8894"/>
    </bk>
    <bk>
      <rc t="2" v="8895"/>
    </bk>
    <bk>
      <rc t="2" v="8896"/>
    </bk>
    <bk>
      <rc t="2" v="8897"/>
    </bk>
    <bk>
      <rc t="2" v="8898"/>
    </bk>
    <bk>
      <rc t="2" v="8899"/>
    </bk>
    <bk>
      <rc t="2" v="8900"/>
    </bk>
    <bk>
      <rc t="2" v="8901"/>
    </bk>
    <bk>
      <rc t="2" v="8902"/>
    </bk>
    <bk>
      <rc t="2" v="8903"/>
    </bk>
    <bk>
      <rc t="2" v="8904"/>
    </bk>
    <bk>
      <rc t="2" v="8905"/>
    </bk>
    <bk>
      <rc t="2" v="8906"/>
    </bk>
    <bk>
      <rc t="2" v="8907"/>
    </bk>
    <bk>
      <rc t="2" v="8908"/>
    </bk>
    <bk>
      <rc t="2" v="8909"/>
    </bk>
    <bk>
      <rc t="2" v="8910"/>
    </bk>
    <bk>
      <rc t="2" v="8911"/>
    </bk>
    <bk>
      <rc t="2" v="8912"/>
    </bk>
    <bk>
      <rc t="2" v="8913"/>
    </bk>
    <bk>
      <rc t="2" v="8914"/>
    </bk>
    <bk>
      <rc t="2" v="8915"/>
    </bk>
    <bk>
      <rc t="2" v="8916"/>
    </bk>
    <bk>
      <rc t="2" v="8917"/>
    </bk>
    <bk>
      <rc t="2" v="8918"/>
    </bk>
    <bk>
      <rc t="2" v="8919"/>
    </bk>
    <bk>
      <rc t="2" v="8920"/>
    </bk>
    <bk>
      <rc t="2" v="8921"/>
    </bk>
    <bk>
      <rc t="2" v="8922"/>
    </bk>
    <bk>
      <rc t="2" v="8923"/>
    </bk>
    <bk>
      <rc t="2" v="8924"/>
    </bk>
    <bk>
      <rc t="2" v="8925"/>
    </bk>
    <bk>
      <rc t="2" v="8926"/>
    </bk>
    <bk>
      <rc t="2" v="8927"/>
    </bk>
    <bk>
      <rc t="2" v="8928"/>
    </bk>
    <bk>
      <rc t="2" v="8929"/>
    </bk>
    <bk>
      <rc t="2" v="8930"/>
    </bk>
    <bk>
      <rc t="2" v="8931"/>
    </bk>
    <bk>
      <rc t="2" v="8932"/>
    </bk>
    <bk>
      <rc t="2" v="8933"/>
    </bk>
    <bk>
      <rc t="2" v="8934"/>
    </bk>
    <bk>
      <rc t="2" v="8935"/>
    </bk>
    <bk>
      <rc t="2" v="8936"/>
    </bk>
    <bk>
      <rc t="2" v="8937"/>
    </bk>
    <bk>
      <rc t="2" v="8938"/>
    </bk>
    <bk>
      <rc t="2" v="8939"/>
    </bk>
    <bk>
      <rc t="2" v="8940"/>
    </bk>
    <bk>
      <rc t="2" v="8941"/>
    </bk>
    <bk>
      <rc t="2" v="8942"/>
    </bk>
    <bk>
      <rc t="2" v="8943"/>
    </bk>
    <bk>
      <rc t="2" v="8944"/>
    </bk>
    <bk>
      <rc t="2" v="8945"/>
    </bk>
    <bk>
      <rc t="2" v="8946"/>
    </bk>
    <bk>
      <rc t="2" v="8947"/>
    </bk>
    <bk>
      <rc t="2" v="8948"/>
    </bk>
    <bk>
      <rc t="2" v="8949"/>
    </bk>
    <bk>
      <rc t="2" v="8950"/>
    </bk>
    <bk>
      <rc t="2" v="8951"/>
    </bk>
    <bk>
      <rc t="2" v="8952"/>
    </bk>
    <bk>
      <rc t="2" v="8953"/>
    </bk>
    <bk>
      <rc t="2" v="8954"/>
    </bk>
    <bk>
      <rc t="2" v="8955"/>
    </bk>
    <bk>
      <rc t="2" v="8956"/>
    </bk>
    <bk>
      <rc t="2" v="8957"/>
    </bk>
    <bk>
      <rc t="2" v="8958"/>
    </bk>
    <bk>
      <rc t="2" v="8959"/>
    </bk>
    <bk>
      <rc t="2" v="8960"/>
    </bk>
    <bk>
      <rc t="2" v="8961"/>
    </bk>
    <bk>
      <rc t="2" v="8962"/>
    </bk>
    <bk>
      <rc t="2" v="8963"/>
    </bk>
    <bk>
      <rc t="2" v="8964"/>
    </bk>
    <bk>
      <rc t="2" v="8965"/>
    </bk>
    <bk>
      <rc t="2" v="8966"/>
    </bk>
    <bk>
      <rc t="2" v="8967"/>
    </bk>
    <bk>
      <rc t="2" v="8968"/>
    </bk>
    <bk>
      <rc t="2" v="8969"/>
    </bk>
    <bk>
      <rc t="2" v="8970"/>
    </bk>
    <bk>
      <rc t="2" v="8971"/>
    </bk>
    <bk>
      <rc t="2" v="8972"/>
    </bk>
    <bk>
      <rc t="2" v="8973"/>
    </bk>
    <bk>
      <rc t="2" v="8974"/>
    </bk>
    <bk>
      <rc t="2" v="8975"/>
    </bk>
    <bk>
      <rc t="2" v="8976"/>
    </bk>
    <bk>
      <rc t="2" v="8977"/>
    </bk>
    <bk>
      <rc t="2" v="8978"/>
    </bk>
    <bk>
      <rc t="2" v="8979"/>
    </bk>
    <bk>
      <rc t="2" v="8980"/>
    </bk>
    <bk>
      <rc t="2" v="8981"/>
    </bk>
    <bk>
      <rc t="2" v="8982"/>
    </bk>
    <bk>
      <rc t="2" v="8983"/>
    </bk>
    <bk>
      <rc t="2" v="8984"/>
    </bk>
    <bk>
      <rc t="2" v="8985"/>
    </bk>
    <bk>
      <rc t="2" v="8986"/>
    </bk>
    <bk>
      <rc t="2" v="8987"/>
    </bk>
    <bk>
      <rc t="2" v="8988"/>
    </bk>
    <bk>
      <rc t="2" v="8989"/>
    </bk>
    <bk>
      <rc t="2" v="8990"/>
    </bk>
    <bk>
      <rc t="2" v="8991"/>
    </bk>
    <bk>
      <rc t="2" v="8992"/>
    </bk>
    <bk>
      <rc t="2" v="8993"/>
    </bk>
    <bk>
      <rc t="2" v="8994"/>
    </bk>
    <bk>
      <rc t="2" v="8995"/>
    </bk>
    <bk>
      <rc t="2" v="8996"/>
    </bk>
    <bk>
      <rc t="2" v="8997"/>
    </bk>
    <bk>
      <rc t="2" v="8998"/>
    </bk>
    <bk>
      <rc t="2" v="8999"/>
    </bk>
    <bk>
      <rc t="2" v="9000"/>
    </bk>
    <bk>
      <rc t="2" v="9001"/>
    </bk>
    <bk>
      <rc t="2" v="9002"/>
    </bk>
    <bk>
      <rc t="2" v="9003"/>
    </bk>
    <bk>
      <rc t="2" v="9004"/>
    </bk>
    <bk>
      <rc t="2" v="9005"/>
    </bk>
    <bk>
      <rc t="2" v="9006"/>
    </bk>
    <bk>
      <rc t="2" v="9007"/>
    </bk>
    <bk>
      <rc t="2" v="9008"/>
    </bk>
    <bk>
      <rc t="2" v="9009"/>
    </bk>
    <bk>
      <rc t="2" v="9010"/>
    </bk>
    <bk>
      <rc t="2" v="9011"/>
    </bk>
    <bk>
      <rc t="2" v="9012"/>
    </bk>
    <bk>
      <rc t="2" v="9013"/>
    </bk>
    <bk>
      <rc t="2" v="9014"/>
    </bk>
    <bk>
      <rc t="2" v="9015"/>
    </bk>
    <bk>
      <rc t="2" v="9016"/>
    </bk>
    <bk>
      <rc t="2" v="9017"/>
    </bk>
    <bk>
      <rc t="2" v="9018"/>
    </bk>
    <bk>
      <rc t="2" v="9019"/>
    </bk>
    <bk>
      <rc t="2" v="9020"/>
    </bk>
    <bk>
      <rc t="2" v="9021"/>
    </bk>
    <bk>
      <rc t="2" v="9022"/>
    </bk>
    <bk>
      <rc t="2" v="9023"/>
    </bk>
    <bk>
      <rc t="2" v="9024"/>
    </bk>
    <bk>
      <rc t="2" v="9025"/>
    </bk>
    <bk>
      <rc t="2" v="9026"/>
    </bk>
    <bk>
      <rc t="2" v="9027"/>
    </bk>
    <bk>
      <rc t="2" v="9028"/>
    </bk>
    <bk>
      <rc t="2" v="9029"/>
    </bk>
    <bk>
      <rc t="2" v="9030"/>
    </bk>
    <bk>
      <rc t="2" v="9031"/>
    </bk>
    <bk>
      <rc t="2" v="9032"/>
    </bk>
    <bk>
      <rc t="2" v="9033"/>
    </bk>
    <bk>
      <rc t="2" v="9034"/>
    </bk>
    <bk>
      <rc t="2" v="9035"/>
    </bk>
    <bk>
      <rc t="2" v="9036"/>
    </bk>
    <bk>
      <rc t="2" v="9037"/>
    </bk>
    <bk>
      <rc t="2" v="9038"/>
    </bk>
    <bk>
      <rc t="2" v="9039"/>
    </bk>
    <bk>
      <rc t="2" v="9040"/>
    </bk>
    <bk>
      <rc t="2" v="9041"/>
    </bk>
    <bk>
      <rc t="2" v="9042"/>
    </bk>
    <bk>
      <rc t="2" v="9043"/>
    </bk>
    <bk>
      <rc t="2" v="9044"/>
    </bk>
    <bk>
      <rc t="2" v="9045"/>
    </bk>
    <bk>
      <rc t="2" v="9046"/>
    </bk>
    <bk>
      <rc t="2" v="9047"/>
    </bk>
    <bk>
      <rc t="2" v="9048"/>
    </bk>
    <bk>
      <rc t="2" v="9049"/>
    </bk>
    <bk>
      <rc t="2" v="9050"/>
    </bk>
    <bk>
      <rc t="2" v="9051"/>
    </bk>
    <bk>
      <rc t="2" v="9052"/>
    </bk>
    <bk>
      <rc t="2" v="9053"/>
    </bk>
    <bk>
      <rc t="2" v="9054"/>
    </bk>
    <bk>
      <rc t="2" v="9055"/>
    </bk>
    <bk>
      <rc t="2" v="9056"/>
    </bk>
    <bk>
      <rc t="2" v="9057"/>
    </bk>
    <bk>
      <rc t="2" v="9058"/>
    </bk>
    <bk>
      <rc t="2" v="9059"/>
    </bk>
    <bk>
      <rc t="2" v="9060"/>
    </bk>
    <bk>
      <rc t="2" v="9061"/>
    </bk>
    <bk>
      <rc t="2" v="9062"/>
    </bk>
    <bk>
      <rc t="2" v="9063"/>
    </bk>
    <bk>
      <rc t="2" v="9064"/>
    </bk>
    <bk>
      <rc t="2" v="9065"/>
    </bk>
    <bk>
      <rc t="2" v="9066"/>
    </bk>
    <bk>
      <rc t="2" v="9067"/>
    </bk>
    <bk>
      <rc t="2" v="9068"/>
    </bk>
    <bk>
      <rc t="2" v="9069"/>
    </bk>
    <bk>
      <rc t="2" v="9070"/>
    </bk>
    <bk>
      <rc t="2" v="9071"/>
    </bk>
    <bk>
      <rc t="2" v="9072"/>
    </bk>
    <bk>
      <rc t="2" v="9073"/>
    </bk>
    <bk>
      <rc t="2" v="9074"/>
    </bk>
    <bk>
      <rc t="2" v="9075"/>
    </bk>
    <bk>
      <rc t="2" v="9076"/>
    </bk>
    <bk>
      <rc t="2" v="9077"/>
    </bk>
    <bk>
      <rc t="2" v="9078"/>
    </bk>
    <bk>
      <rc t="2" v="9079"/>
    </bk>
    <bk>
      <rc t="2" v="9080"/>
    </bk>
    <bk>
      <rc t="2" v="9081"/>
    </bk>
    <bk>
      <rc t="2" v="9082"/>
    </bk>
    <bk>
      <rc t="2" v="9083"/>
    </bk>
    <bk>
      <rc t="2" v="9084"/>
    </bk>
    <bk>
      <rc t="2" v="9085"/>
    </bk>
    <bk>
      <rc t="2" v="9086"/>
    </bk>
    <bk>
      <rc t="2" v="9087"/>
    </bk>
    <bk>
      <rc t="2" v="9088"/>
    </bk>
    <bk>
      <rc t="2" v="9089"/>
    </bk>
    <bk>
      <rc t="2" v="9090"/>
    </bk>
    <bk>
      <rc t="2" v="9091"/>
    </bk>
    <bk>
      <rc t="2" v="9092"/>
    </bk>
    <bk>
      <rc t="2" v="9093"/>
    </bk>
    <bk>
      <rc t="2" v="9094"/>
    </bk>
    <bk>
      <rc t="2" v="9095"/>
    </bk>
    <bk>
      <rc t="2" v="9096"/>
    </bk>
    <bk>
      <rc t="2" v="9097"/>
    </bk>
    <bk>
      <rc t="2" v="9098"/>
    </bk>
    <bk>
      <rc t="2" v="9099"/>
    </bk>
    <bk>
      <rc t="2" v="9100"/>
    </bk>
    <bk>
      <rc t="2" v="9101"/>
    </bk>
    <bk>
      <rc t="2" v="9102"/>
    </bk>
    <bk>
      <rc t="2" v="9103"/>
    </bk>
    <bk>
      <rc t="2" v="9104"/>
    </bk>
    <bk>
      <rc t="2" v="9105"/>
    </bk>
    <bk>
      <rc t="2" v="9106"/>
    </bk>
    <bk>
      <rc t="2" v="9107"/>
    </bk>
    <bk>
      <rc t="2" v="9108"/>
    </bk>
    <bk>
      <rc t="2" v="9109"/>
    </bk>
    <bk>
      <rc t="2" v="9110"/>
    </bk>
    <bk>
      <rc t="2" v="9111"/>
    </bk>
    <bk>
      <rc t="2" v="9112"/>
    </bk>
    <bk>
      <rc t="2" v="9113"/>
    </bk>
    <bk>
      <rc t="2" v="9114"/>
    </bk>
    <bk>
      <rc t="2" v="9115"/>
    </bk>
    <bk>
      <rc t="2" v="9116"/>
    </bk>
    <bk>
      <rc t="2" v="9117"/>
    </bk>
    <bk>
      <rc t="2" v="9118"/>
    </bk>
    <bk>
      <rc t="2" v="9119"/>
    </bk>
    <bk>
      <rc t="2" v="9120"/>
    </bk>
    <bk>
      <rc t="2" v="9121"/>
    </bk>
    <bk>
      <rc t="2" v="9122"/>
    </bk>
    <bk>
      <rc t="2" v="9123"/>
    </bk>
    <bk>
      <rc t="2" v="9124"/>
    </bk>
    <bk>
      <rc t="2" v="9125"/>
    </bk>
    <bk>
      <rc t="2" v="9126"/>
    </bk>
    <bk>
      <rc t="2" v="9127"/>
    </bk>
    <bk>
      <rc t="2" v="9128"/>
    </bk>
    <bk>
      <rc t="2" v="9129"/>
    </bk>
    <bk>
      <rc t="2" v="9130"/>
    </bk>
    <bk>
      <rc t="2" v="9131"/>
    </bk>
    <bk>
      <rc t="2" v="9132"/>
    </bk>
    <bk>
      <rc t="2" v="9133"/>
    </bk>
    <bk>
      <rc t="2" v="9134"/>
    </bk>
    <bk>
      <rc t="2" v="9135"/>
    </bk>
    <bk>
      <rc t="2" v="9136"/>
    </bk>
    <bk>
      <rc t="2" v="9137"/>
    </bk>
    <bk>
      <rc t="2" v="9138"/>
    </bk>
    <bk>
      <rc t="2" v="9139"/>
    </bk>
    <bk>
      <rc t="2" v="9140"/>
    </bk>
    <bk>
      <rc t="2" v="9141"/>
    </bk>
    <bk>
      <rc t="2" v="9142"/>
    </bk>
    <bk>
      <rc t="2" v="9143"/>
    </bk>
    <bk>
      <rc t="2" v="9144"/>
    </bk>
    <bk>
      <rc t="2" v="9145"/>
    </bk>
    <bk>
      <rc t="2" v="9146"/>
    </bk>
    <bk>
      <rc t="2" v="9147"/>
    </bk>
    <bk>
      <rc t="2" v="9148"/>
    </bk>
    <bk>
      <rc t="2" v="9149"/>
    </bk>
    <bk>
      <rc t="2" v="9150"/>
    </bk>
    <bk>
      <rc t="2" v="9151"/>
    </bk>
    <bk>
      <rc t="2" v="9152"/>
    </bk>
    <bk>
      <rc t="2" v="9153"/>
    </bk>
    <bk>
      <rc t="2" v="9154"/>
    </bk>
    <bk>
      <rc t="2" v="9155"/>
    </bk>
    <bk>
      <rc t="2" v="9156"/>
    </bk>
    <bk>
      <rc t="2" v="9157"/>
    </bk>
    <bk>
      <rc t="2" v="9158"/>
    </bk>
    <bk>
      <rc t="2" v="9159"/>
    </bk>
    <bk>
      <rc t="2" v="9160"/>
    </bk>
    <bk>
      <rc t="2" v="9161"/>
    </bk>
    <bk>
      <rc t="2" v="9162"/>
    </bk>
    <bk>
      <rc t="2" v="9163"/>
    </bk>
    <bk>
      <rc t="2" v="9164"/>
    </bk>
    <bk>
      <rc t="2" v="9165"/>
    </bk>
    <bk>
      <rc t="2" v="9166"/>
    </bk>
    <bk>
      <rc t="2" v="9167"/>
    </bk>
    <bk>
      <rc t="2" v="9168"/>
    </bk>
    <bk>
      <rc t="2" v="9169"/>
    </bk>
    <bk>
      <rc t="2" v="9170"/>
    </bk>
    <bk>
      <rc t="2" v="9171"/>
    </bk>
    <bk>
      <rc t="2" v="9172"/>
    </bk>
    <bk>
      <rc t="2" v="9173"/>
    </bk>
    <bk>
      <rc t="2" v="9174"/>
    </bk>
    <bk>
      <rc t="2" v="9175"/>
    </bk>
    <bk>
      <rc t="2" v="9176"/>
    </bk>
    <bk>
      <rc t="2" v="9177"/>
    </bk>
    <bk>
      <rc t="2" v="9178"/>
    </bk>
    <bk>
      <rc t="2" v="9179"/>
    </bk>
    <bk>
      <rc t="2" v="9180"/>
    </bk>
    <bk>
      <rc t="2" v="9181"/>
    </bk>
    <bk>
      <rc t="2" v="9182"/>
    </bk>
    <bk>
      <rc t="2" v="9183"/>
    </bk>
    <bk>
      <rc t="2" v="9184"/>
    </bk>
    <bk>
      <rc t="2" v="9185"/>
    </bk>
    <bk>
      <rc t="2" v="9186"/>
    </bk>
    <bk>
      <rc t="2" v="9187"/>
    </bk>
    <bk>
      <rc t="2" v="9188"/>
    </bk>
    <bk>
      <rc t="2" v="9189"/>
    </bk>
    <bk>
      <rc t="2" v="9190"/>
    </bk>
    <bk>
      <rc t="2" v="9191"/>
    </bk>
    <bk>
      <rc t="2" v="9192"/>
    </bk>
    <bk>
      <rc t="2" v="9193"/>
    </bk>
    <bk>
      <rc t="2" v="9194"/>
    </bk>
    <bk>
      <rc t="2" v="9195"/>
    </bk>
    <bk>
      <rc t="2" v="9196"/>
    </bk>
    <bk>
      <rc t="2" v="9197"/>
    </bk>
    <bk>
      <rc t="2" v="9198"/>
    </bk>
    <bk>
      <rc t="2" v="9199"/>
    </bk>
    <bk>
      <rc t="2" v="9200"/>
    </bk>
    <bk>
      <rc t="2" v="9201"/>
    </bk>
    <bk>
      <rc t="2" v="9202"/>
    </bk>
    <bk>
      <rc t="2" v="9203"/>
    </bk>
    <bk>
      <rc t="2" v="9204"/>
    </bk>
    <bk>
      <rc t="2" v="9205"/>
    </bk>
    <bk>
      <rc t="2" v="9206"/>
    </bk>
    <bk>
      <rc t="2" v="9207"/>
    </bk>
    <bk>
      <rc t="2" v="9208"/>
    </bk>
    <bk>
      <rc t="2" v="9209"/>
    </bk>
    <bk>
      <rc t="2" v="9210"/>
    </bk>
    <bk>
      <rc t="2" v="9211"/>
    </bk>
    <bk>
      <rc t="2" v="9212"/>
    </bk>
    <bk>
      <rc t="2" v="9213"/>
    </bk>
    <bk>
      <rc t="2" v="9214"/>
    </bk>
    <bk>
      <rc t="2" v="9215"/>
    </bk>
    <bk>
      <rc t="2" v="9216"/>
    </bk>
    <bk>
      <rc t="2" v="9217"/>
    </bk>
    <bk>
      <rc t="2" v="9218"/>
    </bk>
    <bk>
      <rc t="2" v="9219"/>
    </bk>
    <bk>
      <rc t="2" v="9220"/>
    </bk>
    <bk>
      <rc t="2" v="9221"/>
    </bk>
    <bk>
      <rc t="2" v="9222"/>
    </bk>
    <bk>
      <rc t="2" v="9223"/>
    </bk>
    <bk>
      <rc t="2" v="9224"/>
    </bk>
    <bk>
      <rc t="2" v="9225"/>
    </bk>
    <bk>
      <rc t="2" v="9226"/>
    </bk>
    <bk>
      <rc t="2" v="9227"/>
    </bk>
    <bk>
      <rc t="2" v="9228"/>
    </bk>
    <bk>
      <rc t="2" v="9229"/>
    </bk>
    <bk>
      <rc t="2" v="9230"/>
    </bk>
    <bk>
      <rc t="2" v="9231"/>
    </bk>
    <bk>
      <rc t="2" v="9232"/>
    </bk>
    <bk>
      <rc t="2" v="9233"/>
    </bk>
    <bk>
      <rc t="2" v="9234"/>
    </bk>
    <bk>
      <rc t="2" v="9235"/>
    </bk>
    <bk>
      <rc t="2" v="9236"/>
    </bk>
    <bk>
      <rc t="2" v="9237"/>
    </bk>
    <bk>
      <rc t="2" v="9238"/>
    </bk>
    <bk>
      <rc t="2" v="9239"/>
    </bk>
    <bk>
      <rc t="2" v="9240"/>
    </bk>
    <bk>
      <rc t="2" v="9241"/>
    </bk>
    <bk>
      <rc t="2" v="9242"/>
    </bk>
    <bk>
      <rc t="2" v="9243"/>
    </bk>
    <bk>
      <rc t="2" v="9244"/>
    </bk>
    <bk>
      <rc t="2" v="9245"/>
    </bk>
    <bk>
      <rc t="2" v="9246"/>
    </bk>
    <bk>
      <rc t="2" v="9247"/>
    </bk>
    <bk>
      <rc t="2" v="9248"/>
    </bk>
    <bk>
      <rc t="2" v="9249"/>
    </bk>
    <bk>
      <rc t="2" v="9250"/>
    </bk>
    <bk>
      <rc t="2" v="9251"/>
    </bk>
    <bk>
      <rc t="2" v="9252"/>
    </bk>
    <bk>
      <rc t="2" v="9253"/>
    </bk>
    <bk>
      <rc t="2" v="9254"/>
    </bk>
    <bk>
      <rc t="2" v="9255"/>
    </bk>
    <bk>
      <rc t="2" v="9256"/>
    </bk>
    <bk>
      <rc t="2" v="9257"/>
    </bk>
    <bk>
      <rc t="2" v="9258"/>
    </bk>
    <bk>
      <rc t="2" v="9259"/>
    </bk>
    <bk>
      <rc t="2" v="9260"/>
    </bk>
    <bk>
      <rc t="2" v="9261"/>
    </bk>
    <bk>
      <rc t="2" v="9262"/>
    </bk>
    <bk>
      <rc t="2" v="9263"/>
    </bk>
    <bk>
      <rc t="2" v="9264"/>
    </bk>
    <bk>
      <rc t="2" v="9265"/>
    </bk>
    <bk>
      <rc t="2" v="9266"/>
    </bk>
    <bk>
      <rc t="2" v="9267"/>
    </bk>
    <bk>
      <rc t="2" v="9268"/>
    </bk>
    <bk>
      <rc t="2" v="9269"/>
    </bk>
    <bk>
      <rc t="2" v="9270"/>
    </bk>
    <bk>
      <rc t="2" v="9271"/>
    </bk>
    <bk>
      <rc t="2" v="9272"/>
    </bk>
    <bk>
      <rc t="2" v="9273"/>
    </bk>
    <bk>
      <rc t="2" v="9274"/>
    </bk>
    <bk>
      <rc t="2" v="9275"/>
    </bk>
    <bk>
      <rc t="2" v="9276"/>
    </bk>
    <bk>
      <rc t="2" v="9277"/>
    </bk>
    <bk>
      <rc t="2" v="9278"/>
    </bk>
    <bk>
      <rc t="2" v="9279"/>
    </bk>
    <bk>
      <rc t="2" v="9280"/>
    </bk>
    <bk>
      <rc t="2" v="9281"/>
    </bk>
    <bk>
      <rc t="2" v="9282"/>
    </bk>
    <bk>
      <rc t="2" v="9283"/>
    </bk>
    <bk>
      <rc t="2" v="9284"/>
    </bk>
    <bk>
      <rc t="2" v="9285"/>
    </bk>
    <bk>
      <rc t="2" v="9286"/>
    </bk>
    <bk>
      <rc t="2" v="9287"/>
    </bk>
    <bk>
      <rc t="2" v="9288"/>
    </bk>
    <bk>
      <rc t="2" v="9289"/>
    </bk>
    <bk>
      <rc t="2" v="9290"/>
    </bk>
    <bk>
      <rc t="2" v="9291"/>
    </bk>
    <bk>
      <rc t="2" v="9292"/>
    </bk>
    <bk>
      <rc t="2" v="9293"/>
    </bk>
    <bk>
      <rc t="2" v="9294"/>
    </bk>
    <bk>
      <rc t="2" v="9295"/>
    </bk>
    <bk>
      <rc t="2" v="9296"/>
    </bk>
    <bk>
      <rc t="2" v="9297"/>
    </bk>
    <bk>
      <rc t="2" v="9298"/>
    </bk>
    <bk>
      <rc t="2" v="9299"/>
    </bk>
    <bk>
      <rc t="2" v="9300"/>
    </bk>
    <bk>
      <rc t="2" v="9301"/>
    </bk>
    <bk>
      <rc t="2" v="9302"/>
    </bk>
    <bk>
      <rc t="2" v="9303"/>
    </bk>
    <bk>
      <rc t="2" v="9304"/>
    </bk>
    <bk>
      <rc t="2" v="9305"/>
    </bk>
    <bk>
      <rc t="2" v="9306"/>
    </bk>
    <bk>
      <rc t="2" v="9307"/>
    </bk>
    <bk>
      <rc t="2" v="9308"/>
    </bk>
    <bk>
      <rc t="2" v="9309"/>
    </bk>
    <bk>
      <rc t="2" v="9310"/>
    </bk>
    <bk>
      <rc t="2" v="9311"/>
    </bk>
    <bk>
      <rc t="2" v="9312"/>
    </bk>
    <bk>
      <rc t="2" v="9313"/>
    </bk>
    <bk>
      <rc t="2" v="9314"/>
    </bk>
    <bk>
      <rc t="2" v="9315"/>
    </bk>
    <bk>
      <rc t="2" v="9316"/>
    </bk>
    <bk>
      <rc t="2" v="9317"/>
    </bk>
    <bk>
      <rc t="2" v="9318"/>
    </bk>
    <bk>
      <rc t="2" v="9319"/>
    </bk>
    <bk>
      <rc t="2" v="9320"/>
    </bk>
    <bk>
      <rc t="2" v="9321"/>
    </bk>
    <bk>
      <rc t="2" v="9322"/>
    </bk>
    <bk>
      <rc t="2" v="9323"/>
    </bk>
    <bk>
      <rc t="2" v="9324"/>
    </bk>
    <bk>
      <rc t="2" v="9325"/>
    </bk>
    <bk>
      <rc t="2" v="9326"/>
    </bk>
    <bk>
      <rc t="2" v="9327"/>
    </bk>
    <bk>
      <rc t="2" v="9328"/>
    </bk>
    <bk>
      <rc t="2" v="9329"/>
    </bk>
    <bk>
      <rc t="2" v="9330"/>
    </bk>
    <bk>
      <rc t="2" v="9331"/>
    </bk>
    <bk>
      <rc t="2" v="9332"/>
    </bk>
    <bk>
      <rc t="2" v="9333"/>
    </bk>
    <bk>
      <rc t="2" v="9334"/>
    </bk>
    <bk>
      <rc t="2" v="9335"/>
    </bk>
    <bk>
      <rc t="2" v="9336"/>
    </bk>
    <bk>
      <rc t="2" v="9337"/>
    </bk>
    <bk>
      <rc t="2" v="9338"/>
    </bk>
    <bk>
      <rc t="2" v="9339"/>
    </bk>
    <bk>
      <rc t="2" v="9340"/>
    </bk>
    <bk>
      <rc t="2" v="9341"/>
    </bk>
    <bk>
      <rc t="2" v="9342"/>
    </bk>
    <bk>
      <rc t="2" v="9343"/>
    </bk>
    <bk>
      <rc t="2" v="9344"/>
    </bk>
    <bk>
      <rc t="2" v="9345"/>
    </bk>
    <bk>
      <rc t="2" v="9346"/>
    </bk>
    <bk>
      <rc t="2" v="9347"/>
    </bk>
    <bk>
      <rc t="2" v="9348"/>
    </bk>
    <bk>
      <rc t="2" v="9349"/>
    </bk>
    <bk>
      <rc t="2" v="9350"/>
    </bk>
    <bk>
      <rc t="2" v="9351"/>
    </bk>
    <bk>
      <rc t="2" v="9352"/>
    </bk>
    <bk>
      <rc t="2" v="9353"/>
    </bk>
    <bk>
      <rc t="2" v="9354"/>
    </bk>
    <bk>
      <rc t="2" v="9355"/>
    </bk>
    <bk>
      <rc t="2" v="9356"/>
    </bk>
    <bk>
      <rc t="2" v="9357"/>
    </bk>
    <bk>
      <rc t="2" v="9358"/>
    </bk>
    <bk>
      <rc t="2" v="9359"/>
    </bk>
    <bk>
      <rc t="2" v="9360"/>
    </bk>
    <bk>
      <rc t="2" v="9361"/>
    </bk>
    <bk>
      <rc t="2" v="9362"/>
    </bk>
    <bk>
      <rc t="2" v="9363"/>
    </bk>
    <bk>
      <rc t="2" v="9364"/>
    </bk>
    <bk>
      <rc t="2" v="9365"/>
    </bk>
    <bk>
      <rc t="2" v="9366"/>
    </bk>
    <bk>
      <rc t="2" v="9367"/>
    </bk>
    <bk>
      <rc t="2" v="9368"/>
    </bk>
    <bk>
      <rc t="2" v="9369"/>
    </bk>
    <bk>
      <rc t="2" v="9370"/>
    </bk>
    <bk>
      <rc t="2" v="9371"/>
    </bk>
    <bk>
      <rc t="2" v="9372"/>
    </bk>
    <bk>
      <rc t="2" v="9373"/>
    </bk>
    <bk>
      <rc t="2" v="9374"/>
    </bk>
    <bk>
      <rc t="2" v="9375"/>
    </bk>
    <bk>
      <rc t="2" v="9376"/>
    </bk>
    <bk>
      <rc t="2" v="9377"/>
    </bk>
    <bk>
      <rc t="2" v="9378"/>
    </bk>
    <bk>
      <rc t="2" v="9379"/>
    </bk>
    <bk>
      <rc t="2" v="9380"/>
    </bk>
    <bk>
      <rc t="2" v="9381"/>
    </bk>
    <bk>
      <rc t="2" v="9382"/>
    </bk>
    <bk>
      <rc t="2" v="9383"/>
    </bk>
    <bk>
      <rc t="2" v="9384"/>
    </bk>
    <bk>
      <rc t="2" v="9385"/>
    </bk>
    <bk>
      <rc t="2" v="9386"/>
    </bk>
    <bk>
      <rc t="2" v="9387"/>
    </bk>
    <bk>
      <rc t="2" v="9388"/>
    </bk>
    <bk>
      <rc t="2" v="9389"/>
    </bk>
    <bk>
      <rc t="2" v="9390"/>
    </bk>
    <bk>
      <rc t="2" v="9391"/>
    </bk>
    <bk>
      <rc t="2" v="9392"/>
    </bk>
    <bk>
      <rc t="2" v="9393"/>
    </bk>
    <bk>
      <rc t="2" v="9394"/>
    </bk>
    <bk>
      <rc t="2" v="9395"/>
    </bk>
    <bk>
      <rc t="2" v="9396"/>
    </bk>
    <bk>
      <rc t="2" v="9397"/>
    </bk>
    <bk>
      <rc t="2" v="9398"/>
    </bk>
    <bk>
      <rc t="2" v="9399"/>
    </bk>
    <bk>
      <rc t="2" v="9400"/>
    </bk>
    <bk>
      <rc t="2" v="9401"/>
    </bk>
    <bk>
      <rc t="2" v="9402"/>
    </bk>
    <bk>
      <rc t="2" v="9403"/>
    </bk>
    <bk>
      <rc t="2" v="9404"/>
    </bk>
    <bk>
      <rc t="2" v="9405"/>
    </bk>
    <bk>
      <rc t="2" v="9406"/>
    </bk>
    <bk>
      <rc t="2" v="9407"/>
    </bk>
    <bk>
      <rc t="2" v="9408"/>
    </bk>
    <bk>
      <rc t="2" v="9409"/>
    </bk>
    <bk>
      <rc t="2" v="9410"/>
    </bk>
    <bk>
      <rc t="2" v="9411"/>
    </bk>
    <bk>
      <rc t="2" v="9412"/>
    </bk>
    <bk>
      <rc t="2" v="9413"/>
    </bk>
    <bk>
      <rc t="2" v="9414"/>
    </bk>
    <bk>
      <rc t="2" v="9415"/>
    </bk>
    <bk>
      <rc t="2" v="9416"/>
    </bk>
    <bk>
      <rc t="2" v="9417"/>
    </bk>
    <bk>
      <rc t="2" v="9418"/>
    </bk>
    <bk>
      <rc t="2" v="9419"/>
    </bk>
    <bk>
      <rc t="2" v="9420"/>
    </bk>
    <bk>
      <rc t="2" v="9421"/>
    </bk>
    <bk>
      <rc t="2" v="9422"/>
    </bk>
    <bk>
      <rc t="2" v="9423"/>
    </bk>
    <bk>
      <rc t="2" v="9424"/>
    </bk>
    <bk>
      <rc t="2" v="9425"/>
    </bk>
    <bk>
      <rc t="2" v="9426"/>
    </bk>
    <bk>
      <rc t="2" v="9427"/>
    </bk>
    <bk>
      <rc t="2" v="9428"/>
    </bk>
    <bk>
      <rc t="2" v="9429"/>
    </bk>
    <bk>
      <rc t="2" v="9430"/>
    </bk>
    <bk>
      <rc t="2" v="9431"/>
    </bk>
    <bk>
      <rc t="2" v="9432"/>
    </bk>
    <bk>
      <rc t="2" v="9433"/>
    </bk>
    <bk>
      <rc t="2" v="9434"/>
    </bk>
    <bk>
      <rc t="2" v="9435"/>
    </bk>
    <bk>
      <rc t="2" v="9436"/>
    </bk>
    <bk>
      <rc t="2" v="9437"/>
    </bk>
    <bk>
      <rc t="2" v="9438"/>
    </bk>
    <bk>
      <rc t="2" v="9439"/>
    </bk>
    <bk>
      <rc t="2" v="9440"/>
    </bk>
    <bk>
      <rc t="2" v="9441"/>
    </bk>
    <bk>
      <rc t="2" v="9442"/>
    </bk>
    <bk>
      <rc t="2" v="9443"/>
    </bk>
    <bk>
      <rc t="2" v="9444"/>
    </bk>
    <bk>
      <rc t="2" v="9445"/>
    </bk>
    <bk>
      <rc t="2" v="9446"/>
    </bk>
    <bk>
      <rc t="2" v="9447"/>
    </bk>
    <bk>
      <rc t="2" v="9448"/>
    </bk>
    <bk>
      <rc t="2" v="9449"/>
    </bk>
    <bk>
      <rc t="2" v="9450"/>
    </bk>
    <bk>
      <rc t="2" v="9451"/>
    </bk>
    <bk>
      <rc t="2" v="9452"/>
    </bk>
    <bk>
      <rc t="2" v="9453"/>
    </bk>
    <bk>
      <rc t="2" v="9454"/>
    </bk>
    <bk>
      <rc t="2" v="9455"/>
    </bk>
    <bk>
      <rc t="2" v="9456"/>
    </bk>
    <bk>
      <rc t="2" v="9457"/>
    </bk>
    <bk>
      <rc t="2" v="9458"/>
    </bk>
    <bk>
      <rc t="2" v="9459"/>
    </bk>
    <bk>
      <rc t="2" v="9460"/>
    </bk>
    <bk>
      <rc t="2" v="9461"/>
    </bk>
    <bk>
      <rc t="2" v="9462"/>
    </bk>
    <bk>
      <rc t="2" v="9463"/>
    </bk>
    <bk>
      <rc t="2" v="9464"/>
    </bk>
    <bk>
      <rc t="2" v="9465"/>
    </bk>
    <bk>
      <rc t="2" v="9466"/>
    </bk>
    <bk>
      <rc t="2" v="9467"/>
    </bk>
    <bk>
      <rc t="2" v="9468"/>
    </bk>
    <bk>
      <rc t="2" v="9469"/>
    </bk>
    <bk>
      <rc t="2" v="9470"/>
    </bk>
    <bk>
      <rc t="2" v="9471"/>
    </bk>
    <bk>
      <rc t="2" v="9472"/>
    </bk>
    <bk>
      <rc t="2" v="9473"/>
    </bk>
    <bk>
      <rc t="2" v="9474"/>
    </bk>
    <bk>
      <rc t="2" v="9475"/>
    </bk>
    <bk>
      <rc t="2" v="9476"/>
    </bk>
    <bk>
      <rc t="2" v="9477"/>
    </bk>
    <bk>
      <rc t="2" v="9478"/>
    </bk>
    <bk>
      <rc t="2" v="9479"/>
    </bk>
    <bk>
      <rc t="2" v="9480"/>
    </bk>
    <bk>
      <rc t="2" v="9481"/>
    </bk>
    <bk>
      <rc t="2" v="9482"/>
    </bk>
    <bk>
      <rc t="2" v="9483"/>
    </bk>
    <bk>
      <rc t="2" v="9484"/>
    </bk>
    <bk>
      <rc t="2" v="9485"/>
    </bk>
    <bk>
      <rc t="2" v="9486"/>
    </bk>
    <bk>
      <rc t="2" v="9487"/>
    </bk>
    <bk>
      <rc t="2" v="9488"/>
    </bk>
    <bk>
      <rc t="2" v="9489"/>
    </bk>
    <bk>
      <rc t="2" v="9490"/>
    </bk>
    <bk>
      <rc t="2" v="9491"/>
    </bk>
    <bk>
      <rc t="2" v="9492"/>
    </bk>
    <bk>
      <rc t="2" v="9493"/>
    </bk>
    <bk>
      <rc t="2" v="9494"/>
    </bk>
    <bk>
      <rc t="2" v="9495"/>
    </bk>
    <bk>
      <rc t="2" v="9496"/>
    </bk>
    <bk>
      <rc t="2" v="9497"/>
    </bk>
    <bk>
      <rc t="2" v="9498"/>
    </bk>
    <bk>
      <rc t="2" v="9499"/>
    </bk>
    <bk>
      <rc t="2" v="9500"/>
    </bk>
    <bk>
      <rc t="2" v="9501"/>
    </bk>
    <bk>
      <rc t="2" v="9502"/>
    </bk>
    <bk>
      <rc t="2" v="9503"/>
    </bk>
    <bk>
      <rc t="2" v="9504"/>
    </bk>
    <bk>
      <rc t="2" v="9505"/>
    </bk>
    <bk>
      <rc t="2" v="9506"/>
    </bk>
    <bk>
      <rc t="2" v="9507"/>
    </bk>
    <bk>
      <rc t="2" v="9508"/>
    </bk>
    <bk>
      <rc t="2" v="9509"/>
    </bk>
    <bk>
      <rc t="2" v="9510"/>
    </bk>
    <bk>
      <rc t="2" v="9511"/>
    </bk>
    <bk>
      <rc t="2" v="9512"/>
    </bk>
    <bk>
      <rc t="2" v="9513"/>
    </bk>
    <bk>
      <rc t="2" v="9514"/>
    </bk>
    <bk>
      <rc t="2" v="9515"/>
    </bk>
    <bk>
      <rc t="2" v="9516"/>
    </bk>
    <bk>
      <rc t="2" v="9517"/>
    </bk>
    <bk>
      <rc t="2" v="9518"/>
    </bk>
    <bk>
      <rc t="2" v="9519"/>
    </bk>
    <bk>
      <rc t="2" v="9520"/>
    </bk>
    <bk>
      <rc t="2" v="9521"/>
    </bk>
    <bk>
      <rc t="2" v="9522"/>
    </bk>
    <bk>
      <rc t="2" v="9523"/>
    </bk>
    <bk>
      <rc t="2" v="9524"/>
    </bk>
    <bk>
      <rc t="2" v="9525"/>
    </bk>
    <bk>
      <rc t="2" v="9526"/>
    </bk>
    <bk>
      <rc t="2" v="9527"/>
    </bk>
    <bk>
      <rc t="2" v="9528"/>
    </bk>
    <bk>
      <rc t="2" v="9529"/>
    </bk>
    <bk>
      <rc t="2" v="9530"/>
    </bk>
    <bk>
      <rc t="2" v="9531"/>
    </bk>
    <bk>
      <rc t="2" v="9532"/>
    </bk>
    <bk>
      <rc t="2" v="9533"/>
    </bk>
    <bk>
      <rc t="2" v="9534"/>
    </bk>
    <bk>
      <rc t="2" v="9535"/>
    </bk>
    <bk>
      <rc t="2" v="9536"/>
    </bk>
    <bk>
      <rc t="2" v="9537"/>
    </bk>
    <bk>
      <rc t="2" v="9538"/>
    </bk>
    <bk>
      <rc t="2" v="9539"/>
    </bk>
    <bk>
      <rc t="2" v="9540"/>
    </bk>
    <bk>
      <rc t="2" v="9541"/>
    </bk>
    <bk>
      <rc t="2" v="9542"/>
    </bk>
    <bk>
      <rc t="2" v="9543"/>
    </bk>
    <bk>
      <rc t="2" v="9544"/>
    </bk>
    <bk>
      <rc t="2" v="9545"/>
    </bk>
    <bk>
      <rc t="2" v="9546"/>
    </bk>
    <bk>
      <rc t="2" v="9547"/>
    </bk>
    <bk>
      <rc t="2" v="9548"/>
    </bk>
    <bk>
      <rc t="2" v="9549"/>
    </bk>
    <bk>
      <rc t="2" v="9550"/>
    </bk>
    <bk>
      <rc t="2" v="9551"/>
    </bk>
    <bk>
      <rc t="2" v="9552"/>
    </bk>
    <bk>
      <rc t="2" v="9553"/>
    </bk>
    <bk>
      <rc t="2" v="9554"/>
    </bk>
    <bk>
      <rc t="2" v="9555"/>
    </bk>
    <bk>
      <rc t="2" v="9556"/>
    </bk>
    <bk>
      <rc t="2" v="9557"/>
    </bk>
    <bk>
      <rc t="2" v="9558"/>
    </bk>
    <bk>
      <rc t="2" v="9559"/>
    </bk>
    <bk>
      <rc t="2" v="9560"/>
    </bk>
    <bk>
      <rc t="2" v="9561"/>
    </bk>
    <bk>
      <rc t="2" v="9562"/>
    </bk>
    <bk>
      <rc t="2" v="9563"/>
    </bk>
    <bk>
      <rc t="2" v="9564"/>
    </bk>
    <bk>
      <rc t="2" v="9565"/>
    </bk>
    <bk>
      <rc t="2" v="9566"/>
    </bk>
    <bk>
      <rc t="2" v="9567"/>
    </bk>
    <bk>
      <rc t="2" v="9568"/>
    </bk>
    <bk>
      <rc t="2" v="9569"/>
    </bk>
    <bk>
      <rc t="2" v="9570"/>
    </bk>
    <bk>
      <rc t="2" v="9571"/>
    </bk>
    <bk>
      <rc t="2" v="9572"/>
    </bk>
    <bk>
      <rc t="2" v="9573"/>
    </bk>
    <bk>
      <rc t="2" v="9574"/>
    </bk>
    <bk>
      <rc t="2" v="9575"/>
    </bk>
    <bk>
      <rc t="2" v="9576"/>
    </bk>
    <bk>
      <rc t="2" v="9577"/>
    </bk>
    <bk>
      <rc t="2" v="9578"/>
    </bk>
    <bk>
      <rc t="2" v="9579"/>
    </bk>
    <bk>
      <rc t="2" v="9580"/>
    </bk>
    <bk>
      <rc t="2" v="9581"/>
    </bk>
    <bk>
      <rc t="2" v="9582"/>
    </bk>
    <bk>
      <rc t="2" v="9583"/>
    </bk>
    <bk>
      <rc t="2" v="9584"/>
    </bk>
    <bk>
      <rc t="2" v="9585"/>
    </bk>
    <bk>
      <rc t="2" v="9586"/>
    </bk>
    <bk>
      <rc t="2" v="9587"/>
    </bk>
    <bk>
      <rc t="2" v="9588"/>
    </bk>
    <bk>
      <rc t="2" v="9589"/>
    </bk>
    <bk>
      <rc t="2" v="9590"/>
    </bk>
    <bk>
      <rc t="2" v="9591"/>
    </bk>
    <bk>
      <rc t="2" v="9592"/>
    </bk>
    <bk>
      <rc t="2" v="9593"/>
    </bk>
    <bk>
      <rc t="2" v="9594"/>
    </bk>
    <bk>
      <rc t="2" v="9595"/>
    </bk>
    <bk>
      <rc t="2" v="9596"/>
    </bk>
    <bk>
      <rc t="2" v="9597"/>
    </bk>
    <bk>
      <rc t="2" v="9598"/>
    </bk>
    <bk>
      <rc t="2" v="9599"/>
    </bk>
    <bk>
      <rc t="2" v="9600"/>
    </bk>
    <bk>
      <rc t="2" v="9601"/>
    </bk>
    <bk>
      <rc t="2" v="9602"/>
    </bk>
    <bk>
      <rc t="2" v="9603"/>
    </bk>
    <bk>
      <rc t="2" v="9604"/>
    </bk>
    <bk>
      <rc t="2" v="9605"/>
    </bk>
    <bk>
      <rc t="2" v="9606"/>
    </bk>
    <bk>
      <rc t="2" v="9607"/>
    </bk>
    <bk>
      <rc t="2" v="9608"/>
    </bk>
    <bk>
      <rc t="2" v="9609"/>
    </bk>
    <bk>
      <rc t="2" v="9610"/>
    </bk>
    <bk>
      <rc t="2" v="9611"/>
    </bk>
    <bk>
      <rc t="2" v="9612"/>
    </bk>
    <bk>
      <rc t="2" v="9613"/>
    </bk>
    <bk>
      <rc t="2" v="9614"/>
    </bk>
    <bk>
      <rc t="2" v="9615"/>
    </bk>
    <bk>
      <rc t="2" v="9616"/>
    </bk>
    <bk>
      <rc t="2" v="9617"/>
    </bk>
    <bk>
      <rc t="2" v="9618"/>
    </bk>
    <bk>
      <rc t="2" v="9619"/>
    </bk>
    <bk>
      <rc t="2" v="9620"/>
    </bk>
    <bk>
      <rc t="2" v="9621"/>
    </bk>
    <bk>
      <rc t="2" v="9622"/>
    </bk>
    <bk>
      <rc t="2" v="9623"/>
    </bk>
    <bk>
      <rc t="2" v="9624"/>
    </bk>
    <bk>
      <rc t="2" v="9625"/>
    </bk>
    <bk>
      <rc t="2" v="9626"/>
    </bk>
    <bk>
      <rc t="2" v="9627"/>
    </bk>
    <bk>
      <rc t="2" v="9628"/>
    </bk>
    <bk>
      <rc t="2" v="9629"/>
    </bk>
    <bk>
      <rc t="2" v="9630"/>
    </bk>
    <bk>
      <rc t="2" v="9631"/>
    </bk>
    <bk>
      <rc t="2" v="9632"/>
    </bk>
    <bk>
      <rc t="2" v="9633"/>
    </bk>
    <bk>
      <rc t="2" v="9634"/>
    </bk>
    <bk>
      <rc t="2" v="9635"/>
    </bk>
    <bk>
      <rc t="2" v="9636"/>
    </bk>
    <bk>
      <rc t="2" v="9637"/>
    </bk>
    <bk>
      <rc t="2" v="9638"/>
    </bk>
    <bk>
      <rc t="2" v="9639"/>
    </bk>
    <bk>
      <rc t="2" v="9640"/>
    </bk>
    <bk>
      <rc t="2" v="9641"/>
    </bk>
    <bk>
      <rc t="2" v="9642"/>
    </bk>
    <bk>
      <rc t="2" v="9643"/>
    </bk>
    <bk>
      <rc t="2" v="9644"/>
    </bk>
    <bk>
      <rc t="2" v="9645"/>
    </bk>
    <bk>
      <rc t="2" v="9646"/>
    </bk>
    <bk>
      <rc t="2" v="9647"/>
    </bk>
    <bk>
      <rc t="2" v="9648"/>
    </bk>
    <bk>
      <rc t="2" v="9649"/>
    </bk>
    <bk>
      <rc t="2" v="9650"/>
    </bk>
    <bk>
      <rc t="2" v="9651"/>
    </bk>
    <bk>
      <rc t="2" v="9652"/>
    </bk>
    <bk>
      <rc t="2" v="9653"/>
    </bk>
    <bk>
      <rc t="2" v="9654"/>
    </bk>
    <bk>
      <rc t="2" v="9655"/>
    </bk>
    <bk>
      <rc t="2" v="9656"/>
    </bk>
    <bk>
      <rc t="2" v="9657"/>
    </bk>
    <bk>
      <rc t="2" v="9658"/>
    </bk>
    <bk>
      <rc t="2" v="9659"/>
    </bk>
    <bk>
      <rc t="2" v="9660"/>
    </bk>
    <bk>
      <rc t="2" v="9661"/>
    </bk>
    <bk>
      <rc t="2" v="9662"/>
    </bk>
    <bk>
      <rc t="2" v="9663"/>
    </bk>
    <bk>
      <rc t="2" v="9664"/>
    </bk>
    <bk>
      <rc t="2" v="9665"/>
    </bk>
    <bk>
      <rc t="2" v="9666"/>
    </bk>
    <bk>
      <rc t="2" v="9667"/>
    </bk>
    <bk>
      <rc t="2" v="9668"/>
    </bk>
    <bk>
      <rc t="2" v="9669"/>
    </bk>
    <bk>
      <rc t="2" v="9670"/>
    </bk>
    <bk>
      <rc t="2" v="9671"/>
    </bk>
    <bk>
      <rc t="2" v="9672"/>
    </bk>
    <bk>
      <rc t="2" v="9673"/>
    </bk>
    <bk>
      <rc t="2" v="9674"/>
    </bk>
    <bk>
      <rc t="2" v="9675"/>
    </bk>
    <bk>
      <rc t="2" v="9676"/>
    </bk>
    <bk>
      <rc t="2" v="9677"/>
    </bk>
    <bk>
      <rc t="2" v="9678"/>
    </bk>
    <bk>
      <rc t="2" v="9679"/>
    </bk>
    <bk>
      <rc t="2" v="9680"/>
    </bk>
    <bk>
      <rc t="2" v="9681"/>
    </bk>
    <bk>
      <rc t="2" v="9682"/>
    </bk>
    <bk>
      <rc t="2" v="9683"/>
    </bk>
    <bk>
      <rc t="2" v="9684"/>
    </bk>
    <bk>
      <rc t="2" v="9685"/>
    </bk>
    <bk>
      <rc t="2" v="9686"/>
    </bk>
    <bk>
      <rc t="2" v="9687"/>
    </bk>
    <bk>
      <rc t="2" v="9688"/>
    </bk>
    <bk>
      <rc t="2" v="9689"/>
    </bk>
    <bk>
      <rc t="2" v="9690"/>
    </bk>
    <bk>
      <rc t="2" v="9691"/>
    </bk>
    <bk>
      <rc t="2" v="9692"/>
    </bk>
    <bk>
      <rc t="2" v="9693"/>
    </bk>
    <bk>
      <rc t="2" v="9694"/>
    </bk>
    <bk>
      <rc t="2" v="9695"/>
    </bk>
    <bk>
      <rc t="2" v="9696"/>
    </bk>
    <bk>
      <rc t="2" v="9697"/>
    </bk>
    <bk>
      <rc t="2" v="9698"/>
    </bk>
    <bk>
      <rc t="2" v="9699"/>
    </bk>
    <bk>
      <rc t="2" v="9700"/>
    </bk>
    <bk>
      <rc t="2" v="9701"/>
    </bk>
    <bk>
      <rc t="2" v="9702"/>
    </bk>
    <bk>
      <rc t="2" v="9703"/>
    </bk>
    <bk>
      <rc t="2" v="9704"/>
    </bk>
    <bk>
      <rc t="2" v="9705"/>
    </bk>
    <bk>
      <rc t="2" v="9706"/>
    </bk>
    <bk>
      <rc t="2" v="9707"/>
    </bk>
    <bk>
      <rc t="2" v="9708"/>
    </bk>
    <bk>
      <rc t="2" v="9709"/>
    </bk>
    <bk>
      <rc t="2" v="9710"/>
    </bk>
    <bk>
      <rc t="2" v="9711"/>
    </bk>
    <bk>
      <rc t="2" v="9712"/>
    </bk>
    <bk>
      <rc t="2" v="9713"/>
    </bk>
    <bk>
      <rc t="2" v="9714"/>
    </bk>
    <bk>
      <rc t="2" v="9715"/>
    </bk>
    <bk>
      <rc t="2" v="9716"/>
    </bk>
    <bk>
      <rc t="2" v="9717"/>
    </bk>
    <bk>
      <rc t="2" v="9718"/>
    </bk>
    <bk>
      <rc t="2" v="9719"/>
    </bk>
    <bk>
      <rc t="2" v="9720"/>
    </bk>
    <bk>
      <rc t="2" v="9721"/>
    </bk>
    <bk>
      <rc t="2" v="9722"/>
    </bk>
    <bk>
      <rc t="2" v="9723"/>
    </bk>
    <bk>
      <rc t="2" v="9724"/>
    </bk>
    <bk>
      <rc t="2" v="9725"/>
    </bk>
    <bk>
      <rc t="2" v="9726"/>
    </bk>
    <bk>
      <rc t="2" v="9727"/>
    </bk>
    <bk>
      <rc t="2" v="9728"/>
    </bk>
    <bk>
      <rc t="2" v="9729"/>
    </bk>
    <bk>
      <rc t="2" v="9730"/>
    </bk>
    <bk>
      <rc t="2" v="9731"/>
    </bk>
    <bk>
      <rc t="2" v="9732"/>
    </bk>
    <bk>
      <rc t="2" v="9733"/>
    </bk>
    <bk>
      <rc t="2" v="9734"/>
    </bk>
    <bk>
      <rc t="2" v="9735"/>
    </bk>
    <bk>
      <rc t="2" v="9736"/>
    </bk>
    <bk>
      <rc t="2" v="9737"/>
    </bk>
    <bk>
      <rc t="2" v="9738"/>
    </bk>
    <bk>
      <rc t="2" v="9739"/>
    </bk>
    <bk>
      <rc t="2" v="9740"/>
    </bk>
    <bk>
      <rc t="2" v="9741"/>
    </bk>
    <bk>
      <rc t="2" v="9742"/>
    </bk>
    <bk>
      <rc t="2" v="9743"/>
    </bk>
    <bk>
      <rc t="2" v="9744"/>
    </bk>
    <bk>
      <rc t="2" v="9745"/>
    </bk>
    <bk>
      <rc t="2" v="9746"/>
    </bk>
    <bk>
      <rc t="2" v="9747"/>
    </bk>
    <bk>
      <rc t="2" v="9748"/>
    </bk>
    <bk>
      <rc t="2" v="9749"/>
    </bk>
    <bk>
      <rc t="2" v="9750"/>
    </bk>
    <bk>
      <rc t="2" v="9751"/>
    </bk>
    <bk>
      <rc t="2" v="9752"/>
    </bk>
    <bk>
      <rc t="2" v="9753"/>
    </bk>
    <bk>
      <rc t="2" v="9754"/>
    </bk>
    <bk>
      <rc t="2" v="9755"/>
    </bk>
    <bk>
      <rc t="2" v="9756"/>
    </bk>
    <bk>
      <rc t="2" v="9757"/>
    </bk>
    <bk>
      <rc t="2" v="9758"/>
    </bk>
    <bk>
      <rc t="2" v="9759"/>
    </bk>
    <bk>
      <rc t="2" v="9760"/>
    </bk>
    <bk>
      <rc t="2" v="9761"/>
    </bk>
    <bk>
      <rc t="2" v="9762"/>
    </bk>
    <bk>
      <rc t="2" v="9763"/>
    </bk>
    <bk>
      <rc t="2" v="9764"/>
    </bk>
    <bk>
      <rc t="2" v="9765"/>
    </bk>
    <bk>
      <rc t="2" v="9766"/>
    </bk>
    <bk>
      <rc t="2" v="9767"/>
    </bk>
    <bk>
      <rc t="2" v="9768"/>
    </bk>
    <bk>
      <rc t="2" v="9769"/>
    </bk>
    <bk>
      <rc t="2" v="9770"/>
    </bk>
    <bk>
      <rc t="2" v="9771"/>
    </bk>
    <bk>
      <rc t="2" v="9772"/>
    </bk>
    <bk>
      <rc t="2" v="9773"/>
    </bk>
    <bk>
      <rc t="2" v="9774"/>
    </bk>
    <bk>
      <rc t="2" v="9775"/>
    </bk>
    <bk>
      <rc t="2" v="9776"/>
    </bk>
    <bk>
      <rc t="2" v="9777"/>
    </bk>
    <bk>
      <rc t="2" v="9778"/>
    </bk>
    <bk>
      <rc t="2" v="9779"/>
    </bk>
    <bk>
      <rc t="2" v="9780"/>
    </bk>
    <bk>
      <rc t="2" v="9781"/>
    </bk>
    <bk>
      <rc t="2" v="9782"/>
    </bk>
    <bk>
      <rc t="2" v="9783"/>
    </bk>
    <bk>
      <rc t="2" v="9784"/>
    </bk>
    <bk>
      <rc t="2" v="9785"/>
    </bk>
    <bk>
      <rc t="2" v="9786"/>
    </bk>
    <bk>
      <rc t="2" v="9787"/>
    </bk>
    <bk>
      <rc t="2" v="9788"/>
    </bk>
    <bk>
      <rc t="2" v="9789"/>
    </bk>
    <bk>
      <rc t="2" v="9790"/>
    </bk>
    <bk>
      <rc t="2" v="9791"/>
    </bk>
    <bk>
      <rc t="2" v="9792"/>
    </bk>
    <bk>
      <rc t="2" v="9793"/>
    </bk>
    <bk>
      <rc t="2" v="9794"/>
    </bk>
    <bk>
      <rc t="2" v="9795"/>
    </bk>
    <bk>
      <rc t="2" v="9796"/>
    </bk>
    <bk>
      <rc t="2" v="9797"/>
    </bk>
    <bk>
      <rc t="2" v="9798"/>
    </bk>
    <bk>
      <rc t="2" v="9799"/>
    </bk>
    <bk>
      <rc t="2" v="9800"/>
    </bk>
    <bk>
      <rc t="2" v="9801"/>
    </bk>
    <bk>
      <rc t="2" v="9802"/>
    </bk>
    <bk>
      <rc t="2" v="9803"/>
    </bk>
    <bk>
      <rc t="2" v="9804"/>
    </bk>
    <bk>
      <rc t="2" v="9805"/>
    </bk>
    <bk>
      <rc t="2" v="9806"/>
    </bk>
    <bk>
      <rc t="2" v="9807"/>
    </bk>
    <bk>
      <rc t="2" v="9808"/>
    </bk>
    <bk>
      <rc t="2" v="9809"/>
    </bk>
    <bk>
      <rc t="2" v="9810"/>
    </bk>
    <bk>
      <rc t="2" v="9811"/>
    </bk>
    <bk>
      <rc t="2" v="9812"/>
    </bk>
    <bk>
      <rc t="2" v="9813"/>
    </bk>
    <bk>
      <rc t="2" v="9814"/>
    </bk>
    <bk>
      <rc t="2" v="9815"/>
    </bk>
    <bk>
      <rc t="2" v="9816"/>
    </bk>
    <bk>
      <rc t="2" v="9817"/>
    </bk>
    <bk>
      <rc t="2" v="9818"/>
    </bk>
    <bk>
      <rc t="2" v="9819"/>
    </bk>
    <bk>
      <rc t="2" v="9820"/>
    </bk>
    <bk>
      <rc t="2" v="9821"/>
    </bk>
    <bk>
      <rc t="2" v="9822"/>
    </bk>
    <bk>
      <rc t="2" v="9823"/>
    </bk>
    <bk>
      <rc t="2" v="9824"/>
    </bk>
    <bk>
      <rc t="2" v="9825"/>
    </bk>
    <bk>
      <rc t="2" v="9826"/>
    </bk>
    <bk>
      <rc t="2" v="9827"/>
    </bk>
    <bk>
      <rc t="2" v="9828"/>
    </bk>
    <bk>
      <rc t="2" v="9829"/>
    </bk>
    <bk>
      <rc t="2" v="9830"/>
    </bk>
    <bk>
      <rc t="2" v="9831"/>
    </bk>
    <bk>
      <rc t="2" v="9832"/>
    </bk>
    <bk>
      <rc t="2" v="9833"/>
    </bk>
    <bk>
      <rc t="2" v="9834"/>
    </bk>
    <bk>
      <rc t="2" v="9835"/>
    </bk>
    <bk>
      <rc t="2" v="9836"/>
    </bk>
    <bk>
      <rc t="2" v="9837"/>
    </bk>
    <bk>
      <rc t="2" v="9838"/>
    </bk>
    <bk>
      <rc t="2" v="9839"/>
    </bk>
    <bk>
      <rc t="2" v="9840"/>
    </bk>
    <bk>
      <rc t="2" v="9841"/>
    </bk>
    <bk>
      <rc t="2" v="9842"/>
    </bk>
    <bk>
      <rc t="2" v="9843"/>
    </bk>
    <bk>
      <rc t="2" v="9844"/>
    </bk>
    <bk>
      <rc t="2" v="9845"/>
    </bk>
    <bk>
      <rc t="2" v="9846"/>
    </bk>
    <bk>
      <rc t="2" v="9847"/>
    </bk>
    <bk>
      <rc t="2" v="9848"/>
    </bk>
    <bk>
      <rc t="2" v="9849"/>
    </bk>
    <bk>
      <rc t="2" v="9850"/>
    </bk>
    <bk>
      <rc t="2" v="9851"/>
    </bk>
    <bk>
      <rc t="2" v="9852"/>
    </bk>
    <bk>
      <rc t="2" v="9853"/>
    </bk>
    <bk>
      <rc t="2" v="9854"/>
    </bk>
    <bk>
      <rc t="2" v="9855"/>
    </bk>
    <bk>
      <rc t="2" v="9856"/>
    </bk>
    <bk>
      <rc t="2" v="9857"/>
    </bk>
    <bk>
      <rc t="2" v="9858"/>
    </bk>
    <bk>
      <rc t="2" v="9859"/>
    </bk>
    <bk>
      <rc t="2" v="9860"/>
    </bk>
    <bk>
      <rc t="2" v="9861"/>
    </bk>
    <bk>
      <rc t="2" v="9862"/>
    </bk>
    <bk>
      <rc t="2" v="9863"/>
    </bk>
    <bk>
      <rc t="2" v="9864"/>
    </bk>
    <bk>
      <rc t="2" v="9865"/>
    </bk>
    <bk>
      <rc t="2" v="9866"/>
    </bk>
    <bk>
      <rc t="2" v="9867"/>
    </bk>
    <bk>
      <rc t="2" v="9868"/>
    </bk>
    <bk>
      <rc t="2" v="9869"/>
    </bk>
    <bk>
      <rc t="2" v="9870"/>
    </bk>
    <bk>
      <rc t="2" v="9871"/>
    </bk>
    <bk>
      <rc t="2" v="9872"/>
    </bk>
    <bk>
      <rc t="2" v="9873"/>
    </bk>
    <bk>
      <rc t="2" v="9874"/>
    </bk>
    <bk>
      <rc t="2" v="9875"/>
    </bk>
    <bk>
      <rc t="2" v="9876"/>
    </bk>
    <bk>
      <rc t="2" v="9877"/>
    </bk>
    <bk>
      <rc t="2" v="9878"/>
    </bk>
    <bk>
      <rc t="2" v="9879"/>
    </bk>
    <bk>
      <rc t="2" v="9880"/>
    </bk>
    <bk>
      <rc t="2" v="9881"/>
    </bk>
    <bk>
      <rc t="2" v="9882"/>
    </bk>
    <bk>
      <rc t="2" v="9883"/>
    </bk>
    <bk>
      <rc t="2" v="9884"/>
    </bk>
    <bk>
      <rc t="2" v="9885"/>
    </bk>
    <bk>
      <rc t="2" v="9886"/>
    </bk>
    <bk>
      <rc t="2" v="9887"/>
    </bk>
    <bk>
      <rc t="2" v="9888"/>
    </bk>
    <bk>
      <rc t="2" v="9889"/>
    </bk>
    <bk>
      <rc t="2" v="9890"/>
    </bk>
    <bk>
      <rc t="2" v="9891"/>
    </bk>
    <bk>
      <rc t="2" v="9892"/>
    </bk>
    <bk>
      <rc t="2" v="9893"/>
    </bk>
    <bk>
      <rc t="2" v="9894"/>
    </bk>
    <bk>
      <rc t="2" v="9895"/>
    </bk>
    <bk>
      <rc t="2" v="9896"/>
    </bk>
    <bk>
      <rc t="2" v="9897"/>
    </bk>
    <bk>
      <rc t="2" v="9898"/>
    </bk>
    <bk>
      <rc t="2" v="9899"/>
    </bk>
    <bk>
      <rc t="2" v="9900"/>
    </bk>
    <bk>
      <rc t="2" v="9901"/>
    </bk>
    <bk>
      <rc t="2" v="9902"/>
    </bk>
    <bk>
      <rc t="2" v="9903"/>
    </bk>
    <bk>
      <rc t="2" v="9904"/>
    </bk>
    <bk>
      <rc t="2" v="9905"/>
    </bk>
    <bk>
      <rc t="2" v="9906"/>
    </bk>
    <bk>
      <rc t="2" v="9907"/>
    </bk>
    <bk>
      <rc t="2" v="9908"/>
    </bk>
    <bk>
      <rc t="2" v="9909"/>
    </bk>
    <bk>
      <rc t="2" v="9910"/>
    </bk>
    <bk>
      <rc t="2" v="9911"/>
    </bk>
    <bk>
      <rc t="2" v="9912"/>
    </bk>
    <bk>
      <rc t="2" v="9913"/>
    </bk>
    <bk>
      <rc t="2" v="9914"/>
    </bk>
    <bk>
      <rc t="2" v="9915"/>
    </bk>
    <bk>
      <rc t="2" v="9916"/>
    </bk>
    <bk>
      <rc t="2" v="9917"/>
    </bk>
    <bk>
      <rc t="2" v="9918"/>
    </bk>
    <bk>
      <rc t="2" v="9919"/>
    </bk>
    <bk>
      <rc t="2" v="9920"/>
    </bk>
    <bk>
      <rc t="2" v="9921"/>
    </bk>
    <bk>
      <rc t="2" v="9922"/>
    </bk>
    <bk>
      <rc t="2" v="9923"/>
    </bk>
    <bk>
      <rc t="2" v="9924"/>
    </bk>
    <bk>
      <rc t="2" v="9925"/>
    </bk>
    <bk>
      <rc t="2" v="9926"/>
    </bk>
    <bk>
      <rc t="2" v="9927"/>
    </bk>
    <bk>
      <rc t="2" v="9928"/>
    </bk>
    <bk>
      <rc t="2" v="9929"/>
    </bk>
    <bk>
      <rc t="2" v="9930"/>
    </bk>
    <bk>
      <rc t="2" v="9931"/>
    </bk>
    <bk>
      <rc t="2" v="9932"/>
    </bk>
    <bk>
      <rc t="2" v="9933"/>
    </bk>
    <bk>
      <rc t="2" v="9934"/>
    </bk>
    <bk>
      <rc t="2" v="9935"/>
    </bk>
    <bk>
      <rc t="2" v="9936"/>
    </bk>
    <bk>
      <rc t="2" v="9937"/>
    </bk>
    <bk>
      <rc t="2" v="9938"/>
    </bk>
    <bk>
      <rc t="2" v="9939"/>
    </bk>
    <bk>
      <rc t="2" v="9940"/>
    </bk>
    <bk>
      <rc t="2" v="9941"/>
    </bk>
    <bk>
      <rc t="2" v="9942"/>
    </bk>
    <bk>
      <rc t="2" v="9943"/>
    </bk>
    <bk>
      <rc t="2" v="9944"/>
    </bk>
    <bk>
      <rc t="2" v="9945"/>
    </bk>
    <bk>
      <rc t="2" v="9946"/>
    </bk>
    <bk>
      <rc t="2" v="9947"/>
    </bk>
    <bk>
      <rc t="2" v="9948"/>
    </bk>
    <bk>
      <rc t="2" v="9949"/>
    </bk>
    <bk>
      <rc t="2" v="9950"/>
    </bk>
    <bk>
      <rc t="2" v="9951"/>
    </bk>
    <bk>
      <rc t="2" v="9952"/>
    </bk>
    <bk>
      <rc t="2" v="9953"/>
    </bk>
    <bk>
      <rc t="2" v="9954"/>
    </bk>
    <bk>
      <rc t="2" v="9955"/>
    </bk>
    <bk>
      <rc t="2" v="9956"/>
    </bk>
    <bk>
      <rc t="2" v="9957"/>
    </bk>
    <bk>
      <rc t="2" v="9958"/>
    </bk>
    <bk>
      <rc t="2" v="9959"/>
    </bk>
    <bk>
      <rc t="2" v="9960"/>
    </bk>
    <bk>
      <rc t="2" v="9961"/>
    </bk>
    <bk>
      <rc t="2" v="9962"/>
    </bk>
    <bk>
      <rc t="2" v="9963"/>
    </bk>
    <bk>
      <rc t="2" v="9964"/>
    </bk>
    <bk>
      <rc t="2" v="9965"/>
    </bk>
    <bk>
      <rc t="2" v="9966"/>
    </bk>
    <bk>
      <rc t="2" v="9967"/>
    </bk>
    <bk>
      <rc t="2" v="9968"/>
    </bk>
    <bk>
      <rc t="2" v="9969"/>
    </bk>
    <bk>
      <rc t="2" v="9970"/>
    </bk>
    <bk>
      <rc t="2" v="9971"/>
    </bk>
    <bk>
      <rc t="2" v="9972"/>
    </bk>
    <bk>
      <rc t="2" v="9973"/>
    </bk>
    <bk>
      <rc t="2" v="9974"/>
    </bk>
    <bk>
      <rc t="2" v="9975"/>
    </bk>
    <bk>
      <rc t="2" v="9976"/>
    </bk>
    <bk>
      <rc t="2" v="9977"/>
    </bk>
    <bk>
      <rc t="2" v="9978"/>
    </bk>
    <bk>
      <rc t="2" v="9979"/>
    </bk>
    <bk>
      <rc t="2" v="9980"/>
    </bk>
    <bk>
      <rc t="2" v="9981"/>
    </bk>
    <bk>
      <rc t="2" v="9982"/>
    </bk>
    <bk>
      <rc t="2" v="9983"/>
    </bk>
    <bk>
      <rc t="2" v="9984"/>
    </bk>
    <bk>
      <rc t="2" v="9985"/>
    </bk>
    <bk>
      <rc t="2" v="9986"/>
    </bk>
    <bk>
      <rc t="2" v="9987"/>
    </bk>
    <bk>
      <rc t="2" v="9988"/>
    </bk>
    <bk>
      <rc t="2" v="9989"/>
    </bk>
    <bk>
      <rc t="2" v="9990"/>
    </bk>
    <bk>
      <rc t="2" v="9991"/>
    </bk>
    <bk>
      <rc t="2" v="9992"/>
    </bk>
    <bk>
      <rc t="2" v="9993"/>
    </bk>
    <bk>
      <rc t="2" v="9994"/>
    </bk>
    <bk>
      <rc t="2" v="9995"/>
    </bk>
    <bk>
      <rc t="2" v="9996"/>
    </bk>
    <bk>
      <rc t="2" v="9997"/>
    </bk>
    <bk>
      <rc t="2" v="9998"/>
    </bk>
    <bk>
      <rc t="2" v="9999"/>
    </bk>
    <bk>
      <rc t="2" v="10000"/>
    </bk>
    <bk>
      <rc t="2" v="10001"/>
    </bk>
    <bk>
      <rc t="2" v="10002"/>
    </bk>
    <bk>
      <rc t="2" v="10003"/>
    </bk>
    <bk>
      <rc t="2" v="10004"/>
    </bk>
    <bk>
      <rc t="2" v="10005"/>
    </bk>
    <bk>
      <rc t="2" v="10006"/>
    </bk>
    <bk>
      <rc t="2" v="10007"/>
    </bk>
    <bk>
      <rc t="2" v="10008"/>
    </bk>
    <bk>
      <rc t="2" v="10009"/>
    </bk>
    <bk>
      <rc t="2" v="10010"/>
    </bk>
    <bk>
      <rc t="2" v="10011"/>
    </bk>
    <bk>
      <rc t="2" v="10012"/>
    </bk>
    <bk>
      <rc t="2" v="10013"/>
    </bk>
    <bk>
      <rc t="2" v="10014"/>
    </bk>
    <bk>
      <rc t="2" v="10015"/>
    </bk>
    <bk>
      <rc t="2" v="10016"/>
    </bk>
    <bk>
      <rc t="2" v="10017"/>
    </bk>
    <bk>
      <rc t="2" v="10018"/>
    </bk>
    <bk>
      <rc t="2" v="10019"/>
    </bk>
    <bk>
      <rc t="2" v="10020"/>
    </bk>
    <bk>
      <rc t="2" v="10021"/>
    </bk>
    <bk>
      <rc t="2" v="10022"/>
    </bk>
    <bk>
      <rc t="2" v="10023"/>
    </bk>
    <bk>
      <rc t="2" v="10024"/>
    </bk>
    <bk>
      <rc t="2" v="10025"/>
    </bk>
    <bk>
      <rc t="2" v="10026"/>
    </bk>
    <bk>
      <rc t="2" v="10027"/>
    </bk>
    <bk>
      <rc t="2" v="10028"/>
    </bk>
    <bk>
      <rc t="2" v="10029"/>
    </bk>
    <bk>
      <rc t="2" v="10030"/>
    </bk>
    <bk>
      <rc t="2" v="10031"/>
    </bk>
    <bk>
      <rc t="2" v="10032"/>
    </bk>
    <bk>
      <rc t="2" v="10033"/>
    </bk>
    <bk>
      <rc t="2" v="10034"/>
    </bk>
    <bk>
      <rc t="2" v="10035"/>
    </bk>
    <bk>
      <rc t="2" v="10036"/>
    </bk>
    <bk>
      <rc t="2" v="10037"/>
    </bk>
    <bk>
      <rc t="2" v="10038"/>
    </bk>
    <bk>
      <rc t="2" v="10039"/>
    </bk>
    <bk>
      <rc t="2" v="10040"/>
    </bk>
    <bk>
      <rc t="2" v="10041"/>
    </bk>
    <bk>
      <rc t="2" v="10042"/>
    </bk>
    <bk>
      <rc t="2" v="10043"/>
    </bk>
    <bk>
      <rc t="2" v="10044"/>
    </bk>
    <bk>
      <rc t="2" v="10045"/>
    </bk>
    <bk>
      <rc t="2" v="10046"/>
    </bk>
    <bk>
      <rc t="2" v="10047"/>
    </bk>
    <bk>
      <rc t="2" v="10048"/>
    </bk>
    <bk>
      <rc t="2" v="10049"/>
    </bk>
    <bk>
      <rc t="2" v="10050"/>
    </bk>
    <bk>
      <rc t="2" v="10051"/>
    </bk>
    <bk>
      <rc t="2" v="10052"/>
    </bk>
    <bk>
      <rc t="2" v="10053"/>
    </bk>
    <bk>
      <rc t="2" v="10054"/>
    </bk>
    <bk>
      <rc t="2" v="10055"/>
    </bk>
    <bk>
      <rc t="2" v="10056"/>
    </bk>
    <bk>
      <rc t="2" v="10057"/>
    </bk>
    <bk>
      <rc t="2" v="10058"/>
    </bk>
    <bk>
      <rc t="2" v="10059"/>
    </bk>
    <bk>
      <rc t="2" v="10060"/>
    </bk>
    <bk>
      <rc t="2" v="10061"/>
    </bk>
    <bk>
      <rc t="2" v="10062"/>
    </bk>
    <bk>
      <rc t="2" v="10063"/>
    </bk>
    <bk>
      <rc t="2" v="10064"/>
    </bk>
    <bk>
      <rc t="2" v="10065"/>
    </bk>
    <bk>
      <rc t="2" v="10066"/>
    </bk>
    <bk>
      <rc t="2" v="10067"/>
    </bk>
    <bk>
      <rc t="2" v="10068"/>
    </bk>
    <bk>
      <rc t="2" v="10069"/>
    </bk>
    <bk>
      <rc t="2" v="10070"/>
    </bk>
    <bk>
      <rc t="2" v="10071"/>
    </bk>
    <bk>
      <rc t="2" v="10072"/>
    </bk>
    <bk>
      <rc t="2" v="10073"/>
    </bk>
    <bk>
      <rc t="2" v="10074"/>
    </bk>
    <bk>
      <rc t="2" v="10075"/>
    </bk>
    <bk>
      <rc t="2" v="10076"/>
    </bk>
    <bk>
      <rc t="2" v="10077"/>
    </bk>
    <bk>
      <rc t="2" v="10078"/>
    </bk>
    <bk>
      <rc t="2" v="10079"/>
    </bk>
    <bk>
      <rc t="2" v="10080"/>
    </bk>
    <bk>
      <rc t="2" v="10081"/>
    </bk>
    <bk>
      <rc t="2" v="10082"/>
    </bk>
    <bk>
      <rc t="2" v="10083"/>
    </bk>
    <bk>
      <rc t="2" v="10084"/>
    </bk>
    <bk>
      <rc t="2" v="10085"/>
    </bk>
    <bk>
      <rc t="2" v="10086"/>
    </bk>
    <bk>
      <rc t="2" v="10087"/>
    </bk>
    <bk>
      <rc t="2" v="10088"/>
    </bk>
    <bk>
      <rc t="2" v="10089"/>
    </bk>
    <bk>
      <rc t="2" v="10090"/>
    </bk>
    <bk>
      <rc t="2" v="10091"/>
    </bk>
    <bk>
      <rc t="2" v="10092"/>
    </bk>
    <bk>
      <rc t="2" v="10093"/>
    </bk>
    <bk>
      <rc t="2" v="10094"/>
    </bk>
    <bk>
      <rc t="2" v="10095"/>
    </bk>
    <bk>
      <rc t="2" v="10096"/>
    </bk>
    <bk>
      <rc t="2" v="10097"/>
    </bk>
    <bk>
      <rc t="2" v="10098"/>
    </bk>
    <bk>
      <rc t="2" v="10099"/>
    </bk>
    <bk>
      <rc t="2" v="10100"/>
    </bk>
    <bk>
      <rc t="2" v="10101"/>
    </bk>
    <bk>
      <rc t="2" v="10102"/>
    </bk>
    <bk>
      <rc t="2" v="10103"/>
    </bk>
    <bk>
      <rc t="2" v="10104"/>
    </bk>
    <bk>
      <rc t="2" v="10105"/>
    </bk>
    <bk>
      <rc t="2" v="10106"/>
    </bk>
    <bk>
      <rc t="2" v="10107"/>
    </bk>
    <bk>
      <rc t="2" v="10108"/>
    </bk>
    <bk>
      <rc t="2" v="10109"/>
    </bk>
    <bk>
      <rc t="2" v="10110"/>
    </bk>
    <bk>
      <rc t="2" v="10111"/>
    </bk>
    <bk>
      <rc t="2" v="10112"/>
    </bk>
    <bk>
      <rc t="2" v="10113"/>
    </bk>
    <bk>
      <rc t="2" v="10114"/>
    </bk>
    <bk>
      <rc t="2" v="10115"/>
    </bk>
    <bk>
      <rc t="2" v="10116"/>
    </bk>
    <bk>
      <rc t="2" v="10117"/>
    </bk>
    <bk>
      <rc t="2" v="10118"/>
    </bk>
    <bk>
      <rc t="2" v="10119"/>
    </bk>
    <bk>
      <rc t="2" v="10120"/>
    </bk>
    <bk>
      <rc t="2" v="10121"/>
    </bk>
    <bk>
      <rc t="2" v="10122"/>
    </bk>
    <bk>
      <rc t="2" v="10123"/>
    </bk>
    <bk>
      <rc t="2" v="10124"/>
    </bk>
    <bk>
      <rc t="2" v="10125"/>
    </bk>
    <bk>
      <rc t="2" v="10126"/>
    </bk>
    <bk>
      <rc t="2" v="10127"/>
    </bk>
    <bk>
      <rc t="2" v="10128"/>
    </bk>
    <bk>
      <rc t="2" v="10129"/>
    </bk>
    <bk>
      <rc t="2" v="10130"/>
    </bk>
    <bk>
      <rc t="2" v="10131"/>
    </bk>
    <bk>
      <rc t="2" v="10132"/>
    </bk>
    <bk>
      <rc t="2" v="10133"/>
    </bk>
    <bk>
      <rc t="2" v="10134"/>
    </bk>
    <bk>
      <rc t="2" v="10135"/>
    </bk>
    <bk>
      <rc t="2" v="10136"/>
    </bk>
    <bk>
      <rc t="2" v="10137"/>
    </bk>
    <bk>
      <rc t="2" v="10138"/>
    </bk>
    <bk>
      <rc t="2" v="10139"/>
    </bk>
    <bk>
      <rc t="2" v="10140"/>
    </bk>
    <bk>
      <rc t="2" v="10141"/>
    </bk>
    <bk>
      <rc t="2" v="10142"/>
    </bk>
    <bk>
      <rc t="2" v="10143"/>
    </bk>
    <bk>
      <rc t="2" v="10144"/>
    </bk>
    <bk>
      <rc t="2" v="10145"/>
    </bk>
    <bk>
      <rc t="2" v="10146"/>
    </bk>
    <bk>
      <rc t="2" v="10147"/>
    </bk>
    <bk>
      <rc t="2" v="10148"/>
    </bk>
    <bk>
      <rc t="2" v="10149"/>
    </bk>
    <bk>
      <rc t="2" v="10150"/>
    </bk>
    <bk>
      <rc t="2" v="10151"/>
    </bk>
    <bk>
      <rc t="2" v="10152"/>
    </bk>
    <bk>
      <rc t="2" v="10153"/>
    </bk>
    <bk>
      <rc t="2" v="10154"/>
    </bk>
    <bk>
      <rc t="2" v="10155"/>
    </bk>
    <bk>
      <rc t="2" v="10156"/>
    </bk>
    <bk>
      <rc t="2" v="10157"/>
    </bk>
    <bk>
      <rc t="2" v="10158"/>
    </bk>
    <bk>
      <rc t="2" v="10159"/>
    </bk>
    <bk>
      <rc t="2" v="10160"/>
    </bk>
    <bk>
      <rc t="2" v="10161"/>
    </bk>
    <bk>
      <rc t="2" v="10162"/>
    </bk>
    <bk>
      <rc t="2" v="10163"/>
    </bk>
    <bk>
      <rc t="2" v="10164"/>
    </bk>
    <bk>
      <rc t="2" v="10165"/>
    </bk>
    <bk>
      <rc t="2" v="10166"/>
    </bk>
    <bk>
      <rc t="2" v="10167"/>
    </bk>
    <bk>
      <rc t="2" v="10168"/>
    </bk>
    <bk>
      <rc t="2" v="10169"/>
    </bk>
    <bk>
      <rc t="2" v="10170"/>
    </bk>
    <bk>
      <rc t="2" v="10171"/>
    </bk>
    <bk>
      <rc t="2" v="10172"/>
    </bk>
    <bk>
      <rc t="2" v="10173"/>
    </bk>
    <bk>
      <rc t="2" v="10174"/>
    </bk>
    <bk>
      <rc t="2" v="10175"/>
    </bk>
    <bk>
      <rc t="2" v="10176"/>
    </bk>
    <bk>
      <rc t="2" v="10177"/>
    </bk>
    <bk>
      <rc t="2" v="10178"/>
    </bk>
    <bk>
      <rc t="2" v="10179"/>
    </bk>
    <bk>
      <rc t="2" v="10180"/>
    </bk>
    <bk>
      <rc t="2" v="10181"/>
    </bk>
    <bk>
      <rc t="2" v="10182"/>
    </bk>
    <bk>
      <rc t="2" v="10183"/>
    </bk>
    <bk>
      <rc t="2" v="10184"/>
    </bk>
    <bk>
      <rc t="2" v="10185"/>
    </bk>
    <bk>
      <rc t="2" v="10186"/>
    </bk>
    <bk>
      <rc t="2" v="10187"/>
    </bk>
    <bk>
      <rc t="2" v="10188"/>
    </bk>
    <bk>
      <rc t="2" v="10189"/>
    </bk>
    <bk>
      <rc t="2" v="10190"/>
    </bk>
    <bk>
      <rc t="2" v="10191"/>
    </bk>
    <bk>
      <rc t="2" v="10192"/>
    </bk>
    <bk>
      <rc t="2" v="10193"/>
    </bk>
    <bk>
      <rc t="2" v="10194"/>
    </bk>
    <bk>
      <rc t="2" v="10195"/>
    </bk>
    <bk>
      <rc t="2" v="10196"/>
    </bk>
    <bk>
      <rc t="2" v="10197"/>
    </bk>
    <bk>
      <rc t="2" v="10198"/>
    </bk>
    <bk>
      <rc t="2" v="10199"/>
    </bk>
    <bk>
      <rc t="2" v="10200"/>
    </bk>
    <bk>
      <rc t="2" v="10201"/>
    </bk>
    <bk>
      <rc t="2" v="10202"/>
    </bk>
    <bk>
      <rc t="2" v="10203"/>
    </bk>
    <bk>
      <rc t="2" v="10204"/>
    </bk>
    <bk>
      <rc t="2" v="10205"/>
    </bk>
    <bk>
      <rc t="2" v="10206"/>
    </bk>
    <bk>
      <rc t="2" v="10207"/>
    </bk>
    <bk>
      <rc t="2" v="10208"/>
    </bk>
    <bk>
      <rc t="2" v="10209"/>
    </bk>
    <bk>
      <rc t="2" v="10210"/>
    </bk>
    <bk>
      <rc t="2" v="10211"/>
    </bk>
    <bk>
      <rc t="2" v="10212"/>
    </bk>
    <bk>
      <rc t="2" v="10213"/>
    </bk>
    <bk>
      <rc t="2" v="10214"/>
    </bk>
    <bk>
      <rc t="2" v="10215"/>
    </bk>
    <bk>
      <rc t="2" v="10216"/>
    </bk>
    <bk>
      <rc t="2" v="10217"/>
    </bk>
    <bk>
      <rc t="2" v="10218"/>
    </bk>
    <bk>
      <rc t="2" v="10219"/>
    </bk>
    <bk>
      <rc t="2" v="10220"/>
    </bk>
    <bk>
      <rc t="2" v="10221"/>
    </bk>
    <bk>
      <rc t="2" v="10222"/>
    </bk>
    <bk>
      <rc t="2" v="10223"/>
    </bk>
    <bk>
      <rc t="2" v="10224"/>
    </bk>
    <bk>
      <rc t="2" v="10225"/>
    </bk>
    <bk>
      <rc t="2" v="10226"/>
    </bk>
    <bk>
      <rc t="2" v="10227"/>
    </bk>
    <bk>
      <rc t="2" v="10228"/>
    </bk>
    <bk>
      <rc t="2" v="10229"/>
    </bk>
    <bk>
      <rc t="2" v="10230"/>
    </bk>
    <bk>
      <rc t="2" v="10231"/>
    </bk>
    <bk>
      <rc t="2" v="10232"/>
    </bk>
    <bk>
      <rc t="2" v="10233"/>
    </bk>
    <bk>
      <rc t="2" v="10234"/>
    </bk>
    <bk>
      <rc t="2" v="10235"/>
    </bk>
    <bk>
      <rc t="2" v="10236"/>
    </bk>
    <bk>
      <rc t="2" v="10237"/>
    </bk>
    <bk>
      <rc t="2" v="10238"/>
    </bk>
    <bk>
      <rc t="2" v="10239"/>
    </bk>
    <bk>
      <rc t="2" v="10240"/>
    </bk>
    <bk>
      <rc t="2" v="10241"/>
    </bk>
    <bk>
      <rc t="2" v="10242"/>
    </bk>
    <bk>
      <rc t="2" v="10243"/>
    </bk>
    <bk>
      <rc t="2" v="10244"/>
    </bk>
    <bk>
      <rc t="2" v="10245"/>
    </bk>
    <bk>
      <rc t="2" v="10246"/>
    </bk>
    <bk>
      <rc t="2" v="10247"/>
    </bk>
    <bk>
      <rc t="2" v="10248"/>
    </bk>
    <bk>
      <rc t="2" v="10249"/>
    </bk>
    <bk>
      <rc t="2" v="10250"/>
    </bk>
    <bk>
      <rc t="2" v="10251"/>
    </bk>
    <bk>
      <rc t="2" v="10252"/>
    </bk>
    <bk>
      <rc t="2" v="10253"/>
    </bk>
    <bk>
      <rc t="2" v="10254"/>
    </bk>
    <bk>
      <rc t="2" v="10255"/>
    </bk>
    <bk>
      <rc t="2" v="10256"/>
    </bk>
    <bk>
      <rc t="2" v="10257"/>
    </bk>
    <bk>
      <rc t="2" v="10258"/>
    </bk>
    <bk>
      <rc t="2" v="10259"/>
    </bk>
    <bk>
      <rc t="2" v="10260"/>
    </bk>
    <bk>
      <rc t="2" v="10261"/>
    </bk>
    <bk>
      <rc t="2" v="10262"/>
    </bk>
    <bk>
      <rc t="2" v="10263"/>
    </bk>
    <bk>
      <rc t="2" v="10264"/>
    </bk>
    <bk>
      <rc t="2" v="10265"/>
    </bk>
    <bk>
      <rc t="2" v="10266"/>
    </bk>
    <bk>
      <rc t="2" v="10267"/>
    </bk>
    <bk>
      <rc t="2" v="10268"/>
    </bk>
    <bk>
      <rc t="2" v="10269"/>
    </bk>
    <bk>
      <rc t="2" v="10270"/>
    </bk>
    <bk>
      <rc t="2" v="10271"/>
    </bk>
    <bk>
      <rc t="2" v="10272"/>
    </bk>
    <bk>
      <rc t="2" v="10273"/>
    </bk>
    <bk>
      <rc t="2" v="10274"/>
    </bk>
    <bk>
      <rc t="2" v="10275"/>
    </bk>
    <bk>
      <rc t="2" v="10276"/>
    </bk>
    <bk>
      <rc t="2" v="10277"/>
    </bk>
    <bk>
      <rc t="2" v="10278"/>
    </bk>
    <bk>
      <rc t="2" v="10279"/>
    </bk>
    <bk>
      <rc t="2" v="10280"/>
    </bk>
    <bk>
      <rc t="2" v="10281"/>
    </bk>
    <bk>
      <rc t="2" v="10282"/>
    </bk>
    <bk>
      <rc t="2" v="10283"/>
    </bk>
    <bk>
      <rc t="2" v="10284"/>
    </bk>
    <bk>
      <rc t="2" v="10285"/>
    </bk>
    <bk>
      <rc t="2" v="10286"/>
    </bk>
    <bk>
      <rc t="2" v="10287"/>
    </bk>
    <bk>
      <rc t="2" v="10288"/>
    </bk>
    <bk>
      <rc t="2" v="10289"/>
    </bk>
    <bk>
      <rc t="2" v="10290"/>
    </bk>
    <bk>
      <rc t="2" v="10291"/>
    </bk>
    <bk>
      <rc t="2" v="10292"/>
    </bk>
    <bk>
      <rc t="2" v="10293"/>
    </bk>
    <bk>
      <rc t="2" v="10294"/>
    </bk>
    <bk>
      <rc t="2" v="10295"/>
    </bk>
    <bk>
      <rc t="2" v="10296"/>
    </bk>
    <bk>
      <rc t="2" v="10297"/>
    </bk>
    <bk>
      <rc t="2" v="10298"/>
    </bk>
    <bk>
      <rc t="2" v="10299"/>
    </bk>
    <bk>
      <rc t="2" v="10300"/>
    </bk>
    <bk>
      <rc t="2" v="10301"/>
    </bk>
    <bk>
      <rc t="2" v="10302"/>
    </bk>
    <bk>
      <rc t="2" v="10303"/>
    </bk>
    <bk>
      <rc t="2" v="10304"/>
    </bk>
    <bk>
      <rc t="2" v="10305"/>
    </bk>
    <bk>
      <rc t="2" v="10306"/>
    </bk>
    <bk>
      <rc t="2" v="10307"/>
    </bk>
    <bk>
      <rc t="2" v="10308"/>
    </bk>
    <bk>
      <rc t="2" v="10309"/>
    </bk>
    <bk>
      <rc t="2" v="10310"/>
    </bk>
    <bk>
      <rc t="2" v="10311"/>
    </bk>
    <bk>
      <rc t="2" v="10312"/>
    </bk>
    <bk>
      <rc t="2" v="10313"/>
    </bk>
    <bk>
      <rc t="2" v="10314"/>
    </bk>
    <bk>
      <rc t="2" v="10315"/>
    </bk>
    <bk>
      <rc t="2" v="10316"/>
    </bk>
    <bk>
      <rc t="2" v="10317"/>
    </bk>
    <bk>
      <rc t="2" v="10318"/>
    </bk>
    <bk>
      <rc t="2" v="10319"/>
    </bk>
    <bk>
      <rc t="2" v="10320"/>
    </bk>
    <bk>
      <rc t="2" v="10321"/>
    </bk>
    <bk>
      <rc t="2" v="10322"/>
    </bk>
    <bk>
      <rc t="2" v="10323"/>
    </bk>
    <bk>
      <rc t="2" v="10324"/>
    </bk>
    <bk>
      <rc t="2" v="10325"/>
    </bk>
    <bk>
      <rc t="2" v="10326"/>
    </bk>
    <bk>
      <rc t="2" v="10327"/>
    </bk>
    <bk>
      <rc t="2" v="10328"/>
    </bk>
    <bk>
      <rc t="2" v="10329"/>
    </bk>
    <bk>
      <rc t="2" v="10330"/>
    </bk>
    <bk>
      <rc t="2" v="10331"/>
    </bk>
    <bk>
      <rc t="2" v="10332"/>
    </bk>
    <bk>
      <rc t="2" v="10333"/>
    </bk>
    <bk>
      <rc t="2" v="10334"/>
    </bk>
    <bk>
      <rc t="2" v="10335"/>
    </bk>
    <bk>
      <rc t="2" v="10336"/>
    </bk>
    <bk>
      <rc t="2" v="10337"/>
    </bk>
    <bk>
      <rc t="2" v="10338"/>
    </bk>
    <bk>
      <rc t="2" v="10339"/>
    </bk>
    <bk>
      <rc t="2" v="10340"/>
    </bk>
    <bk>
      <rc t="2" v="10341"/>
    </bk>
    <bk>
      <rc t="2" v="10342"/>
    </bk>
    <bk>
      <rc t="2" v="10343"/>
    </bk>
    <bk>
      <rc t="2" v="10344"/>
    </bk>
    <bk>
      <rc t="2" v="10345"/>
    </bk>
    <bk>
      <rc t="2" v="10346"/>
    </bk>
    <bk>
      <rc t="2" v="10347"/>
    </bk>
    <bk>
      <rc t="2" v="10348"/>
    </bk>
    <bk>
      <rc t="2" v="10349"/>
    </bk>
    <bk>
      <rc t="2" v="10350"/>
    </bk>
    <bk>
      <rc t="2" v="10351"/>
    </bk>
    <bk>
      <rc t="2" v="10352"/>
    </bk>
    <bk>
      <rc t="2" v="10353"/>
    </bk>
    <bk>
      <rc t="2" v="10354"/>
    </bk>
    <bk>
      <rc t="2" v="10355"/>
    </bk>
    <bk>
      <rc t="2" v="10356"/>
    </bk>
    <bk>
      <rc t="2" v="10357"/>
    </bk>
    <bk>
      <rc t="2" v="10358"/>
    </bk>
    <bk>
      <rc t="2" v="10359"/>
    </bk>
    <bk>
      <rc t="2" v="10360"/>
    </bk>
    <bk>
      <rc t="2" v="10361"/>
    </bk>
    <bk>
      <rc t="2" v="10362"/>
    </bk>
    <bk>
      <rc t="2" v="10363"/>
    </bk>
    <bk>
      <rc t="2" v="10364"/>
    </bk>
    <bk>
      <rc t="2" v="10365"/>
    </bk>
    <bk>
      <rc t="2" v="10366"/>
    </bk>
    <bk>
      <rc t="2" v="10367"/>
    </bk>
    <bk>
      <rc t="2" v="10368"/>
    </bk>
    <bk>
      <rc t="2" v="10369"/>
    </bk>
    <bk>
      <rc t="2" v="10370"/>
    </bk>
    <bk>
      <rc t="2" v="10371"/>
    </bk>
    <bk>
      <rc t="2" v="10372"/>
    </bk>
    <bk>
      <rc t="2" v="10373"/>
    </bk>
    <bk>
      <rc t="2" v="10374"/>
    </bk>
    <bk>
      <rc t="2" v="10375"/>
    </bk>
    <bk>
      <rc t="2" v="10376"/>
    </bk>
    <bk>
      <rc t="2" v="10377"/>
    </bk>
    <bk>
      <rc t="2" v="10378"/>
    </bk>
    <bk>
      <rc t="2" v="10379"/>
    </bk>
    <bk>
      <rc t="2" v="10380"/>
    </bk>
    <bk>
      <rc t="2" v="10381"/>
    </bk>
    <bk>
      <rc t="2" v="10382"/>
    </bk>
    <bk>
      <rc t="2" v="10383"/>
    </bk>
    <bk>
      <rc t="2" v="10384"/>
    </bk>
    <bk>
      <rc t="2" v="10385"/>
    </bk>
    <bk>
      <rc t="2" v="10386"/>
    </bk>
    <bk>
      <rc t="2" v="10387"/>
    </bk>
    <bk>
      <rc t="2" v="10388"/>
    </bk>
    <bk>
      <rc t="2" v="10389"/>
    </bk>
    <bk>
      <rc t="2" v="10390"/>
    </bk>
    <bk>
      <rc t="2" v="10391"/>
    </bk>
    <bk>
      <rc t="2" v="10392"/>
    </bk>
    <bk>
      <rc t="2" v="10393"/>
    </bk>
    <bk>
      <rc t="2" v="10394"/>
    </bk>
    <bk>
      <rc t="2" v="10395"/>
    </bk>
    <bk>
      <rc t="2" v="10396"/>
    </bk>
    <bk>
      <rc t="2" v="10397"/>
    </bk>
    <bk>
      <rc t="2" v="10398"/>
    </bk>
    <bk>
      <rc t="2" v="10399"/>
    </bk>
    <bk>
      <rc t="2" v="10400"/>
    </bk>
    <bk>
      <rc t="2" v="10401"/>
    </bk>
    <bk>
      <rc t="2" v="10402"/>
    </bk>
    <bk>
      <rc t="2" v="10403"/>
    </bk>
    <bk>
      <rc t="2" v="10404"/>
    </bk>
    <bk>
      <rc t="2" v="10405"/>
    </bk>
    <bk>
      <rc t="2" v="10406"/>
    </bk>
    <bk>
      <rc t="2" v="10407"/>
    </bk>
    <bk>
      <rc t="2" v="10408"/>
    </bk>
    <bk>
      <rc t="2" v="10409"/>
    </bk>
    <bk>
      <rc t="2" v="10410"/>
    </bk>
    <bk>
      <rc t="2" v="10411"/>
    </bk>
    <bk>
      <rc t="2" v="10412"/>
    </bk>
    <bk>
      <rc t="2" v="10413"/>
    </bk>
    <bk>
      <rc t="2" v="10414"/>
    </bk>
    <bk>
      <rc t="2" v="10415"/>
    </bk>
    <bk>
      <rc t="2" v="10416"/>
    </bk>
    <bk>
      <rc t="2" v="10417"/>
    </bk>
    <bk>
      <rc t="2" v="10418"/>
    </bk>
    <bk>
      <rc t="2" v="10419"/>
    </bk>
    <bk>
      <rc t="2" v="10420"/>
    </bk>
    <bk>
      <rc t="2" v="10421"/>
    </bk>
    <bk>
      <rc t="2" v="10422"/>
    </bk>
    <bk>
      <rc t="2" v="10423"/>
    </bk>
    <bk>
      <rc t="2" v="10424"/>
    </bk>
    <bk>
      <rc t="2" v="10425"/>
    </bk>
    <bk>
      <rc t="2" v="10426"/>
    </bk>
    <bk>
      <rc t="2" v="10427"/>
    </bk>
    <bk>
      <rc t="2" v="10428"/>
    </bk>
    <bk>
      <rc t="2" v="10429"/>
    </bk>
    <bk>
      <rc t="2" v="10430"/>
    </bk>
    <bk>
      <rc t="2" v="10431"/>
    </bk>
    <bk>
      <rc t="2" v="10432"/>
    </bk>
    <bk>
      <rc t="2" v="10433"/>
    </bk>
    <bk>
      <rc t="2" v="10434"/>
    </bk>
    <bk>
      <rc t="2" v="10435"/>
    </bk>
    <bk>
      <rc t="2" v="10436"/>
    </bk>
    <bk>
      <rc t="2" v="10437"/>
    </bk>
    <bk>
      <rc t="2" v="10438"/>
    </bk>
    <bk>
      <rc t="2" v="10439"/>
    </bk>
    <bk>
      <rc t="2" v="10440"/>
    </bk>
    <bk>
      <rc t="2" v="10441"/>
    </bk>
    <bk>
      <rc t="2" v="10442"/>
    </bk>
    <bk>
      <rc t="2" v="10443"/>
    </bk>
    <bk>
      <rc t="2" v="10444"/>
    </bk>
    <bk>
      <rc t="2" v="10445"/>
    </bk>
    <bk>
      <rc t="2" v="10446"/>
    </bk>
    <bk>
      <rc t="2" v="10447"/>
    </bk>
    <bk>
      <rc t="2" v="10448"/>
    </bk>
    <bk>
      <rc t="2" v="10449"/>
    </bk>
    <bk>
      <rc t="2" v="10450"/>
    </bk>
    <bk>
      <rc t="2" v="10451"/>
    </bk>
    <bk>
      <rc t="2" v="10452"/>
    </bk>
    <bk>
      <rc t="2" v="10453"/>
    </bk>
    <bk>
      <rc t="2" v="10454"/>
    </bk>
    <bk>
      <rc t="2" v="10455"/>
    </bk>
    <bk>
      <rc t="2" v="10456"/>
    </bk>
    <bk>
      <rc t="2" v="10457"/>
    </bk>
    <bk>
      <rc t="2" v="10458"/>
    </bk>
    <bk>
      <rc t="2" v="10459"/>
    </bk>
    <bk>
      <rc t="2" v="10460"/>
    </bk>
    <bk>
      <rc t="2" v="10461"/>
    </bk>
    <bk>
      <rc t="2" v="10462"/>
    </bk>
    <bk>
      <rc t="2" v="10463"/>
    </bk>
    <bk>
      <rc t="2" v="10464"/>
    </bk>
    <bk>
      <rc t="2" v="10465"/>
    </bk>
    <bk>
      <rc t="2" v="10466"/>
    </bk>
    <bk>
      <rc t="2" v="10467"/>
    </bk>
    <bk>
      <rc t="2" v="10468"/>
    </bk>
    <bk>
      <rc t="2" v="10469"/>
    </bk>
    <bk>
      <rc t="2" v="10470"/>
    </bk>
    <bk>
      <rc t="2" v="10471"/>
    </bk>
    <bk>
      <rc t="2" v="10472"/>
    </bk>
    <bk>
      <rc t="2" v="10473"/>
    </bk>
    <bk>
      <rc t="2" v="10474"/>
    </bk>
    <bk>
      <rc t="2" v="10475"/>
    </bk>
    <bk>
      <rc t="2" v="10476"/>
    </bk>
    <bk>
      <rc t="2" v="10477"/>
    </bk>
    <bk>
      <rc t="2" v="10478"/>
    </bk>
    <bk>
      <rc t="2" v="10479"/>
    </bk>
    <bk>
      <rc t="2" v="10480"/>
    </bk>
    <bk>
      <rc t="2" v="10481"/>
    </bk>
    <bk>
      <rc t="2" v="10482"/>
    </bk>
    <bk>
      <rc t="2" v="10483"/>
    </bk>
    <bk>
      <rc t="2" v="10484"/>
    </bk>
    <bk>
      <rc t="2" v="10485"/>
    </bk>
    <bk>
      <rc t="2" v="10486"/>
    </bk>
    <bk>
      <rc t="2" v="10487"/>
    </bk>
    <bk>
      <rc t="2" v="10488"/>
    </bk>
    <bk>
      <rc t="2" v="10489"/>
    </bk>
    <bk>
      <rc t="2" v="10490"/>
    </bk>
    <bk>
      <rc t="2" v="10491"/>
    </bk>
    <bk>
      <rc t="2" v="10492"/>
    </bk>
    <bk>
      <rc t="2" v="10493"/>
    </bk>
    <bk>
      <rc t="2" v="10494"/>
    </bk>
    <bk>
      <rc t="2" v="10495"/>
    </bk>
    <bk>
      <rc t="2" v="10496"/>
    </bk>
    <bk>
      <rc t="2" v="10497"/>
    </bk>
    <bk>
      <rc t="2" v="10498"/>
    </bk>
    <bk>
      <rc t="2" v="10499"/>
    </bk>
    <bk>
      <rc t="2" v="10500"/>
    </bk>
    <bk>
      <rc t="2" v="10501"/>
    </bk>
    <bk>
      <rc t="2" v="10502"/>
    </bk>
    <bk>
      <rc t="2" v="10503"/>
    </bk>
    <bk>
      <rc t="2" v="10504"/>
    </bk>
    <bk>
      <rc t="2" v="10505"/>
    </bk>
    <bk>
      <rc t="2" v="10506"/>
    </bk>
    <bk>
      <rc t="2" v="10507"/>
    </bk>
    <bk>
      <rc t="2" v="10508"/>
    </bk>
    <bk>
      <rc t="2" v="10509"/>
    </bk>
    <bk>
      <rc t="2" v="10510"/>
    </bk>
    <bk>
      <rc t="2" v="10511"/>
    </bk>
    <bk>
      <rc t="2" v="10512"/>
    </bk>
    <bk>
      <rc t="2" v="10513"/>
    </bk>
    <bk>
      <rc t="2" v="10514"/>
    </bk>
    <bk>
      <rc t="2" v="10515"/>
    </bk>
    <bk>
      <rc t="2" v="10516"/>
    </bk>
    <bk>
      <rc t="2" v="10517"/>
    </bk>
    <bk>
      <rc t="2" v="10518"/>
    </bk>
    <bk>
      <rc t="2" v="10519"/>
    </bk>
    <bk>
      <rc t="2" v="10520"/>
    </bk>
    <bk>
      <rc t="2" v="10521"/>
    </bk>
    <bk>
      <rc t="2" v="10522"/>
    </bk>
    <bk>
      <rc t="2" v="10523"/>
    </bk>
    <bk>
      <rc t="2" v="10524"/>
    </bk>
    <bk>
      <rc t="2" v="10525"/>
    </bk>
    <bk>
      <rc t="2" v="10526"/>
    </bk>
    <bk>
      <rc t="2" v="10527"/>
    </bk>
    <bk>
      <rc t="2" v="10528"/>
    </bk>
    <bk>
      <rc t="2" v="10529"/>
    </bk>
    <bk>
      <rc t="2" v="10530"/>
    </bk>
    <bk>
      <rc t="2" v="10531"/>
    </bk>
    <bk>
      <rc t="2" v="10532"/>
    </bk>
    <bk>
      <rc t="2" v="10533"/>
    </bk>
    <bk>
      <rc t="2" v="10534"/>
    </bk>
    <bk>
      <rc t="2" v="10535"/>
    </bk>
    <bk>
      <rc t="2" v="10536"/>
    </bk>
    <bk>
      <rc t="2" v="10537"/>
    </bk>
    <bk>
      <rc t="2" v="10538"/>
    </bk>
    <bk>
      <rc t="2" v="10539"/>
    </bk>
    <bk>
      <rc t="2" v="10540"/>
    </bk>
    <bk>
      <rc t="2" v="10541"/>
    </bk>
    <bk>
      <rc t="2" v="10542"/>
    </bk>
    <bk>
      <rc t="2" v="10543"/>
    </bk>
    <bk>
      <rc t="2" v="10544"/>
    </bk>
    <bk>
      <rc t="2" v="10545"/>
    </bk>
    <bk>
      <rc t="2" v="10546"/>
    </bk>
    <bk>
      <rc t="2" v="10547"/>
    </bk>
    <bk>
      <rc t="2" v="10548"/>
    </bk>
    <bk>
      <rc t="2" v="10549"/>
    </bk>
    <bk>
      <rc t="2" v="10550"/>
    </bk>
    <bk>
      <rc t="2" v="10551"/>
    </bk>
    <bk>
      <rc t="2" v="10552"/>
    </bk>
    <bk>
      <rc t="2" v="10553"/>
    </bk>
    <bk>
      <rc t="2" v="10554"/>
    </bk>
    <bk>
      <rc t="2" v="10555"/>
    </bk>
    <bk>
      <rc t="2" v="10556"/>
    </bk>
    <bk>
      <rc t="2" v="10557"/>
    </bk>
    <bk>
      <rc t="2" v="10558"/>
    </bk>
    <bk>
      <rc t="2" v="10559"/>
    </bk>
    <bk>
      <rc t="2" v="10560"/>
    </bk>
    <bk>
      <rc t="2" v="10561"/>
    </bk>
    <bk>
      <rc t="2" v="10562"/>
    </bk>
    <bk>
      <rc t="2" v="10563"/>
    </bk>
    <bk>
      <rc t="2" v="10564"/>
    </bk>
    <bk>
      <rc t="2" v="10565"/>
    </bk>
    <bk>
      <rc t="2" v="10566"/>
    </bk>
    <bk>
      <rc t="2" v="10567"/>
    </bk>
    <bk>
      <rc t="2" v="10568"/>
    </bk>
    <bk>
      <rc t="2" v="10569"/>
    </bk>
    <bk>
      <rc t="2" v="10570"/>
    </bk>
    <bk>
      <rc t="2" v="10571"/>
    </bk>
    <bk>
      <rc t="2" v="10572"/>
    </bk>
    <bk>
      <rc t="2" v="10573"/>
    </bk>
    <bk>
      <rc t="2" v="10574"/>
    </bk>
    <bk>
      <rc t="2" v="10575"/>
    </bk>
    <bk>
      <rc t="2" v="10576"/>
    </bk>
    <bk>
      <rc t="2" v="10577"/>
    </bk>
    <bk>
      <rc t="2" v="10578"/>
    </bk>
    <bk>
      <rc t="2" v="10579"/>
    </bk>
    <bk>
      <rc t="2" v="10580"/>
    </bk>
    <bk>
      <rc t="2" v="10581"/>
    </bk>
    <bk>
      <rc t="2" v="10582"/>
    </bk>
    <bk>
      <rc t="2" v="10583"/>
    </bk>
    <bk>
      <rc t="2" v="10584"/>
    </bk>
    <bk>
      <rc t="2" v="10585"/>
    </bk>
    <bk>
      <rc t="2" v="10586"/>
    </bk>
    <bk>
      <rc t="2" v="10587"/>
    </bk>
    <bk>
      <rc t="2" v="10588"/>
    </bk>
    <bk>
      <rc t="2" v="10589"/>
    </bk>
    <bk>
      <rc t="2" v="10590"/>
    </bk>
    <bk>
      <rc t="2" v="10591"/>
    </bk>
    <bk>
      <rc t="2" v="10592"/>
    </bk>
    <bk>
      <rc t="2" v="10593"/>
    </bk>
    <bk>
      <rc t="2" v="10594"/>
    </bk>
    <bk>
      <rc t="2" v="10595"/>
    </bk>
    <bk>
      <rc t="2" v="10596"/>
    </bk>
    <bk>
      <rc t="2" v="10597"/>
    </bk>
    <bk>
      <rc t="2" v="10598"/>
    </bk>
    <bk>
      <rc t="2" v="10599"/>
    </bk>
    <bk>
      <rc t="2" v="10600"/>
    </bk>
    <bk>
      <rc t="2" v="10601"/>
    </bk>
    <bk>
      <rc t="2" v="10602"/>
    </bk>
    <bk>
      <rc t="2" v="10603"/>
    </bk>
    <bk>
      <rc t="2" v="10604"/>
    </bk>
    <bk>
      <rc t="2" v="10605"/>
    </bk>
    <bk>
      <rc t="2" v="10606"/>
    </bk>
    <bk>
      <rc t="2" v="10607"/>
    </bk>
    <bk>
      <rc t="2" v="10608"/>
    </bk>
    <bk>
      <rc t="2" v="10609"/>
    </bk>
    <bk>
      <rc t="2" v="10610"/>
    </bk>
    <bk>
      <rc t="2" v="10611"/>
    </bk>
    <bk>
      <rc t="2" v="10612"/>
    </bk>
    <bk>
      <rc t="2" v="10613"/>
    </bk>
    <bk>
      <rc t="2" v="10614"/>
    </bk>
    <bk>
      <rc t="2" v="10615"/>
    </bk>
    <bk>
      <rc t="2" v="10616"/>
    </bk>
    <bk>
      <rc t="2" v="10617"/>
    </bk>
    <bk>
      <rc t="2" v="10618"/>
    </bk>
    <bk>
      <rc t="2" v="10619"/>
    </bk>
    <bk>
      <rc t="2" v="10620"/>
    </bk>
    <bk>
      <rc t="2" v="10621"/>
    </bk>
    <bk>
      <rc t="2" v="10622"/>
    </bk>
    <bk>
      <rc t="2" v="10623"/>
    </bk>
    <bk>
      <rc t="2" v="10624"/>
    </bk>
    <bk>
      <rc t="2" v="10625"/>
    </bk>
    <bk>
      <rc t="2" v="10626"/>
    </bk>
    <bk>
      <rc t="2" v="10627"/>
    </bk>
    <bk>
      <rc t="2" v="10628"/>
    </bk>
    <bk>
      <rc t="2" v="10629"/>
    </bk>
    <bk>
      <rc t="2" v="10630"/>
    </bk>
    <bk>
      <rc t="2" v="10631"/>
    </bk>
    <bk>
      <rc t="2" v="10632"/>
    </bk>
    <bk>
      <rc t="2" v="10633"/>
    </bk>
    <bk>
      <rc t="2" v="10634"/>
    </bk>
    <bk>
      <rc t="2" v="10635"/>
    </bk>
    <bk>
      <rc t="2" v="10636"/>
    </bk>
    <bk>
      <rc t="2" v="10637"/>
    </bk>
    <bk>
      <rc t="2" v="10638"/>
    </bk>
    <bk>
      <rc t="2" v="10639"/>
    </bk>
    <bk>
      <rc t="2" v="10640"/>
    </bk>
    <bk>
      <rc t="2" v="10641"/>
    </bk>
    <bk>
      <rc t="2" v="10642"/>
    </bk>
    <bk>
      <rc t="2" v="10643"/>
    </bk>
    <bk>
      <rc t="2" v="10644"/>
    </bk>
    <bk>
      <rc t="2" v="10645"/>
    </bk>
    <bk>
      <rc t="2" v="10646"/>
    </bk>
    <bk>
      <rc t="2" v="10647"/>
    </bk>
    <bk>
      <rc t="2" v="10648"/>
    </bk>
    <bk>
      <rc t="2" v="10649"/>
    </bk>
    <bk>
      <rc t="2" v="10650"/>
    </bk>
    <bk>
      <rc t="2" v="10651"/>
    </bk>
    <bk>
      <rc t="2" v="10652"/>
    </bk>
    <bk>
      <rc t="2" v="10653"/>
    </bk>
    <bk>
      <rc t="2" v="10654"/>
    </bk>
    <bk>
      <rc t="2" v="10655"/>
    </bk>
    <bk>
      <rc t="2" v="10656"/>
    </bk>
    <bk>
      <rc t="2" v="10657"/>
    </bk>
    <bk>
      <rc t="2" v="10658"/>
    </bk>
    <bk>
      <rc t="2" v="10659"/>
    </bk>
    <bk>
      <rc t="2" v="10660"/>
    </bk>
    <bk>
      <rc t="2" v="10661"/>
    </bk>
    <bk>
      <rc t="2" v="10662"/>
    </bk>
    <bk>
      <rc t="2" v="10663"/>
    </bk>
    <bk>
      <rc t="2" v="10664"/>
    </bk>
    <bk>
      <rc t="2" v="10665"/>
    </bk>
    <bk>
      <rc t="2" v="10666"/>
    </bk>
    <bk>
      <rc t="2" v="10667"/>
    </bk>
    <bk>
      <rc t="2" v="10668"/>
    </bk>
    <bk>
      <rc t="2" v="10669"/>
    </bk>
    <bk>
      <rc t="2" v="10670"/>
    </bk>
    <bk>
      <rc t="2" v="10671"/>
    </bk>
    <bk>
      <rc t="2" v="10672"/>
    </bk>
    <bk>
      <rc t="2" v="10673"/>
    </bk>
    <bk>
      <rc t="2" v="10674"/>
    </bk>
    <bk>
      <rc t="2" v="10675"/>
    </bk>
    <bk>
      <rc t="2" v="10676"/>
    </bk>
    <bk>
      <rc t="2" v="10677"/>
    </bk>
    <bk>
      <rc t="2" v="10678"/>
    </bk>
    <bk>
      <rc t="2" v="10679"/>
    </bk>
    <bk>
      <rc t="2" v="10680"/>
    </bk>
    <bk>
      <rc t="2" v="10681"/>
    </bk>
    <bk>
      <rc t="2" v="10682"/>
    </bk>
    <bk>
      <rc t="2" v="10683"/>
    </bk>
    <bk>
      <rc t="2" v="10684"/>
    </bk>
    <bk>
      <rc t="2" v="10685"/>
    </bk>
    <bk>
      <rc t="2" v="10686"/>
    </bk>
    <bk>
      <rc t="2" v="10687"/>
    </bk>
    <bk>
      <rc t="2" v="10688"/>
    </bk>
    <bk>
      <rc t="2" v="10689"/>
    </bk>
    <bk>
      <rc t="2" v="10690"/>
    </bk>
    <bk>
      <rc t="2" v="10691"/>
    </bk>
    <bk>
      <rc t="2" v="10692"/>
    </bk>
    <bk>
      <rc t="2" v="10693"/>
    </bk>
    <bk>
      <rc t="2" v="10694"/>
    </bk>
    <bk>
      <rc t="2" v="10695"/>
    </bk>
    <bk>
      <rc t="2" v="10696"/>
    </bk>
    <bk>
      <rc t="2" v="10697"/>
    </bk>
    <bk>
      <rc t="2" v="10698"/>
    </bk>
    <bk>
      <rc t="2" v="10699"/>
    </bk>
    <bk>
      <rc t="2" v="10700"/>
    </bk>
    <bk>
      <rc t="2" v="10701"/>
    </bk>
    <bk>
      <rc t="2" v="10702"/>
    </bk>
    <bk>
      <rc t="2" v="10703"/>
    </bk>
    <bk>
      <rc t="2" v="10704"/>
    </bk>
    <bk>
      <rc t="2" v="10705"/>
    </bk>
    <bk>
      <rc t="2" v="10706"/>
    </bk>
    <bk>
      <rc t="2" v="10707"/>
    </bk>
    <bk>
      <rc t="2" v="10708"/>
    </bk>
    <bk>
      <rc t="2" v="10709"/>
    </bk>
    <bk>
      <rc t="2" v="10710"/>
    </bk>
    <bk>
      <rc t="2" v="10711"/>
    </bk>
    <bk>
      <rc t="2" v="10712"/>
    </bk>
    <bk>
      <rc t="2" v="10713"/>
    </bk>
    <bk>
      <rc t="2" v="10714"/>
    </bk>
    <bk>
      <rc t="2" v="10715"/>
    </bk>
    <bk>
      <rc t="2" v="10716"/>
    </bk>
    <bk>
      <rc t="2" v="10717"/>
    </bk>
    <bk>
      <rc t="2" v="10718"/>
    </bk>
    <bk>
      <rc t="2" v="10719"/>
    </bk>
    <bk>
      <rc t="2" v="10720"/>
    </bk>
    <bk>
      <rc t="2" v="10721"/>
    </bk>
    <bk>
      <rc t="2" v="10722"/>
    </bk>
    <bk>
      <rc t="2" v="10723"/>
    </bk>
    <bk>
      <rc t="2" v="10724"/>
    </bk>
    <bk>
      <rc t="2" v="10725"/>
    </bk>
    <bk>
      <rc t="2" v="10726"/>
    </bk>
    <bk>
      <rc t="2" v="10727"/>
    </bk>
    <bk>
      <rc t="2" v="10728"/>
    </bk>
    <bk>
      <rc t="2" v="10729"/>
    </bk>
    <bk>
      <rc t="2" v="10730"/>
    </bk>
    <bk>
      <rc t="2" v="10731"/>
    </bk>
    <bk>
      <rc t="2" v="10732"/>
    </bk>
    <bk>
      <rc t="2" v="10733"/>
    </bk>
    <bk>
      <rc t="2" v="10734"/>
    </bk>
    <bk>
      <rc t="2" v="10735"/>
    </bk>
    <bk>
      <rc t="2" v="10736"/>
    </bk>
    <bk>
      <rc t="2" v="10737"/>
    </bk>
    <bk>
      <rc t="2" v="10738"/>
    </bk>
    <bk>
      <rc t="2" v="10739"/>
    </bk>
    <bk>
      <rc t="2" v="10740"/>
    </bk>
    <bk>
      <rc t="2" v="10741"/>
    </bk>
    <bk>
      <rc t="2" v="10742"/>
    </bk>
    <bk>
      <rc t="2" v="10743"/>
    </bk>
    <bk>
      <rc t="2" v="10744"/>
    </bk>
    <bk>
      <rc t="2" v="10745"/>
    </bk>
    <bk>
      <rc t="2" v="10746"/>
    </bk>
    <bk>
      <rc t="2" v="10747"/>
    </bk>
    <bk>
      <rc t="2" v="10748"/>
    </bk>
    <bk>
      <rc t="2" v="10749"/>
    </bk>
    <bk>
      <rc t="2" v="10750"/>
    </bk>
    <bk>
      <rc t="2" v="10751"/>
    </bk>
    <bk>
      <rc t="2" v="10752"/>
    </bk>
    <bk>
      <rc t="2" v="10753"/>
    </bk>
    <bk>
      <rc t="2" v="10754"/>
    </bk>
    <bk>
      <rc t="2" v="10755"/>
    </bk>
    <bk>
      <rc t="2" v="10756"/>
    </bk>
    <bk>
      <rc t="2" v="10757"/>
    </bk>
    <bk>
      <rc t="2" v="10758"/>
    </bk>
    <bk>
      <rc t="2" v="10759"/>
    </bk>
    <bk>
      <rc t="2" v="10760"/>
    </bk>
    <bk>
      <rc t="2" v="10761"/>
    </bk>
    <bk>
      <rc t="2" v="10762"/>
    </bk>
    <bk>
      <rc t="2" v="10763"/>
    </bk>
    <bk>
      <rc t="2" v="10764"/>
    </bk>
    <bk>
      <rc t="2" v="10765"/>
    </bk>
    <bk>
      <rc t="2" v="10766"/>
    </bk>
    <bk>
      <rc t="2" v="10767"/>
    </bk>
    <bk>
      <rc t="2" v="10768"/>
    </bk>
    <bk>
      <rc t="2" v="10769"/>
    </bk>
    <bk>
      <rc t="2" v="10770"/>
    </bk>
    <bk>
      <rc t="2" v="10771"/>
    </bk>
    <bk>
      <rc t="2" v="10772"/>
    </bk>
    <bk>
      <rc t="2" v="10773"/>
    </bk>
    <bk>
      <rc t="2" v="10774"/>
    </bk>
    <bk>
      <rc t="2" v="10775"/>
    </bk>
    <bk>
      <rc t="2" v="10776"/>
    </bk>
    <bk>
      <rc t="2" v="10777"/>
    </bk>
    <bk>
      <rc t="2" v="10778"/>
    </bk>
    <bk>
      <rc t="2" v="10779"/>
    </bk>
    <bk>
      <rc t="2" v="10780"/>
    </bk>
    <bk>
      <rc t="2" v="10781"/>
    </bk>
    <bk>
      <rc t="2" v="10782"/>
    </bk>
    <bk>
      <rc t="2" v="10783"/>
    </bk>
    <bk>
      <rc t="2" v="10784"/>
    </bk>
    <bk>
      <rc t="2" v="10785"/>
    </bk>
    <bk>
      <rc t="2" v="10786"/>
    </bk>
    <bk>
      <rc t="2" v="10787"/>
    </bk>
    <bk>
      <rc t="2" v="10788"/>
    </bk>
    <bk>
      <rc t="2" v="10789"/>
    </bk>
    <bk>
      <rc t="2" v="10790"/>
    </bk>
    <bk>
      <rc t="2" v="10791"/>
    </bk>
    <bk>
      <rc t="2" v="10792"/>
    </bk>
    <bk>
      <rc t="2" v="10793"/>
    </bk>
    <bk>
      <rc t="2" v="10794"/>
    </bk>
    <bk>
      <rc t="2" v="10795"/>
    </bk>
    <bk>
      <rc t="2" v="10796"/>
    </bk>
    <bk>
      <rc t="2" v="10797"/>
    </bk>
    <bk>
      <rc t="2" v="10798"/>
    </bk>
    <bk>
      <rc t="2" v="10799"/>
    </bk>
    <bk>
      <rc t="2" v="10800"/>
    </bk>
    <bk>
      <rc t="2" v="10801"/>
    </bk>
    <bk>
      <rc t="2" v="10802"/>
    </bk>
    <bk>
      <rc t="2" v="10803"/>
    </bk>
    <bk>
      <rc t="2" v="10804"/>
    </bk>
    <bk>
      <rc t="2" v="10805"/>
    </bk>
    <bk>
      <rc t="2" v="10806"/>
    </bk>
    <bk>
      <rc t="2" v="10807"/>
    </bk>
    <bk>
      <rc t="2" v="10808"/>
    </bk>
    <bk>
      <rc t="2" v="10809"/>
    </bk>
    <bk>
      <rc t="2" v="10810"/>
    </bk>
    <bk>
      <rc t="2" v="10811"/>
    </bk>
    <bk>
      <rc t="2" v="10812"/>
    </bk>
    <bk>
      <rc t="2" v="10813"/>
    </bk>
    <bk>
      <rc t="2" v="10814"/>
    </bk>
    <bk>
      <rc t="2" v="10815"/>
    </bk>
    <bk>
      <rc t="2" v="10816"/>
    </bk>
    <bk>
      <rc t="2" v="10817"/>
    </bk>
    <bk>
      <rc t="2" v="10818"/>
    </bk>
    <bk>
      <rc t="2" v="10819"/>
    </bk>
    <bk>
      <rc t="2" v="10820"/>
    </bk>
    <bk>
      <rc t="2" v="10821"/>
    </bk>
    <bk>
      <rc t="2" v="10822"/>
    </bk>
    <bk>
      <rc t="2" v="10823"/>
    </bk>
    <bk>
      <rc t="2" v="10824"/>
    </bk>
    <bk>
      <rc t="2" v="10825"/>
    </bk>
    <bk>
      <rc t="2" v="10826"/>
    </bk>
    <bk>
      <rc t="2" v="10827"/>
    </bk>
    <bk>
      <rc t="2" v="10828"/>
    </bk>
    <bk>
      <rc t="2" v="10829"/>
    </bk>
    <bk>
      <rc t="2" v="10830"/>
    </bk>
    <bk>
      <rc t="2" v="10831"/>
    </bk>
    <bk>
      <rc t="2" v="10832"/>
    </bk>
    <bk>
      <rc t="2" v="10833"/>
    </bk>
    <bk>
      <rc t="2" v="10834"/>
    </bk>
    <bk>
      <rc t="2" v="10835"/>
    </bk>
    <bk>
      <rc t="2" v="10836"/>
    </bk>
    <bk>
      <rc t="2" v="10837"/>
    </bk>
    <bk>
      <rc t="2" v="10838"/>
    </bk>
    <bk>
      <rc t="2" v="10839"/>
    </bk>
    <bk>
      <rc t="2" v="10840"/>
    </bk>
    <bk>
      <rc t="2" v="10841"/>
    </bk>
    <bk>
      <rc t="2" v="10842"/>
    </bk>
    <bk>
      <rc t="2" v="10843"/>
    </bk>
    <bk>
      <rc t="2" v="10844"/>
    </bk>
    <bk>
      <rc t="2" v="10845"/>
    </bk>
    <bk>
      <rc t="2" v="10846"/>
    </bk>
    <bk>
      <rc t="2" v="10847"/>
    </bk>
    <bk>
      <rc t="2" v="10848"/>
    </bk>
    <bk>
      <rc t="2" v="10849"/>
    </bk>
    <bk>
      <rc t="2" v="10850"/>
    </bk>
    <bk>
      <rc t="2" v="10851"/>
    </bk>
    <bk>
      <rc t="2" v="10852"/>
    </bk>
    <bk>
      <rc t="2" v="10853"/>
    </bk>
    <bk>
      <rc t="2" v="10854"/>
    </bk>
    <bk>
      <rc t="2" v="10855"/>
    </bk>
    <bk>
      <rc t="2" v="10856"/>
    </bk>
    <bk>
      <rc t="2" v="10857"/>
    </bk>
    <bk>
      <rc t="2" v="10858"/>
    </bk>
    <bk>
      <rc t="2" v="10859"/>
    </bk>
    <bk>
      <rc t="2" v="10860"/>
    </bk>
    <bk>
      <rc t="2" v="10861"/>
    </bk>
    <bk>
      <rc t="2" v="10862"/>
    </bk>
    <bk>
      <rc t="2" v="10863"/>
    </bk>
    <bk>
      <rc t="2" v="10864"/>
    </bk>
    <bk>
      <rc t="2" v="10865"/>
    </bk>
    <bk>
      <rc t="2" v="10866"/>
    </bk>
    <bk>
      <rc t="2" v="10867"/>
    </bk>
    <bk>
      <rc t="2" v="10868"/>
    </bk>
    <bk>
      <rc t="2" v="10869"/>
    </bk>
    <bk>
      <rc t="2" v="10870"/>
    </bk>
    <bk>
      <rc t="2" v="10871"/>
    </bk>
    <bk>
      <rc t="2" v="10872"/>
    </bk>
    <bk>
      <rc t="2" v="10873"/>
    </bk>
    <bk>
      <rc t="2" v="10874"/>
    </bk>
    <bk>
      <rc t="2" v="10875"/>
    </bk>
    <bk>
      <rc t="2" v="10876"/>
    </bk>
    <bk>
      <rc t="2" v="10877"/>
    </bk>
    <bk>
      <rc t="2" v="10878"/>
    </bk>
    <bk>
      <rc t="2" v="10879"/>
    </bk>
    <bk>
      <rc t="2" v="10880"/>
    </bk>
    <bk>
      <rc t="2" v="10881"/>
    </bk>
    <bk>
      <rc t="2" v="10882"/>
    </bk>
    <bk>
      <rc t="2" v="10883"/>
    </bk>
    <bk>
      <rc t="2" v="10884"/>
    </bk>
    <bk>
      <rc t="2" v="10885"/>
    </bk>
    <bk>
      <rc t="2" v="10886"/>
    </bk>
    <bk>
      <rc t="2" v="10887"/>
    </bk>
    <bk>
      <rc t="2" v="10888"/>
    </bk>
    <bk>
      <rc t="2" v="10889"/>
    </bk>
    <bk>
      <rc t="2" v="10890"/>
    </bk>
    <bk>
      <rc t="2" v="10891"/>
    </bk>
    <bk>
      <rc t="2" v="10892"/>
    </bk>
    <bk>
      <rc t="2" v="10893"/>
    </bk>
    <bk>
      <rc t="2" v="10894"/>
    </bk>
    <bk>
      <rc t="2" v="10895"/>
    </bk>
    <bk>
      <rc t="2" v="10896"/>
    </bk>
    <bk>
      <rc t="2" v="10897"/>
    </bk>
    <bk>
      <rc t="2" v="10898"/>
    </bk>
    <bk>
      <rc t="2" v="10899"/>
    </bk>
    <bk>
      <rc t="2" v="10900"/>
    </bk>
    <bk>
      <rc t="2" v="10901"/>
    </bk>
    <bk>
      <rc t="2" v="10902"/>
    </bk>
    <bk>
      <rc t="2" v="10903"/>
    </bk>
    <bk>
      <rc t="2" v="10904"/>
    </bk>
    <bk>
      <rc t="2" v="10905"/>
    </bk>
    <bk>
      <rc t="2" v="10906"/>
    </bk>
    <bk>
      <rc t="2" v="10907"/>
    </bk>
    <bk>
      <rc t="2" v="10908"/>
    </bk>
    <bk>
      <rc t="2" v="10909"/>
    </bk>
    <bk>
      <rc t="2" v="10910"/>
    </bk>
    <bk>
      <rc t="2" v="10911"/>
    </bk>
    <bk>
      <rc t="2" v="10912"/>
    </bk>
    <bk>
      <rc t="2" v="10913"/>
    </bk>
    <bk>
      <rc t="2" v="10914"/>
    </bk>
    <bk>
      <rc t="2" v="10915"/>
    </bk>
    <bk>
      <rc t="2" v="10916"/>
    </bk>
    <bk>
      <rc t="2" v="10917"/>
    </bk>
    <bk>
      <rc t="2" v="10918"/>
    </bk>
    <bk>
      <rc t="2" v="10919"/>
    </bk>
    <bk>
      <rc t="2" v="10920"/>
    </bk>
    <bk>
      <rc t="2" v="10921"/>
    </bk>
    <bk>
      <rc t="2" v="10922"/>
    </bk>
    <bk>
      <rc t="2" v="10923"/>
    </bk>
    <bk>
      <rc t="2" v="10924"/>
    </bk>
    <bk>
      <rc t="2" v="10925"/>
    </bk>
    <bk>
      <rc t="2" v="10926"/>
    </bk>
    <bk>
      <rc t="2" v="10927"/>
    </bk>
    <bk>
      <rc t="2" v="10928"/>
    </bk>
    <bk>
      <rc t="2" v="10929"/>
    </bk>
    <bk>
      <rc t="2" v="10930"/>
    </bk>
    <bk>
      <rc t="2" v="10931"/>
    </bk>
    <bk>
      <rc t="2" v="10932"/>
    </bk>
    <bk>
      <rc t="2" v="10933"/>
    </bk>
    <bk>
      <rc t="2" v="10934"/>
    </bk>
    <bk>
      <rc t="2" v="10935"/>
    </bk>
    <bk>
      <rc t="2" v="10936"/>
    </bk>
    <bk>
      <rc t="2" v="10937"/>
    </bk>
    <bk>
      <rc t="2" v="10938"/>
    </bk>
    <bk>
      <rc t="2" v="10939"/>
    </bk>
    <bk>
      <rc t="2" v="10940"/>
    </bk>
    <bk>
      <rc t="2" v="10941"/>
    </bk>
    <bk>
      <rc t="2" v="10942"/>
    </bk>
    <bk>
      <rc t="2" v="10943"/>
    </bk>
    <bk>
      <rc t="2" v="10944"/>
    </bk>
    <bk>
      <rc t="2" v="10945"/>
    </bk>
    <bk>
      <rc t="2" v="10946"/>
    </bk>
    <bk>
      <rc t="2" v="10947"/>
    </bk>
    <bk>
      <rc t="2" v="10948"/>
    </bk>
    <bk>
      <rc t="2" v="10949"/>
    </bk>
    <bk>
      <rc t="2" v="10950"/>
    </bk>
    <bk>
      <rc t="2" v="10951"/>
    </bk>
    <bk>
      <rc t="2" v="10952"/>
    </bk>
    <bk>
      <rc t="2" v="10953"/>
    </bk>
    <bk>
      <rc t="2" v="10954"/>
    </bk>
    <bk>
      <rc t="2" v="10955"/>
    </bk>
    <bk>
      <rc t="2" v="10956"/>
    </bk>
    <bk>
      <rc t="2" v="10957"/>
    </bk>
    <bk>
      <rc t="2" v="10958"/>
    </bk>
    <bk>
      <rc t="2" v="10959"/>
    </bk>
    <bk>
      <rc t="2" v="10960"/>
    </bk>
    <bk>
      <rc t="2" v="10961"/>
    </bk>
    <bk>
      <rc t="2" v="10962"/>
    </bk>
    <bk>
      <rc t="2" v="10963"/>
    </bk>
    <bk>
      <rc t="2" v="10964"/>
    </bk>
    <bk>
      <rc t="2" v="10965"/>
    </bk>
    <bk>
      <rc t="2" v="10966"/>
    </bk>
    <bk>
      <rc t="2" v="10967"/>
    </bk>
    <bk>
      <rc t="2" v="10968"/>
    </bk>
    <bk>
      <rc t="2" v="10969"/>
    </bk>
    <bk>
      <rc t="2" v="10970"/>
    </bk>
    <bk>
      <rc t="2" v="10971"/>
    </bk>
    <bk>
      <rc t="2" v="10972"/>
    </bk>
    <bk>
      <rc t="2" v="10973"/>
    </bk>
    <bk>
      <rc t="2" v="10974"/>
    </bk>
    <bk>
      <rc t="2" v="10975"/>
    </bk>
    <bk>
      <rc t="2" v="10976"/>
    </bk>
    <bk>
      <rc t="2" v="10977"/>
    </bk>
    <bk>
      <rc t="2" v="10978"/>
    </bk>
    <bk>
      <rc t="2" v="10979"/>
    </bk>
    <bk>
      <rc t="2" v="10980"/>
    </bk>
    <bk>
      <rc t="2" v="10981"/>
    </bk>
    <bk>
      <rc t="2" v="10982"/>
    </bk>
    <bk>
      <rc t="2" v="10983"/>
    </bk>
    <bk>
      <rc t="2" v="10984"/>
    </bk>
    <bk>
      <rc t="2" v="10985"/>
    </bk>
    <bk>
      <rc t="2" v="10986"/>
    </bk>
    <bk>
      <rc t="2" v="10987"/>
    </bk>
    <bk>
      <rc t="2" v="10988"/>
    </bk>
    <bk>
      <rc t="2" v="10989"/>
    </bk>
    <bk>
      <rc t="2" v="10990"/>
    </bk>
    <bk>
      <rc t="2" v="10991"/>
    </bk>
    <bk>
      <rc t="2" v="10992"/>
    </bk>
    <bk>
      <rc t="2" v="10993"/>
    </bk>
    <bk>
      <rc t="2" v="10994"/>
    </bk>
    <bk>
      <rc t="2" v="10995"/>
    </bk>
    <bk>
      <rc t="2" v="10996"/>
    </bk>
    <bk>
      <rc t="2" v="10997"/>
    </bk>
    <bk>
      <rc t="2" v="10998"/>
    </bk>
    <bk>
      <rc t="2" v="10999"/>
    </bk>
    <bk>
      <rc t="2" v="11000"/>
    </bk>
    <bk>
      <rc t="2" v="11001"/>
    </bk>
    <bk>
      <rc t="2" v="11002"/>
    </bk>
    <bk>
      <rc t="2" v="11003"/>
    </bk>
    <bk>
      <rc t="2" v="11004"/>
    </bk>
    <bk>
      <rc t="2" v="11005"/>
    </bk>
    <bk>
      <rc t="2" v="11006"/>
    </bk>
    <bk>
      <rc t="2" v="11007"/>
    </bk>
    <bk>
      <rc t="2" v="11008"/>
    </bk>
    <bk>
      <rc t="2" v="11009"/>
    </bk>
    <bk>
      <rc t="2" v="11010"/>
    </bk>
    <bk>
      <rc t="2" v="11011"/>
    </bk>
    <bk>
      <rc t="2" v="11012"/>
    </bk>
    <bk>
      <rc t="2" v="11013"/>
    </bk>
    <bk>
      <rc t="2" v="11014"/>
    </bk>
    <bk>
      <rc t="2" v="11015"/>
    </bk>
    <bk>
      <rc t="2" v="11016"/>
    </bk>
    <bk>
      <rc t="2" v="11017"/>
    </bk>
    <bk>
      <rc t="2" v="11018"/>
    </bk>
    <bk>
      <rc t="2" v="11019"/>
    </bk>
    <bk>
      <rc t="2" v="11020"/>
    </bk>
    <bk>
      <rc t="2" v="11021"/>
    </bk>
    <bk>
      <rc t="2" v="11022"/>
    </bk>
    <bk>
      <rc t="2" v="11023"/>
    </bk>
    <bk>
      <rc t="2" v="11024"/>
    </bk>
    <bk>
      <rc t="2" v="11025"/>
    </bk>
    <bk>
      <rc t="2" v="11026"/>
    </bk>
    <bk>
      <rc t="2" v="11027"/>
    </bk>
    <bk>
      <rc t="2" v="11028"/>
    </bk>
    <bk>
      <rc t="2" v="11029"/>
    </bk>
    <bk>
      <rc t="2" v="11030"/>
    </bk>
    <bk>
      <rc t="2" v="11031"/>
    </bk>
    <bk>
      <rc t="2" v="11032"/>
    </bk>
    <bk>
      <rc t="2" v="11033"/>
    </bk>
    <bk>
      <rc t="2" v="11034"/>
    </bk>
    <bk>
      <rc t="2" v="11035"/>
    </bk>
    <bk>
      <rc t="2" v="11036"/>
    </bk>
    <bk>
      <rc t="2" v="11037"/>
    </bk>
    <bk>
      <rc t="2" v="11038"/>
    </bk>
    <bk>
      <rc t="2" v="11039"/>
    </bk>
    <bk>
      <rc t="2" v="11040"/>
    </bk>
    <bk>
      <rc t="2" v="11041"/>
    </bk>
    <bk>
      <rc t="2" v="11042"/>
    </bk>
    <bk>
      <rc t="2" v="11043"/>
    </bk>
    <bk>
      <rc t="2" v="11044"/>
    </bk>
    <bk>
      <rc t="2" v="11045"/>
    </bk>
    <bk>
      <rc t="2" v="11046"/>
    </bk>
    <bk>
      <rc t="2" v="11047"/>
    </bk>
    <bk>
      <rc t="2" v="11048"/>
    </bk>
    <bk>
      <rc t="2" v="11049"/>
    </bk>
    <bk>
      <rc t="2" v="11050"/>
    </bk>
    <bk>
      <rc t="2" v="11051"/>
    </bk>
    <bk>
      <rc t="2" v="11052"/>
    </bk>
    <bk>
      <rc t="2" v="11053"/>
    </bk>
    <bk>
      <rc t="2" v="11054"/>
    </bk>
    <bk>
      <rc t="2" v="11055"/>
    </bk>
    <bk>
      <rc t="2" v="11056"/>
    </bk>
    <bk>
      <rc t="2" v="11057"/>
    </bk>
    <bk>
      <rc t="2" v="11058"/>
    </bk>
    <bk>
      <rc t="2" v="11059"/>
    </bk>
    <bk>
      <rc t="2" v="11060"/>
    </bk>
    <bk>
      <rc t="2" v="11061"/>
    </bk>
    <bk>
      <rc t="2" v="11062"/>
    </bk>
    <bk>
      <rc t="2" v="11063"/>
    </bk>
    <bk>
      <rc t="2" v="11064"/>
    </bk>
    <bk>
      <rc t="2" v="11065"/>
    </bk>
    <bk>
      <rc t="2" v="11066"/>
    </bk>
    <bk>
      <rc t="2" v="11067"/>
    </bk>
    <bk>
      <rc t="2" v="11068"/>
    </bk>
    <bk>
      <rc t="2" v="11069"/>
    </bk>
    <bk>
      <rc t="2" v="11070"/>
    </bk>
    <bk>
      <rc t="2" v="11071"/>
    </bk>
    <bk>
      <rc t="2" v="11072"/>
    </bk>
    <bk>
      <rc t="2" v="11073"/>
    </bk>
    <bk>
      <rc t="2" v="11074"/>
    </bk>
    <bk>
      <rc t="2" v="11075"/>
    </bk>
    <bk>
      <rc t="2" v="11076"/>
    </bk>
    <bk>
      <rc t="2" v="11077"/>
    </bk>
    <bk>
      <rc t="2" v="11078"/>
    </bk>
    <bk>
      <rc t="2" v="11079"/>
    </bk>
    <bk>
      <rc t="2" v="11080"/>
    </bk>
    <bk>
      <rc t="2" v="11081"/>
    </bk>
    <bk>
      <rc t="2" v="11082"/>
    </bk>
    <bk>
      <rc t="2" v="11083"/>
    </bk>
    <bk>
      <rc t="2" v="11084"/>
    </bk>
    <bk>
      <rc t="2" v="11085"/>
    </bk>
    <bk>
      <rc t="2" v="11086"/>
    </bk>
    <bk>
      <rc t="2" v="11087"/>
    </bk>
    <bk>
      <rc t="2" v="11088"/>
    </bk>
    <bk>
      <rc t="2" v="11089"/>
    </bk>
    <bk>
      <rc t="2" v="11090"/>
    </bk>
    <bk>
      <rc t="2" v="11091"/>
    </bk>
    <bk>
      <rc t="2" v="11092"/>
    </bk>
    <bk>
      <rc t="2" v="11093"/>
    </bk>
    <bk>
      <rc t="2" v="11094"/>
    </bk>
    <bk>
      <rc t="2" v="11095"/>
    </bk>
    <bk>
      <rc t="2" v="11096"/>
    </bk>
    <bk>
      <rc t="2" v="11097"/>
    </bk>
    <bk>
      <rc t="2" v="11098"/>
    </bk>
    <bk>
      <rc t="2" v="11099"/>
    </bk>
    <bk>
      <rc t="2" v="11100"/>
    </bk>
    <bk>
      <rc t="2" v="11101"/>
    </bk>
    <bk>
      <rc t="2" v="11102"/>
    </bk>
    <bk>
      <rc t="2" v="11103"/>
    </bk>
    <bk>
      <rc t="2" v="11104"/>
    </bk>
    <bk>
      <rc t="2" v="11105"/>
    </bk>
    <bk>
      <rc t="2" v="11106"/>
    </bk>
    <bk>
      <rc t="2" v="11107"/>
    </bk>
    <bk>
      <rc t="2" v="11108"/>
    </bk>
    <bk>
      <rc t="2" v="11109"/>
    </bk>
    <bk>
      <rc t="2" v="11110"/>
    </bk>
    <bk>
      <rc t="2" v="11111"/>
    </bk>
    <bk>
      <rc t="2" v="11112"/>
    </bk>
    <bk>
      <rc t="2" v="11113"/>
    </bk>
    <bk>
      <rc t="2" v="11114"/>
    </bk>
    <bk>
      <rc t="2" v="11115"/>
    </bk>
    <bk>
      <rc t="2" v="11116"/>
    </bk>
    <bk>
      <rc t="2" v="11117"/>
    </bk>
    <bk>
      <rc t="2" v="11118"/>
    </bk>
    <bk>
      <rc t="2" v="11119"/>
    </bk>
    <bk>
      <rc t="2" v="11120"/>
    </bk>
    <bk>
      <rc t="2" v="11121"/>
    </bk>
    <bk>
      <rc t="2" v="11122"/>
    </bk>
    <bk>
      <rc t="2" v="11123"/>
    </bk>
    <bk>
      <rc t="2" v="11124"/>
    </bk>
    <bk>
      <rc t="2" v="11125"/>
    </bk>
    <bk>
      <rc t="2" v="11126"/>
    </bk>
    <bk>
      <rc t="2" v="11127"/>
    </bk>
    <bk>
      <rc t="2" v="11128"/>
    </bk>
    <bk>
      <rc t="2" v="11129"/>
    </bk>
    <bk>
      <rc t="2" v="11130"/>
    </bk>
    <bk>
      <rc t="2" v="11131"/>
    </bk>
    <bk>
      <rc t="2" v="11132"/>
    </bk>
    <bk>
      <rc t="2" v="11133"/>
    </bk>
    <bk>
      <rc t="2" v="11134"/>
    </bk>
    <bk>
      <rc t="2" v="11135"/>
    </bk>
    <bk>
      <rc t="2" v="11136"/>
    </bk>
    <bk>
      <rc t="2" v="11137"/>
    </bk>
    <bk>
      <rc t="2" v="11138"/>
    </bk>
    <bk>
      <rc t="2" v="11139"/>
    </bk>
    <bk>
      <rc t="2" v="11140"/>
    </bk>
    <bk>
      <rc t="2" v="11141"/>
    </bk>
    <bk>
      <rc t="2" v="11142"/>
    </bk>
    <bk>
      <rc t="2" v="11143"/>
    </bk>
    <bk>
      <rc t="2" v="11144"/>
    </bk>
    <bk>
      <rc t="2" v="11145"/>
    </bk>
    <bk>
      <rc t="2" v="11146"/>
    </bk>
    <bk>
      <rc t="2" v="11147"/>
    </bk>
    <bk>
      <rc t="2" v="11148"/>
    </bk>
    <bk>
      <rc t="2" v="11149"/>
    </bk>
    <bk>
      <rc t="2" v="11150"/>
    </bk>
    <bk>
      <rc t="2" v="11151"/>
    </bk>
    <bk>
      <rc t="2" v="11152"/>
    </bk>
    <bk>
      <rc t="2" v="11153"/>
    </bk>
    <bk>
      <rc t="2" v="11154"/>
    </bk>
    <bk>
      <rc t="2" v="11155"/>
    </bk>
    <bk>
      <rc t="2" v="11156"/>
    </bk>
    <bk>
      <rc t="2" v="11157"/>
    </bk>
    <bk>
      <rc t="2" v="11158"/>
    </bk>
    <bk>
      <rc t="2" v="11159"/>
    </bk>
    <bk>
      <rc t="2" v="11160"/>
    </bk>
    <bk>
      <rc t="2" v="11161"/>
    </bk>
    <bk>
      <rc t="2" v="11162"/>
    </bk>
    <bk>
      <rc t="2" v="11163"/>
    </bk>
    <bk>
      <rc t="2" v="11164"/>
    </bk>
    <bk>
      <rc t="2" v="11165"/>
    </bk>
    <bk>
      <rc t="2" v="11166"/>
    </bk>
    <bk>
      <rc t="2" v="11167"/>
    </bk>
    <bk>
      <rc t="2" v="11168"/>
    </bk>
    <bk>
      <rc t="2" v="11169"/>
    </bk>
    <bk>
      <rc t="2" v="11170"/>
    </bk>
    <bk>
      <rc t="2" v="11171"/>
    </bk>
    <bk>
      <rc t="2" v="11172"/>
    </bk>
    <bk>
      <rc t="2" v="11173"/>
    </bk>
    <bk>
      <rc t="2" v="11174"/>
    </bk>
    <bk>
      <rc t="2" v="11175"/>
    </bk>
    <bk>
      <rc t="2" v="11176"/>
    </bk>
    <bk>
      <rc t="2" v="11177"/>
    </bk>
    <bk>
      <rc t="2" v="11178"/>
    </bk>
    <bk>
      <rc t="2" v="11179"/>
    </bk>
    <bk>
      <rc t="2" v="11180"/>
    </bk>
    <bk>
      <rc t="2" v="11181"/>
    </bk>
    <bk>
      <rc t="2" v="11182"/>
    </bk>
    <bk>
      <rc t="2" v="11183"/>
    </bk>
    <bk>
      <rc t="2" v="11184"/>
    </bk>
    <bk>
      <rc t="2" v="11185"/>
    </bk>
    <bk>
      <rc t="2" v="11186"/>
    </bk>
    <bk>
      <rc t="2" v="11187"/>
    </bk>
    <bk>
      <rc t="2" v="11188"/>
    </bk>
    <bk>
      <rc t="2" v="11189"/>
    </bk>
    <bk>
      <rc t="2" v="11190"/>
    </bk>
    <bk>
      <rc t="2" v="11191"/>
    </bk>
    <bk>
      <rc t="2" v="11192"/>
    </bk>
    <bk>
      <rc t="2" v="11193"/>
    </bk>
    <bk>
      <rc t="2" v="11194"/>
    </bk>
    <bk>
      <rc t="2" v="11195"/>
    </bk>
    <bk>
      <rc t="2" v="11196"/>
    </bk>
    <bk>
      <rc t="2" v="11197"/>
    </bk>
    <bk>
      <rc t="2" v="11198"/>
    </bk>
    <bk>
      <rc t="2" v="11199"/>
    </bk>
    <bk>
      <rc t="2" v="11200"/>
    </bk>
    <bk>
      <rc t="2" v="11201"/>
    </bk>
    <bk>
      <rc t="2" v="11202"/>
    </bk>
    <bk>
      <rc t="2" v="11203"/>
    </bk>
    <bk>
      <rc t="2" v="11204"/>
    </bk>
    <bk>
      <rc t="2" v="11205"/>
    </bk>
    <bk>
      <rc t="2" v="11206"/>
    </bk>
    <bk>
      <rc t="2" v="11207"/>
    </bk>
    <bk>
      <rc t="2" v="11208"/>
    </bk>
    <bk>
      <rc t="2" v="11209"/>
    </bk>
    <bk>
      <rc t="2" v="11210"/>
    </bk>
    <bk>
      <rc t="2" v="11211"/>
    </bk>
    <bk>
      <rc t="2" v="11212"/>
    </bk>
    <bk>
      <rc t="2" v="11213"/>
    </bk>
    <bk>
      <rc t="2" v="11214"/>
    </bk>
    <bk>
      <rc t="2" v="11215"/>
    </bk>
    <bk>
      <rc t="2" v="11216"/>
    </bk>
    <bk>
      <rc t="2" v="11217"/>
    </bk>
    <bk>
      <rc t="2" v="11218"/>
    </bk>
    <bk>
      <rc t="2" v="11219"/>
    </bk>
    <bk>
      <rc t="2" v="11220"/>
    </bk>
    <bk>
      <rc t="2" v="11221"/>
    </bk>
    <bk>
      <rc t="2" v="11222"/>
    </bk>
    <bk>
      <rc t="2" v="11223"/>
    </bk>
    <bk>
      <rc t="2" v="11224"/>
    </bk>
    <bk>
      <rc t="2" v="11225"/>
    </bk>
    <bk>
      <rc t="2" v="11226"/>
    </bk>
    <bk>
      <rc t="2" v="11227"/>
    </bk>
    <bk>
      <rc t="2" v="11228"/>
    </bk>
    <bk>
      <rc t="2" v="11229"/>
    </bk>
    <bk>
      <rc t="2" v="11230"/>
    </bk>
    <bk>
      <rc t="2" v="11231"/>
    </bk>
    <bk>
      <rc t="2" v="11232"/>
    </bk>
    <bk>
      <rc t="2" v="11233"/>
    </bk>
    <bk>
      <rc t="2" v="11234"/>
    </bk>
    <bk>
      <rc t="2" v="11235"/>
    </bk>
    <bk>
      <rc t="2" v="11236"/>
    </bk>
    <bk>
      <rc t="2" v="11237"/>
    </bk>
    <bk>
      <rc t="2" v="11238"/>
    </bk>
    <bk>
      <rc t="2" v="11239"/>
    </bk>
    <bk>
      <rc t="2" v="11240"/>
    </bk>
    <bk>
      <rc t="2" v="11241"/>
    </bk>
    <bk>
      <rc t="2" v="11242"/>
    </bk>
    <bk>
      <rc t="2" v="11243"/>
    </bk>
    <bk>
      <rc t="2" v="11244"/>
    </bk>
    <bk>
      <rc t="2" v="11245"/>
    </bk>
    <bk>
      <rc t="2" v="11246"/>
    </bk>
    <bk>
      <rc t="2" v="11247"/>
    </bk>
    <bk>
      <rc t="2" v="11248"/>
    </bk>
    <bk>
      <rc t="2" v="11249"/>
    </bk>
    <bk>
      <rc t="2" v="11250"/>
    </bk>
    <bk>
      <rc t="2" v="11251"/>
    </bk>
    <bk>
      <rc t="2" v="11252"/>
    </bk>
    <bk>
      <rc t="2" v="11253"/>
    </bk>
    <bk>
      <rc t="2" v="11254"/>
    </bk>
    <bk>
      <rc t="2" v="11255"/>
    </bk>
    <bk>
      <rc t="2" v="11256"/>
    </bk>
    <bk>
      <rc t="2" v="11257"/>
    </bk>
    <bk>
      <rc t="2" v="11258"/>
    </bk>
    <bk>
      <rc t="2" v="11259"/>
    </bk>
    <bk>
      <rc t="2" v="11260"/>
    </bk>
    <bk>
      <rc t="2" v="11261"/>
    </bk>
    <bk>
      <rc t="2" v="11262"/>
    </bk>
    <bk>
      <rc t="2" v="11263"/>
    </bk>
    <bk>
      <rc t="2" v="11264"/>
    </bk>
    <bk>
      <rc t="2" v="11265"/>
    </bk>
    <bk>
      <rc t="2" v="11266"/>
    </bk>
    <bk>
      <rc t="2" v="11267"/>
    </bk>
    <bk>
      <rc t="2" v="11268"/>
    </bk>
    <bk>
      <rc t="2" v="11269"/>
    </bk>
    <bk>
      <rc t="2" v="11270"/>
    </bk>
    <bk>
      <rc t="2" v="11271"/>
    </bk>
    <bk>
      <rc t="2" v="11272"/>
    </bk>
    <bk>
      <rc t="2" v="11273"/>
    </bk>
    <bk>
      <rc t="2" v="11274"/>
    </bk>
    <bk>
      <rc t="2" v="11275"/>
    </bk>
    <bk>
      <rc t="2" v="11276"/>
    </bk>
    <bk>
      <rc t="2" v="11277"/>
    </bk>
    <bk>
      <rc t="2" v="11278"/>
    </bk>
    <bk>
      <rc t="2" v="11279"/>
    </bk>
    <bk>
      <rc t="2" v="11280"/>
    </bk>
    <bk>
      <rc t="2" v="11281"/>
    </bk>
    <bk>
      <rc t="2" v="11282"/>
    </bk>
    <bk>
      <rc t="2" v="11283"/>
    </bk>
    <bk>
      <rc t="2" v="11284"/>
    </bk>
    <bk>
      <rc t="2" v="11285"/>
    </bk>
    <bk>
      <rc t="2" v="11286"/>
    </bk>
    <bk>
      <rc t="2" v="11287"/>
    </bk>
    <bk>
      <rc t="2" v="11288"/>
    </bk>
    <bk>
      <rc t="2" v="11289"/>
    </bk>
    <bk>
      <rc t="2" v="11290"/>
    </bk>
    <bk>
      <rc t="2" v="11291"/>
    </bk>
    <bk>
      <rc t="2" v="11292"/>
    </bk>
    <bk>
      <rc t="2" v="11293"/>
    </bk>
    <bk>
      <rc t="2" v="11294"/>
    </bk>
    <bk>
      <rc t="2" v="11295"/>
    </bk>
    <bk>
      <rc t="2" v="11296"/>
    </bk>
    <bk>
      <rc t="2" v="11297"/>
    </bk>
    <bk>
      <rc t="2" v="11298"/>
    </bk>
    <bk>
      <rc t="2" v="11299"/>
    </bk>
    <bk>
      <rc t="2" v="11300"/>
    </bk>
    <bk>
      <rc t="2" v="11301"/>
    </bk>
    <bk>
      <rc t="2" v="11302"/>
    </bk>
    <bk>
      <rc t="2" v="11303"/>
    </bk>
    <bk>
      <rc t="2" v="11304"/>
    </bk>
    <bk>
      <rc t="2" v="11305"/>
    </bk>
    <bk>
      <rc t="2" v="11306"/>
    </bk>
    <bk>
      <rc t="2" v="11307"/>
    </bk>
    <bk>
      <rc t="2" v="11308"/>
    </bk>
    <bk>
      <rc t="2" v="11309"/>
    </bk>
    <bk>
      <rc t="2" v="11310"/>
    </bk>
    <bk>
      <rc t="2" v="11311"/>
    </bk>
    <bk>
      <rc t="2" v="11312"/>
    </bk>
    <bk>
      <rc t="2" v="11313"/>
    </bk>
    <bk>
      <rc t="2" v="11314"/>
    </bk>
    <bk>
      <rc t="2" v="11315"/>
    </bk>
    <bk>
      <rc t="2" v="11316"/>
    </bk>
    <bk>
      <rc t="2" v="11317"/>
    </bk>
    <bk>
      <rc t="2" v="11318"/>
    </bk>
    <bk>
      <rc t="2" v="11319"/>
    </bk>
    <bk>
      <rc t="2" v="11320"/>
    </bk>
    <bk>
      <rc t="2" v="11321"/>
    </bk>
    <bk>
      <rc t="2" v="11322"/>
    </bk>
    <bk>
      <rc t="2" v="11323"/>
    </bk>
    <bk>
      <rc t="2" v="11324"/>
    </bk>
    <bk>
      <rc t="2" v="11325"/>
    </bk>
    <bk>
      <rc t="2" v="11326"/>
    </bk>
    <bk>
      <rc t="2" v="11327"/>
    </bk>
    <bk>
      <rc t="2" v="11328"/>
    </bk>
    <bk>
      <rc t="2" v="11329"/>
    </bk>
    <bk>
      <rc t="2" v="11330"/>
    </bk>
    <bk>
      <rc t="2" v="11331"/>
    </bk>
    <bk>
      <rc t="2" v="11332"/>
    </bk>
    <bk>
      <rc t="2" v="11333"/>
    </bk>
    <bk>
      <rc t="2" v="11334"/>
    </bk>
    <bk>
      <rc t="2" v="11335"/>
    </bk>
    <bk>
      <rc t="2" v="11336"/>
    </bk>
    <bk>
      <rc t="2" v="11337"/>
    </bk>
    <bk>
      <rc t="2" v="11338"/>
    </bk>
    <bk>
      <rc t="2" v="11339"/>
    </bk>
    <bk>
      <rc t="2" v="11340"/>
    </bk>
    <bk>
      <rc t="2" v="11341"/>
    </bk>
    <bk>
      <rc t="2" v="11342"/>
    </bk>
    <bk>
      <rc t="2" v="11343"/>
    </bk>
    <bk>
      <rc t="2" v="11344"/>
    </bk>
    <bk>
      <rc t="2" v="11345"/>
    </bk>
    <bk>
      <rc t="2" v="11346"/>
    </bk>
    <bk>
      <rc t="2" v="11347"/>
    </bk>
    <bk>
      <rc t="2" v="11348"/>
    </bk>
    <bk>
      <rc t="2" v="11349"/>
    </bk>
    <bk>
      <rc t="2" v="11350"/>
    </bk>
    <bk>
      <rc t="2" v="11351"/>
    </bk>
    <bk>
      <rc t="2" v="11352"/>
    </bk>
    <bk>
      <rc t="2" v="11353"/>
    </bk>
    <bk>
      <rc t="2" v="11354"/>
    </bk>
    <bk>
      <rc t="2" v="11355"/>
    </bk>
    <bk>
      <rc t="2" v="11356"/>
    </bk>
    <bk>
      <rc t="2" v="11357"/>
    </bk>
    <bk>
      <rc t="2" v="11358"/>
    </bk>
    <bk>
      <rc t="2" v="11359"/>
    </bk>
    <bk>
      <rc t="2" v="11360"/>
    </bk>
    <bk>
      <rc t="2" v="11361"/>
    </bk>
    <bk>
      <rc t="2" v="11362"/>
    </bk>
    <bk>
      <rc t="2" v="11363"/>
    </bk>
    <bk>
      <rc t="2" v="11364"/>
    </bk>
    <bk>
      <rc t="2" v="11365"/>
    </bk>
    <bk>
      <rc t="2" v="11366"/>
    </bk>
    <bk>
      <rc t="2" v="11367"/>
    </bk>
    <bk>
      <rc t="2" v="11368"/>
    </bk>
    <bk>
      <rc t="2" v="11369"/>
    </bk>
    <bk>
      <rc t="2" v="11370"/>
    </bk>
    <bk>
      <rc t="2" v="11371"/>
    </bk>
    <bk>
      <rc t="2" v="11372"/>
    </bk>
    <bk>
      <rc t="2" v="11373"/>
    </bk>
    <bk>
      <rc t="2" v="11374"/>
    </bk>
    <bk>
      <rc t="2" v="11375"/>
    </bk>
    <bk>
      <rc t="2" v="11376"/>
    </bk>
    <bk>
      <rc t="2" v="11377"/>
    </bk>
    <bk>
      <rc t="2" v="11378"/>
    </bk>
    <bk>
      <rc t="2" v="11379"/>
    </bk>
    <bk>
      <rc t="2" v="11380"/>
    </bk>
    <bk>
      <rc t="2" v="11381"/>
    </bk>
    <bk>
      <rc t="2" v="11382"/>
    </bk>
    <bk>
      <rc t="2" v="11383"/>
    </bk>
    <bk>
      <rc t="2" v="11384"/>
    </bk>
    <bk>
      <rc t="2" v="11385"/>
    </bk>
    <bk>
      <rc t="2" v="11386"/>
    </bk>
    <bk>
      <rc t="2" v="11387"/>
    </bk>
    <bk>
      <rc t="2" v="11388"/>
    </bk>
    <bk>
      <rc t="2" v="11389"/>
    </bk>
    <bk>
      <rc t="2" v="11390"/>
    </bk>
    <bk>
      <rc t="2" v="11391"/>
    </bk>
    <bk>
      <rc t="2" v="11392"/>
    </bk>
    <bk>
      <rc t="2" v="11393"/>
    </bk>
    <bk>
      <rc t="2" v="11394"/>
    </bk>
    <bk>
      <rc t="2" v="11395"/>
    </bk>
    <bk>
      <rc t="2" v="11396"/>
    </bk>
    <bk>
      <rc t="2" v="11397"/>
    </bk>
    <bk>
      <rc t="2" v="11398"/>
    </bk>
    <bk>
      <rc t="2" v="11399"/>
    </bk>
    <bk>
      <rc t="2" v="11400"/>
    </bk>
    <bk>
      <rc t="2" v="11401"/>
    </bk>
    <bk>
      <rc t="2" v="11402"/>
    </bk>
    <bk>
      <rc t="2" v="11403"/>
    </bk>
    <bk>
      <rc t="2" v="11404"/>
    </bk>
    <bk>
      <rc t="2" v="11405"/>
    </bk>
    <bk>
      <rc t="2" v="11406"/>
    </bk>
    <bk>
      <rc t="2" v="11407"/>
    </bk>
    <bk>
      <rc t="2" v="11408"/>
    </bk>
    <bk>
      <rc t="2" v="11409"/>
    </bk>
    <bk>
      <rc t="2" v="11410"/>
    </bk>
    <bk>
      <rc t="2" v="11411"/>
    </bk>
    <bk>
      <rc t="2" v="11412"/>
    </bk>
    <bk>
      <rc t="2" v="11413"/>
    </bk>
    <bk>
      <rc t="2" v="11414"/>
    </bk>
    <bk>
      <rc t="2" v="11415"/>
    </bk>
    <bk>
      <rc t="2" v="11416"/>
    </bk>
    <bk>
      <rc t="2" v="11417"/>
    </bk>
    <bk>
      <rc t="2" v="11418"/>
    </bk>
    <bk>
      <rc t="2" v="11419"/>
    </bk>
    <bk>
      <rc t="2" v="11420"/>
    </bk>
    <bk>
      <rc t="2" v="11421"/>
    </bk>
    <bk>
      <rc t="2" v="11422"/>
    </bk>
    <bk>
      <rc t="2" v="11423"/>
    </bk>
    <bk>
      <rc t="2" v="11424"/>
    </bk>
    <bk>
      <rc t="2" v="11425"/>
    </bk>
    <bk>
      <rc t="2" v="11426"/>
    </bk>
    <bk>
      <rc t="2" v="11427"/>
    </bk>
    <bk>
      <rc t="2" v="11428"/>
    </bk>
    <bk>
      <rc t="2" v="11429"/>
    </bk>
    <bk>
      <rc t="2" v="11430"/>
    </bk>
    <bk>
      <rc t="2" v="11431"/>
    </bk>
    <bk>
      <rc t="2" v="11432"/>
    </bk>
    <bk>
      <rc t="2" v="11433"/>
    </bk>
    <bk>
      <rc t="2" v="11434"/>
    </bk>
    <bk>
      <rc t="2" v="11435"/>
    </bk>
    <bk>
      <rc t="2" v="11436"/>
    </bk>
    <bk>
      <rc t="2" v="11437"/>
    </bk>
    <bk>
      <rc t="2" v="11438"/>
    </bk>
    <bk>
      <rc t="2" v="11439"/>
    </bk>
    <bk>
      <rc t="2" v="11440"/>
    </bk>
    <bk>
      <rc t="2" v="11441"/>
    </bk>
    <bk>
      <rc t="2" v="11442"/>
    </bk>
    <bk>
      <rc t="2" v="11443"/>
    </bk>
    <bk>
      <rc t="2" v="11444"/>
    </bk>
    <bk>
      <rc t="2" v="11445"/>
    </bk>
    <bk>
      <rc t="2" v="11446"/>
    </bk>
    <bk>
      <rc t="2" v="11447"/>
    </bk>
    <bk>
      <rc t="2" v="11448"/>
    </bk>
    <bk>
      <rc t="2" v="11449"/>
    </bk>
    <bk>
      <rc t="2" v="11450"/>
    </bk>
    <bk>
      <rc t="2" v="11451"/>
    </bk>
    <bk>
      <rc t="2" v="11452"/>
    </bk>
    <bk>
      <rc t="2" v="11453"/>
    </bk>
    <bk>
      <rc t="2" v="11454"/>
    </bk>
    <bk>
      <rc t="2" v="11455"/>
    </bk>
    <bk>
      <rc t="2" v="11456"/>
    </bk>
    <bk>
      <rc t="2" v="11457"/>
    </bk>
    <bk>
      <rc t="2" v="11458"/>
    </bk>
    <bk>
      <rc t="2" v="11459"/>
    </bk>
    <bk>
      <rc t="2" v="11460"/>
    </bk>
    <bk>
      <rc t="2" v="11461"/>
    </bk>
    <bk>
      <rc t="2" v="11462"/>
    </bk>
    <bk>
      <rc t="2" v="11463"/>
    </bk>
    <bk>
      <rc t="2" v="11464"/>
    </bk>
    <bk>
      <rc t="2" v="11465"/>
    </bk>
    <bk>
      <rc t="2" v="11466"/>
    </bk>
    <bk>
      <rc t="2" v="11467"/>
    </bk>
    <bk>
      <rc t="2" v="11468"/>
    </bk>
    <bk>
      <rc t="2" v="11469"/>
    </bk>
    <bk>
      <rc t="2" v="11470"/>
    </bk>
    <bk>
      <rc t="2" v="11471"/>
    </bk>
    <bk>
      <rc t="2" v="11472"/>
    </bk>
    <bk>
      <rc t="2" v="11473"/>
    </bk>
    <bk>
      <rc t="2" v="11474"/>
    </bk>
    <bk>
      <rc t="2" v="11475"/>
    </bk>
    <bk>
      <rc t="2" v="11476"/>
    </bk>
    <bk>
      <rc t="2" v="11477"/>
    </bk>
    <bk>
      <rc t="2" v="11478"/>
    </bk>
    <bk>
      <rc t="2" v="11479"/>
    </bk>
    <bk>
      <rc t="2" v="11480"/>
    </bk>
    <bk>
      <rc t="2" v="11481"/>
    </bk>
    <bk>
      <rc t="2" v="11482"/>
    </bk>
    <bk>
      <rc t="2" v="11483"/>
    </bk>
    <bk>
      <rc t="2" v="11484"/>
    </bk>
    <bk>
      <rc t="2" v="11485"/>
    </bk>
    <bk>
      <rc t="2" v="11486"/>
    </bk>
    <bk>
      <rc t="2" v="11487"/>
    </bk>
    <bk>
      <rc t="2" v="11488"/>
    </bk>
    <bk>
      <rc t="2" v="11489"/>
    </bk>
    <bk>
      <rc t="2" v="11490"/>
    </bk>
    <bk>
      <rc t="2" v="11491"/>
    </bk>
    <bk>
      <rc t="2" v="11492"/>
    </bk>
    <bk>
      <rc t="2" v="11493"/>
    </bk>
    <bk>
      <rc t="2" v="11494"/>
    </bk>
    <bk>
      <rc t="2" v="11495"/>
    </bk>
    <bk>
      <rc t="2" v="11496"/>
    </bk>
    <bk>
      <rc t="2" v="11497"/>
    </bk>
    <bk>
      <rc t="2" v="11498"/>
    </bk>
    <bk>
      <rc t="2" v="11499"/>
    </bk>
    <bk>
      <rc t="2" v="11500"/>
    </bk>
    <bk>
      <rc t="2" v="11501"/>
    </bk>
    <bk>
      <rc t="2" v="11502"/>
    </bk>
    <bk>
      <rc t="2" v="11503"/>
    </bk>
    <bk>
      <rc t="2" v="11504"/>
    </bk>
    <bk>
      <rc t="2" v="11505"/>
    </bk>
    <bk>
      <rc t="2" v="11506"/>
    </bk>
    <bk>
      <rc t="2" v="11507"/>
    </bk>
    <bk>
      <rc t="2" v="11508"/>
    </bk>
    <bk>
      <rc t="2" v="11509"/>
    </bk>
    <bk>
      <rc t="2" v="11510"/>
    </bk>
    <bk>
      <rc t="2" v="11511"/>
    </bk>
    <bk>
      <rc t="2" v="11512"/>
    </bk>
    <bk>
      <rc t="2" v="11513"/>
    </bk>
    <bk>
      <rc t="2" v="11514"/>
    </bk>
    <bk>
      <rc t="2" v="11515"/>
    </bk>
    <bk>
      <rc t="2" v="11516"/>
    </bk>
    <bk>
      <rc t="2" v="11517"/>
    </bk>
    <bk>
      <rc t="2" v="11518"/>
    </bk>
    <bk>
      <rc t="2" v="11519"/>
    </bk>
    <bk>
      <rc t="2" v="11520"/>
    </bk>
    <bk>
      <rc t="2" v="11521"/>
    </bk>
    <bk>
      <rc t="2" v="11522"/>
    </bk>
    <bk>
      <rc t="2" v="11523"/>
    </bk>
    <bk>
      <rc t="2" v="11524"/>
    </bk>
    <bk>
      <rc t="2" v="11525"/>
    </bk>
    <bk>
      <rc t="2" v="11526"/>
    </bk>
    <bk>
      <rc t="2" v="11527"/>
    </bk>
    <bk>
      <rc t="2" v="11528"/>
    </bk>
    <bk>
      <rc t="2" v="11529"/>
    </bk>
    <bk>
      <rc t="2" v="11530"/>
    </bk>
    <bk>
      <rc t="2" v="11531"/>
    </bk>
    <bk>
      <rc t="2" v="11532"/>
    </bk>
    <bk>
      <rc t="2" v="11533"/>
    </bk>
    <bk>
      <rc t="2" v="11534"/>
    </bk>
    <bk>
      <rc t="2" v="11535"/>
    </bk>
    <bk>
      <rc t="2" v="11536"/>
    </bk>
    <bk>
      <rc t="2" v="11537"/>
    </bk>
    <bk>
      <rc t="2" v="11538"/>
    </bk>
    <bk>
      <rc t="2" v="11539"/>
    </bk>
    <bk>
      <rc t="2" v="11540"/>
    </bk>
    <bk>
      <rc t="2" v="11541"/>
    </bk>
    <bk>
      <rc t="2" v="11542"/>
    </bk>
    <bk>
      <rc t="2" v="11543"/>
    </bk>
    <bk>
      <rc t="2" v="11544"/>
    </bk>
    <bk>
      <rc t="2" v="11545"/>
    </bk>
    <bk>
      <rc t="2" v="11546"/>
    </bk>
    <bk>
      <rc t="2" v="11547"/>
    </bk>
    <bk>
      <rc t="2" v="11548"/>
    </bk>
    <bk>
      <rc t="2" v="11549"/>
    </bk>
    <bk>
      <rc t="2" v="11550"/>
    </bk>
    <bk>
      <rc t="2" v="11551"/>
    </bk>
    <bk>
      <rc t="2" v="11552"/>
    </bk>
    <bk>
      <rc t="2" v="11553"/>
    </bk>
    <bk>
      <rc t="2" v="11554"/>
    </bk>
    <bk>
      <rc t="2" v="11555"/>
    </bk>
    <bk>
      <rc t="2" v="11556"/>
    </bk>
    <bk>
      <rc t="2" v="11557"/>
    </bk>
    <bk>
      <rc t="2" v="11558"/>
    </bk>
    <bk>
      <rc t="2" v="11559"/>
    </bk>
    <bk>
      <rc t="2" v="11560"/>
    </bk>
    <bk>
      <rc t="2" v="11561"/>
    </bk>
    <bk>
      <rc t="2" v="11562"/>
    </bk>
    <bk>
      <rc t="2" v="11563"/>
    </bk>
    <bk>
      <rc t="2" v="11564"/>
    </bk>
    <bk>
      <rc t="2" v="11565"/>
    </bk>
    <bk>
      <rc t="2" v="11566"/>
    </bk>
    <bk>
      <rc t="2" v="11567"/>
    </bk>
    <bk>
      <rc t="2" v="11568"/>
    </bk>
    <bk>
      <rc t="2" v="11569"/>
    </bk>
    <bk>
      <rc t="2" v="11570"/>
    </bk>
    <bk>
      <rc t="2" v="11571"/>
    </bk>
    <bk>
      <rc t="2" v="11572"/>
    </bk>
    <bk>
      <rc t="2" v="11573"/>
    </bk>
    <bk>
      <rc t="2" v="11574"/>
    </bk>
    <bk>
      <rc t="2" v="11575"/>
    </bk>
    <bk>
      <rc t="2" v="11576"/>
    </bk>
    <bk>
      <rc t="2" v="11577"/>
    </bk>
    <bk>
      <rc t="2" v="11578"/>
    </bk>
    <bk>
      <rc t="2" v="11579"/>
    </bk>
    <bk>
      <rc t="2" v="11580"/>
    </bk>
    <bk>
      <rc t="2" v="11581"/>
    </bk>
    <bk>
      <rc t="2" v="11582"/>
    </bk>
    <bk>
      <rc t="2" v="11583"/>
    </bk>
    <bk>
      <rc t="2" v="11584"/>
    </bk>
    <bk>
      <rc t="2" v="11585"/>
    </bk>
    <bk>
      <rc t="2" v="11586"/>
    </bk>
    <bk>
      <rc t="2" v="11587"/>
    </bk>
    <bk>
      <rc t="2" v="11588"/>
    </bk>
    <bk>
      <rc t="2" v="11589"/>
    </bk>
    <bk>
      <rc t="2" v="11590"/>
    </bk>
    <bk>
      <rc t="2" v="11591"/>
    </bk>
    <bk>
      <rc t="2" v="11592"/>
    </bk>
    <bk>
      <rc t="2" v="11593"/>
    </bk>
    <bk>
      <rc t="2" v="11594"/>
    </bk>
    <bk>
      <rc t="2" v="11595"/>
    </bk>
    <bk>
      <rc t="2" v="11596"/>
    </bk>
    <bk>
      <rc t="2" v="11597"/>
    </bk>
    <bk>
      <rc t="2" v="11598"/>
    </bk>
    <bk>
      <rc t="2" v="11599"/>
    </bk>
    <bk>
      <rc t="2" v="11600"/>
    </bk>
    <bk>
      <rc t="2" v="11601"/>
    </bk>
    <bk>
      <rc t="2" v="11602"/>
    </bk>
    <bk>
      <rc t="2" v="11603"/>
    </bk>
    <bk>
      <rc t="2" v="11604"/>
    </bk>
    <bk>
      <rc t="2" v="11605"/>
    </bk>
    <bk>
      <rc t="2" v="11606"/>
    </bk>
    <bk>
      <rc t="2" v="11607"/>
    </bk>
    <bk>
      <rc t="2" v="11608"/>
    </bk>
    <bk>
      <rc t="2" v="11609"/>
    </bk>
    <bk>
      <rc t="2" v="11610"/>
    </bk>
    <bk>
      <rc t="2" v="11611"/>
    </bk>
    <bk>
      <rc t="2" v="11612"/>
    </bk>
    <bk>
      <rc t="2" v="11613"/>
    </bk>
    <bk>
      <rc t="2" v="11614"/>
    </bk>
    <bk>
      <rc t="2" v="11615"/>
    </bk>
    <bk>
      <rc t="2" v="11616"/>
    </bk>
    <bk>
      <rc t="2" v="11617"/>
    </bk>
    <bk>
      <rc t="2" v="11618"/>
    </bk>
    <bk>
      <rc t="2" v="11619"/>
    </bk>
    <bk>
      <rc t="2" v="11620"/>
    </bk>
    <bk>
      <rc t="2" v="11621"/>
    </bk>
    <bk>
      <rc t="2" v="11622"/>
    </bk>
    <bk>
      <rc t="2" v="11623"/>
    </bk>
    <bk>
      <rc t="2" v="11624"/>
    </bk>
    <bk>
      <rc t="2" v="11625"/>
    </bk>
    <bk>
      <rc t="2" v="11626"/>
    </bk>
    <bk>
      <rc t="2" v="11627"/>
    </bk>
    <bk>
      <rc t="2" v="11628"/>
    </bk>
    <bk>
      <rc t="2" v="11629"/>
    </bk>
    <bk>
      <rc t="2" v="11630"/>
    </bk>
    <bk>
      <rc t="2" v="11631"/>
    </bk>
    <bk>
      <rc t="2" v="11632"/>
    </bk>
    <bk>
      <rc t="2" v="11633"/>
    </bk>
    <bk>
      <rc t="2" v="11634"/>
    </bk>
    <bk>
      <rc t="2" v="11635"/>
    </bk>
    <bk>
      <rc t="2" v="11636"/>
    </bk>
    <bk>
      <rc t="2" v="11637"/>
    </bk>
    <bk>
      <rc t="2" v="11638"/>
    </bk>
    <bk>
      <rc t="2" v="11639"/>
    </bk>
    <bk>
      <rc t="2" v="11640"/>
    </bk>
    <bk>
      <rc t="2" v="11641"/>
    </bk>
    <bk>
      <rc t="2" v="11642"/>
    </bk>
    <bk>
      <rc t="2" v="11643"/>
    </bk>
    <bk>
      <rc t="2" v="11644"/>
    </bk>
    <bk>
      <rc t="2" v="11645"/>
    </bk>
    <bk>
      <rc t="2" v="11646"/>
    </bk>
    <bk>
      <rc t="2" v="11647"/>
    </bk>
    <bk>
      <rc t="2" v="11648"/>
    </bk>
    <bk>
      <rc t="2" v="11649"/>
    </bk>
    <bk>
      <rc t="2" v="11650"/>
    </bk>
    <bk>
      <rc t="2" v="11651"/>
    </bk>
    <bk>
      <rc t="2" v="11652"/>
    </bk>
    <bk>
      <rc t="2" v="11653"/>
    </bk>
    <bk>
      <rc t="2" v="11654"/>
    </bk>
    <bk>
      <rc t="2" v="11655"/>
    </bk>
    <bk>
      <rc t="2" v="11656"/>
    </bk>
    <bk>
      <rc t="2" v="11657"/>
    </bk>
    <bk>
      <rc t="2" v="11658"/>
    </bk>
    <bk>
      <rc t="2" v="11659"/>
    </bk>
    <bk>
      <rc t="2" v="11660"/>
    </bk>
    <bk>
      <rc t="2" v="11661"/>
    </bk>
    <bk>
      <rc t="2" v="11662"/>
    </bk>
    <bk>
      <rc t="2" v="11663"/>
    </bk>
    <bk>
      <rc t="2" v="11664"/>
    </bk>
    <bk>
      <rc t="2" v="11665"/>
    </bk>
    <bk>
      <rc t="2" v="11666"/>
    </bk>
    <bk>
      <rc t="2" v="11667"/>
    </bk>
    <bk>
      <rc t="2" v="11668"/>
    </bk>
    <bk>
      <rc t="2" v="11669"/>
    </bk>
    <bk>
      <rc t="2" v="11670"/>
    </bk>
    <bk>
      <rc t="2" v="11671"/>
    </bk>
    <bk>
      <rc t="2" v="11672"/>
    </bk>
    <bk>
      <rc t="2" v="11673"/>
    </bk>
    <bk>
      <rc t="2" v="11674"/>
    </bk>
    <bk>
      <rc t="2" v="11675"/>
    </bk>
    <bk>
      <rc t="2" v="11676"/>
    </bk>
    <bk>
      <rc t="2" v="11677"/>
    </bk>
    <bk>
      <rc t="2" v="11678"/>
    </bk>
    <bk>
      <rc t="2" v="11679"/>
    </bk>
    <bk>
      <rc t="2" v="11680"/>
    </bk>
    <bk>
      <rc t="2" v="11681"/>
    </bk>
    <bk>
      <rc t="2" v="11682"/>
    </bk>
    <bk>
      <rc t="2" v="11683"/>
    </bk>
    <bk>
      <rc t="2" v="11684"/>
    </bk>
    <bk>
      <rc t="2" v="11685"/>
    </bk>
    <bk>
      <rc t="2" v="11686"/>
    </bk>
    <bk>
      <rc t="2" v="11687"/>
    </bk>
    <bk>
      <rc t="2" v="11688"/>
    </bk>
    <bk>
      <rc t="2" v="11689"/>
    </bk>
    <bk>
      <rc t="2" v="11690"/>
    </bk>
    <bk>
      <rc t="2" v="11691"/>
    </bk>
    <bk>
      <rc t="2" v="11692"/>
    </bk>
    <bk>
      <rc t="2" v="11693"/>
    </bk>
    <bk>
      <rc t="2" v="11694"/>
    </bk>
    <bk>
      <rc t="2" v="11695"/>
    </bk>
    <bk>
      <rc t="2" v="11696"/>
    </bk>
    <bk>
      <rc t="2" v="11697"/>
    </bk>
    <bk>
      <rc t="2" v="11698"/>
    </bk>
    <bk>
      <rc t="2" v="11699"/>
    </bk>
    <bk>
      <rc t="2" v="11700"/>
    </bk>
    <bk>
      <rc t="2" v="11701"/>
    </bk>
    <bk>
      <rc t="2" v="11702"/>
    </bk>
    <bk>
      <rc t="2" v="11703"/>
    </bk>
    <bk>
      <rc t="2" v="11704"/>
    </bk>
    <bk>
      <rc t="2" v="11705"/>
    </bk>
    <bk>
      <rc t="2" v="11706"/>
    </bk>
    <bk>
      <rc t="2" v="11707"/>
    </bk>
    <bk>
      <rc t="2" v="11708"/>
    </bk>
    <bk>
      <rc t="2" v="11709"/>
    </bk>
    <bk>
      <rc t="2" v="11710"/>
    </bk>
    <bk>
      <rc t="2" v="11711"/>
    </bk>
    <bk>
      <rc t="2" v="11712"/>
    </bk>
    <bk>
      <rc t="2" v="11713"/>
    </bk>
    <bk>
      <rc t="2" v="11714"/>
    </bk>
    <bk>
      <rc t="2" v="11715"/>
    </bk>
    <bk>
      <rc t="2" v="11716"/>
    </bk>
    <bk>
      <rc t="2" v="11717"/>
    </bk>
    <bk>
      <rc t="2" v="11718"/>
    </bk>
    <bk>
      <rc t="2" v="11719"/>
    </bk>
    <bk>
      <rc t="2" v="11720"/>
    </bk>
    <bk>
      <rc t="2" v="11721"/>
    </bk>
    <bk>
      <rc t="2" v="11722"/>
    </bk>
    <bk>
      <rc t="2" v="11723"/>
    </bk>
    <bk>
      <rc t="2" v="11724"/>
    </bk>
    <bk>
      <rc t="2" v="11725"/>
    </bk>
    <bk>
      <rc t="2" v="11726"/>
    </bk>
    <bk>
      <rc t="2" v="11727"/>
    </bk>
    <bk>
      <rc t="2" v="11728"/>
    </bk>
    <bk>
      <rc t="2" v="11729"/>
    </bk>
    <bk>
      <rc t="2" v="11730"/>
    </bk>
    <bk>
      <rc t="2" v="11731"/>
    </bk>
    <bk>
      <rc t="2" v="11732"/>
    </bk>
    <bk>
      <rc t="2" v="11733"/>
    </bk>
    <bk>
      <rc t="2" v="11734"/>
    </bk>
    <bk>
      <rc t="2" v="11735"/>
    </bk>
    <bk>
      <rc t="2" v="11736"/>
    </bk>
    <bk>
      <rc t="2" v="11737"/>
    </bk>
    <bk>
      <rc t="2" v="11738"/>
    </bk>
    <bk>
      <rc t="2" v="11739"/>
    </bk>
    <bk>
      <rc t="2" v="11740"/>
    </bk>
    <bk>
      <rc t="2" v="11741"/>
    </bk>
    <bk>
      <rc t="2" v="11742"/>
    </bk>
    <bk>
      <rc t="2" v="11743"/>
    </bk>
    <bk>
      <rc t="2" v="11744"/>
    </bk>
    <bk>
      <rc t="2" v="11745"/>
    </bk>
    <bk>
      <rc t="2" v="11746"/>
    </bk>
    <bk>
      <rc t="2" v="11747"/>
    </bk>
    <bk>
      <rc t="2" v="11748"/>
    </bk>
    <bk>
      <rc t="2" v="11749"/>
    </bk>
    <bk>
      <rc t="2" v="11750"/>
    </bk>
    <bk>
      <rc t="2" v="11751"/>
    </bk>
    <bk>
      <rc t="2" v="11752"/>
    </bk>
    <bk>
      <rc t="2" v="11753"/>
    </bk>
    <bk>
      <rc t="2" v="11754"/>
    </bk>
    <bk>
      <rc t="2" v="11755"/>
    </bk>
    <bk>
      <rc t="2" v="11756"/>
    </bk>
    <bk>
      <rc t="2" v="11757"/>
    </bk>
    <bk>
      <rc t="2" v="11758"/>
    </bk>
    <bk>
      <rc t="2" v="11759"/>
    </bk>
    <bk>
      <rc t="2" v="11760"/>
    </bk>
    <bk>
      <rc t="2" v="11761"/>
    </bk>
    <bk>
      <rc t="2" v="11762"/>
    </bk>
    <bk>
      <rc t="2" v="11763"/>
    </bk>
    <bk>
      <rc t="2" v="11764"/>
    </bk>
    <bk>
      <rc t="2" v="11765"/>
    </bk>
    <bk>
      <rc t="2" v="11766"/>
    </bk>
    <bk>
      <rc t="2" v="11767"/>
    </bk>
    <bk>
      <rc t="2" v="11768"/>
    </bk>
    <bk>
      <rc t="2" v="11769"/>
    </bk>
    <bk>
      <rc t="2" v="11770"/>
    </bk>
    <bk>
      <rc t="2" v="11771"/>
    </bk>
    <bk>
      <rc t="2" v="11772"/>
    </bk>
    <bk>
      <rc t="2" v="11773"/>
    </bk>
    <bk>
      <rc t="2" v="11774"/>
    </bk>
    <bk>
      <rc t="2" v="11775"/>
    </bk>
    <bk>
      <rc t="2" v="11776"/>
    </bk>
    <bk>
      <rc t="2" v="11777"/>
    </bk>
    <bk>
      <rc t="2" v="11778"/>
    </bk>
    <bk>
      <rc t="2" v="11779"/>
    </bk>
    <bk>
      <rc t="2" v="11780"/>
    </bk>
    <bk>
      <rc t="2" v="11781"/>
    </bk>
    <bk>
      <rc t="2" v="11782"/>
    </bk>
    <bk>
      <rc t="2" v="11783"/>
    </bk>
    <bk>
      <rc t="2" v="11784"/>
    </bk>
    <bk>
      <rc t="2" v="11785"/>
    </bk>
    <bk>
      <rc t="2" v="11786"/>
    </bk>
    <bk>
      <rc t="2" v="11787"/>
    </bk>
    <bk>
      <rc t="2" v="11788"/>
    </bk>
    <bk>
      <rc t="2" v="11789"/>
    </bk>
    <bk>
      <rc t="2" v="11790"/>
    </bk>
    <bk>
      <rc t="2" v="11791"/>
    </bk>
    <bk>
      <rc t="2" v="11792"/>
    </bk>
    <bk>
      <rc t="2" v="11793"/>
    </bk>
    <bk>
      <rc t="2" v="11794"/>
    </bk>
    <bk>
      <rc t="2" v="11795"/>
    </bk>
    <bk>
      <rc t="2" v="11796"/>
    </bk>
    <bk>
      <rc t="2" v="11797"/>
    </bk>
    <bk>
      <rc t="2" v="11798"/>
    </bk>
    <bk>
      <rc t="2" v="11799"/>
    </bk>
    <bk>
      <rc t="2" v="11800"/>
    </bk>
    <bk>
      <rc t="2" v="11801"/>
    </bk>
    <bk>
      <rc t="2" v="11802"/>
    </bk>
    <bk>
      <rc t="2" v="11803"/>
    </bk>
    <bk>
      <rc t="2" v="11804"/>
    </bk>
    <bk>
      <rc t="2" v="11805"/>
    </bk>
    <bk>
      <rc t="2" v="11806"/>
    </bk>
    <bk>
      <rc t="2" v="11807"/>
    </bk>
    <bk>
      <rc t="2" v="11808"/>
    </bk>
    <bk>
      <rc t="2" v="11809"/>
    </bk>
    <bk>
      <rc t="2" v="11810"/>
    </bk>
    <bk>
      <rc t="2" v="11811"/>
    </bk>
    <bk>
      <rc t="2" v="11812"/>
    </bk>
    <bk>
      <rc t="2" v="11813"/>
    </bk>
    <bk>
      <rc t="2" v="11814"/>
    </bk>
    <bk>
      <rc t="2" v="11815"/>
    </bk>
    <bk>
      <rc t="2" v="11816"/>
    </bk>
    <bk>
      <rc t="2" v="11817"/>
    </bk>
    <bk>
      <rc t="2" v="11818"/>
    </bk>
    <bk>
      <rc t="2" v="11819"/>
    </bk>
    <bk>
      <rc t="2" v="11820"/>
    </bk>
    <bk>
      <rc t="2" v="11821"/>
    </bk>
    <bk>
      <rc t="2" v="11822"/>
    </bk>
    <bk>
      <rc t="2" v="11823"/>
    </bk>
    <bk>
      <rc t="2" v="11824"/>
    </bk>
    <bk>
      <rc t="2" v="11825"/>
    </bk>
    <bk>
      <rc t="2" v="11826"/>
    </bk>
    <bk>
      <rc t="2" v="11827"/>
    </bk>
    <bk>
      <rc t="2" v="11828"/>
    </bk>
    <bk>
      <rc t="2" v="11829"/>
    </bk>
    <bk>
      <rc t="2" v="11830"/>
    </bk>
    <bk>
      <rc t="2" v="11831"/>
    </bk>
    <bk>
      <rc t="2" v="11832"/>
    </bk>
    <bk>
      <rc t="2" v="11833"/>
    </bk>
    <bk>
      <rc t="2" v="11834"/>
    </bk>
    <bk>
      <rc t="2" v="11835"/>
    </bk>
    <bk>
      <rc t="2" v="11836"/>
    </bk>
    <bk>
      <rc t="2" v="11837"/>
    </bk>
    <bk>
      <rc t="2" v="11838"/>
    </bk>
    <bk>
      <rc t="2" v="11839"/>
    </bk>
    <bk>
      <rc t="2" v="11840"/>
    </bk>
    <bk>
      <rc t="2" v="11841"/>
    </bk>
    <bk>
      <rc t="2" v="11842"/>
    </bk>
    <bk>
      <rc t="2" v="11843"/>
    </bk>
    <bk>
      <rc t="2" v="11844"/>
    </bk>
    <bk>
      <rc t="2" v="11845"/>
    </bk>
    <bk>
      <rc t="2" v="11846"/>
    </bk>
    <bk>
      <rc t="2" v="11847"/>
    </bk>
    <bk>
      <rc t="2" v="11848"/>
    </bk>
    <bk>
      <rc t="2" v="11849"/>
    </bk>
    <bk>
      <rc t="2" v="11850"/>
    </bk>
    <bk>
      <rc t="2" v="11851"/>
    </bk>
    <bk>
      <rc t="2" v="11852"/>
    </bk>
    <bk>
      <rc t="2" v="11853"/>
    </bk>
    <bk>
      <rc t="2" v="11854"/>
    </bk>
    <bk>
      <rc t="2" v="11855"/>
    </bk>
    <bk>
      <rc t="2" v="11856"/>
    </bk>
    <bk>
      <rc t="2" v="11857"/>
    </bk>
    <bk>
      <rc t="2" v="11858"/>
    </bk>
    <bk>
      <rc t="2" v="11859"/>
    </bk>
    <bk>
      <rc t="2" v="11860"/>
    </bk>
    <bk>
      <rc t="2" v="11861"/>
    </bk>
    <bk>
      <rc t="2" v="11862"/>
    </bk>
    <bk>
      <rc t="2" v="11863"/>
    </bk>
    <bk>
      <rc t="2" v="11864"/>
    </bk>
    <bk>
      <rc t="2" v="11865"/>
    </bk>
    <bk>
      <rc t="2" v="11866"/>
    </bk>
    <bk>
      <rc t="2" v="11867"/>
    </bk>
    <bk>
      <rc t="2" v="11868"/>
    </bk>
    <bk>
      <rc t="2" v="11869"/>
    </bk>
    <bk>
      <rc t="2" v="11870"/>
    </bk>
    <bk>
      <rc t="2" v="11871"/>
    </bk>
    <bk>
      <rc t="2" v="11872"/>
    </bk>
    <bk>
      <rc t="2" v="11873"/>
    </bk>
    <bk>
      <rc t="2" v="11874"/>
    </bk>
    <bk>
      <rc t="2" v="11875"/>
    </bk>
    <bk>
      <rc t="2" v="11876"/>
    </bk>
    <bk>
      <rc t="2" v="11877"/>
    </bk>
    <bk>
      <rc t="2" v="11878"/>
    </bk>
    <bk>
      <rc t="2" v="11879"/>
    </bk>
    <bk>
      <rc t="2" v="11880"/>
    </bk>
    <bk>
      <rc t="2" v="11881"/>
    </bk>
    <bk>
      <rc t="2" v="11882"/>
    </bk>
    <bk>
      <rc t="2" v="11883"/>
    </bk>
    <bk>
      <rc t="2" v="11884"/>
    </bk>
    <bk>
      <rc t="2" v="11885"/>
    </bk>
    <bk>
      <rc t="2" v="11886"/>
    </bk>
    <bk>
      <rc t="2" v="11887"/>
    </bk>
    <bk>
      <rc t="2" v="11888"/>
    </bk>
    <bk>
      <rc t="2" v="11889"/>
    </bk>
    <bk>
      <rc t="2" v="11890"/>
    </bk>
    <bk>
      <rc t="2" v="11891"/>
    </bk>
    <bk>
      <rc t="2" v="11892"/>
    </bk>
    <bk>
      <rc t="2" v="11893"/>
    </bk>
    <bk>
      <rc t="2" v="11894"/>
    </bk>
    <bk>
      <rc t="2" v="11895"/>
    </bk>
    <bk>
      <rc t="2" v="11896"/>
    </bk>
    <bk>
      <rc t="2" v="11897"/>
    </bk>
    <bk>
      <rc t="2" v="11898"/>
    </bk>
    <bk>
      <rc t="2" v="11899"/>
    </bk>
    <bk>
      <rc t="2" v="11900"/>
    </bk>
    <bk>
      <rc t="2" v="11901"/>
    </bk>
    <bk>
      <rc t="2" v="11902"/>
    </bk>
    <bk>
      <rc t="2" v="11903"/>
    </bk>
    <bk>
      <rc t="2" v="11904"/>
    </bk>
    <bk>
      <rc t="2" v="11905"/>
    </bk>
    <bk>
      <rc t="2" v="11906"/>
    </bk>
    <bk>
      <rc t="2" v="11907"/>
    </bk>
    <bk>
      <rc t="2" v="11908"/>
    </bk>
    <bk>
      <rc t="2" v="11909"/>
    </bk>
    <bk>
      <rc t="2" v="11910"/>
    </bk>
    <bk>
      <rc t="2" v="11911"/>
    </bk>
    <bk>
      <rc t="2" v="11912"/>
    </bk>
    <bk>
      <rc t="2" v="11913"/>
    </bk>
    <bk>
      <rc t="2" v="11914"/>
    </bk>
    <bk>
      <rc t="2" v="11915"/>
    </bk>
    <bk>
      <rc t="2" v="11916"/>
    </bk>
    <bk>
      <rc t="2" v="11917"/>
    </bk>
    <bk>
      <rc t="2" v="11918"/>
    </bk>
    <bk>
      <rc t="2" v="11919"/>
    </bk>
    <bk>
      <rc t="2" v="11920"/>
    </bk>
    <bk>
      <rc t="2" v="11921"/>
    </bk>
    <bk>
      <rc t="2" v="11922"/>
    </bk>
    <bk>
      <rc t="2" v="11923"/>
    </bk>
    <bk>
      <rc t="2" v="11924"/>
    </bk>
    <bk>
      <rc t="2" v="11925"/>
    </bk>
    <bk>
      <rc t="2" v="11926"/>
    </bk>
    <bk>
      <rc t="2" v="11927"/>
    </bk>
    <bk>
      <rc t="2" v="11928"/>
    </bk>
    <bk>
      <rc t="2" v="11929"/>
    </bk>
    <bk>
      <rc t="2" v="11930"/>
    </bk>
    <bk>
      <rc t="2" v="11931"/>
    </bk>
    <bk>
      <rc t="2" v="11932"/>
    </bk>
    <bk>
      <rc t="2" v="11933"/>
    </bk>
    <bk>
      <rc t="2" v="11934"/>
    </bk>
    <bk>
      <rc t="2" v="11935"/>
    </bk>
    <bk>
      <rc t="2" v="11936"/>
    </bk>
    <bk>
      <rc t="2" v="11937"/>
    </bk>
    <bk>
      <rc t="2" v="11938"/>
    </bk>
    <bk>
      <rc t="2" v="11939"/>
    </bk>
    <bk>
      <rc t="2" v="11940"/>
    </bk>
    <bk>
      <rc t="2" v="11941"/>
    </bk>
    <bk>
      <rc t="2" v="11942"/>
    </bk>
    <bk>
      <rc t="2" v="11943"/>
    </bk>
    <bk>
      <rc t="2" v="11944"/>
    </bk>
    <bk>
      <rc t="2" v="11945"/>
    </bk>
    <bk>
      <rc t="2" v="11946"/>
    </bk>
    <bk>
      <rc t="2" v="11947"/>
    </bk>
    <bk>
      <rc t="2" v="11948"/>
    </bk>
    <bk>
      <rc t="2" v="11949"/>
    </bk>
    <bk>
      <rc t="2" v="11950"/>
    </bk>
    <bk>
      <rc t="2" v="11951"/>
    </bk>
    <bk>
      <rc t="2" v="11952"/>
    </bk>
    <bk>
      <rc t="2" v="11953"/>
    </bk>
    <bk>
      <rc t="2" v="11954"/>
    </bk>
    <bk>
      <rc t="2" v="11955"/>
    </bk>
  </valueMetadata>
</metadata>
</file>

<file path=xl/sharedStrings.xml><?xml version="1.0" encoding="utf-8"?>
<sst xmlns="http://schemas.openxmlformats.org/spreadsheetml/2006/main" count="328" uniqueCount="80">
  <si>
    <t>TSLA</t>
  </si>
  <si>
    <t>AAPL</t>
  </si>
  <si>
    <t>Selected Stock 1</t>
  </si>
  <si>
    <t>LOW</t>
  </si>
  <si>
    <t>GOOG</t>
  </si>
  <si>
    <t>Selected Stock 2</t>
  </si>
  <si>
    <t>MSFT</t>
  </si>
  <si>
    <t>Selected Stock 3</t>
  </si>
  <si>
    <t>AMZN</t>
  </si>
  <si>
    <t>Selected Stock 4</t>
  </si>
  <si>
    <t>MS</t>
  </si>
  <si>
    <t>GOOGL</t>
  </si>
  <si>
    <t>META</t>
  </si>
  <si>
    <t>BRK.B</t>
  </si>
  <si>
    <t>risk free rate</t>
  </si>
  <si>
    <t>NVDA</t>
  </si>
  <si>
    <t>rf</t>
  </si>
  <si>
    <t>JNJ</t>
  </si>
  <si>
    <t>V</t>
  </si>
  <si>
    <t>PG</t>
  </si>
  <si>
    <t>UNH</t>
  </si>
  <si>
    <t>HD</t>
  </si>
  <si>
    <t>Expected Return (%)</t>
  </si>
  <si>
    <t>MA</t>
  </si>
  <si>
    <t>PFE</t>
  </si>
  <si>
    <t>KO</t>
  </si>
  <si>
    <t>DIS</t>
  </si>
  <si>
    <t>NFLX</t>
  </si>
  <si>
    <t>INTC</t>
  </si>
  <si>
    <t>weights</t>
  </si>
  <si>
    <t>CSCO</t>
  </si>
  <si>
    <t>XOM</t>
  </si>
  <si>
    <t>CVX</t>
  </si>
  <si>
    <t>WMT</t>
  </si>
  <si>
    <t>T</t>
  </si>
  <si>
    <t>VZ</t>
  </si>
  <si>
    <t>NKE</t>
  </si>
  <si>
    <t>MCD</t>
  </si>
  <si>
    <t>SBUX</t>
  </si>
  <si>
    <t>BA</t>
  </si>
  <si>
    <t>IBM</t>
  </si>
  <si>
    <t>ORCL</t>
  </si>
  <si>
    <t>CRM</t>
  </si>
  <si>
    <t>ADBE</t>
  </si>
  <si>
    <t>AMD</t>
  </si>
  <si>
    <t>PYPL</t>
  </si>
  <si>
    <t>SQ</t>
  </si>
  <si>
    <t>SPG</t>
  </si>
  <si>
    <t>PLD</t>
  </si>
  <si>
    <t>AMT</t>
  </si>
  <si>
    <t>C</t>
  </si>
  <si>
    <t>BAC</t>
  </si>
  <si>
    <t>JPM</t>
  </si>
  <si>
    <t>GS</t>
  </si>
  <si>
    <t>WFC</t>
  </si>
  <si>
    <t>USB</t>
  </si>
  <si>
    <t>TGT</t>
  </si>
  <si>
    <t>COST</t>
  </si>
  <si>
    <t>start day</t>
  </si>
  <si>
    <t>end day</t>
  </si>
  <si>
    <t>Stock Name</t>
  </si>
  <si>
    <t>a</t>
  </si>
  <si>
    <t>Sum of Weight</t>
  </si>
  <si>
    <t>Portfolio Expected Return</t>
  </si>
  <si>
    <t>Std Dev of Portfolio</t>
  </si>
  <si>
    <t>Sharpe Ratio</t>
  </si>
  <si>
    <t>Results</t>
  </si>
  <si>
    <t>Contribution to Var</t>
  </si>
  <si>
    <t>Var/Cov Matrix</t>
  </si>
  <si>
    <t xml:space="preserve">Total Market Valuue </t>
  </si>
  <si>
    <t xml:space="preserve">Market Value </t>
  </si>
  <si>
    <t xml:space="preserve">Industry </t>
  </si>
  <si>
    <t>Price over the 12 months</t>
  </si>
  <si>
    <t xml:space="preserve">Todays Change </t>
  </si>
  <si>
    <t xml:space="preserve">Current Price </t>
  </si>
  <si>
    <t xml:space="preserve">Stock Name </t>
  </si>
  <si>
    <t>Total Holding Market Value</t>
  </si>
  <si>
    <t xml:space="preserve">Stock Portfolio Optimization </t>
  </si>
  <si>
    <t xml:space="preserve">Price over the last 12 months </t>
  </si>
  <si>
    <t>Maximize Sharpe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</si>
</sst>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0000%"/>
    <numFmt numFmtId="165" formatCode="0.000%"/>
    <numFmt numFmtId="166" formatCode="_([$$-409]* #,##0.00_);_([$$-409]* \(#,##0.00\);_([$$-409]* &quot;-&quot;??_);_(@_)"/>
    <numFmt numFmtId="167" formatCode="_([$$-409]* #,##0_);_([$$-409]* \(#,##0\);_([$$-409]* &quot;-&quot;_);_(@_)"/>
    <numFmt numFmtId="168" formatCode="0.000000"/>
  </numFmts>
  <fonts count="32">
    <font>
      <sz val="11"/>
      <color theme="1"/>
      <name val="Aptos Narrow"/>
      <family val="2"/>
      <scheme val="minor"/>
    </font>
    <font>
      <sz val="11"/>
      <color theme="1"/>
      <name val="Aptos Narrow"/>
      <family val="2"/>
      <scheme val="minor"/>
    </font>
    <font>
      <b/>
      <sz val="12"/>
      <color theme="1"/>
      <name val="Aptos Narrow"/>
      <family val="2"/>
      <scheme val="minor"/>
    </font>
    <font>
      <sz val="10"/>
      <color theme="1"/>
      <name val="Arial Unicode MS"/>
      <family val="2"/>
    </font>
    <font>
      <sz val="12"/>
      <color theme="1"/>
      <name val="Aptos Narrow"/>
      <family val="2"/>
      <scheme val="minor"/>
    </font>
    <font>
      <b/>
      <sz val="12"/>
      <color theme="0"/>
      <name val="Aptos Narrow"/>
      <family val="2"/>
      <scheme val="minor"/>
    </font>
    <font>
      <sz val="72"/>
      <color theme="0"/>
      <name val="Aptos Narrow"/>
      <family val="2"/>
      <scheme val="minor"/>
    </font>
    <font>
      <b/>
      <sz val="16"/>
      <color theme="1"/>
      <name val="Academy Engraved LET Plain:1.0"/>
    </font>
    <font>
      <b/>
      <sz val="18"/>
      <color theme="9" tint="-0.249977111117893"/>
      <name val="Academy Engraved LET Plain:1.0"/>
    </font>
    <font>
      <b/>
      <sz val="18"/>
      <color theme="8" tint="-0.249977111117893"/>
      <name val="Academy Engraved LET Plain:1.0"/>
    </font>
    <font>
      <b/>
      <sz val="18"/>
      <color theme="5" tint="-0.249977111117893"/>
      <name val="Academy Engraved LET Plain:1.0"/>
    </font>
    <font>
      <b/>
      <sz val="18"/>
      <color theme="3" tint="0.249977111117893"/>
      <name val="Academy Engraved LET Plain:1.0"/>
    </font>
    <font>
      <b/>
      <sz val="12"/>
      <color rgb="FFC00000"/>
      <name val="Academy Engraved LET Plain:1.0"/>
    </font>
    <font>
      <b/>
      <sz val="16"/>
      <color theme="9" tint="-0.249977111117893"/>
      <name val="Academy Engraved LET Plain:1.0"/>
    </font>
    <font>
      <b/>
      <sz val="16"/>
      <color theme="8" tint="-0.249977111117893"/>
      <name val="Academy Engraved LET Plain:1.0"/>
    </font>
    <font>
      <b/>
      <sz val="16"/>
      <color theme="5" tint="-0.249977111117893"/>
      <name val="Academy Engraved LET Plain:1.0"/>
    </font>
    <font>
      <b/>
      <sz val="16"/>
      <color theme="3" tint="0.249977111117893"/>
      <name val="Academy Engraved LET Plain:1.0"/>
    </font>
    <font>
      <sz val="16"/>
      <color theme="1"/>
      <name val="Academy Engraved LET Plain:1.0"/>
    </font>
    <font>
      <b/>
      <sz val="11"/>
      <color theme="1"/>
      <name val="Aptos Narrow"/>
      <family val="2"/>
      <scheme val="minor"/>
    </font>
    <font>
      <b/>
      <sz val="11"/>
      <color theme="1"/>
      <name val="Academy Engraved LET Plain:1.0"/>
    </font>
    <font>
      <b/>
      <sz val="12"/>
      <color theme="1"/>
      <name val="Academy Engraved LET Plain:1.0"/>
    </font>
    <font>
      <b/>
      <sz val="14"/>
      <color theme="1"/>
      <name val="Academy Engraved LET Plain:1.0"/>
    </font>
    <font>
      <i/>
      <sz val="16"/>
      <color theme="1"/>
      <name val="Academy Engraved LET Plain:1.0"/>
    </font>
    <font>
      <b/>
      <sz val="16"/>
      <color theme="1"/>
      <name val="Apple Chancery"/>
      <family val="4"/>
    </font>
    <font>
      <sz val="20"/>
      <color theme="1"/>
      <name val="Academy Engraved LET Plain:1.0"/>
    </font>
    <font>
      <b/>
      <sz val="22"/>
      <color theme="1"/>
      <name val="Aptos Narrow"/>
      <family val="2"/>
      <scheme val="minor"/>
    </font>
    <font>
      <b/>
      <sz val="12"/>
      <color theme="1"/>
      <name val="Aptos Narrow (Body)"/>
    </font>
    <font>
      <b/>
      <sz val="12"/>
      <color theme="1"/>
      <name val="Aptos Narrow"/>
      <family val="2"/>
      <scheme val="minor"/>
    </font>
    <font>
      <b/>
      <sz val="26"/>
      <color theme="4" tint="-0.499984740745262"/>
      <name val="Academy Engraved LET Plain:1.0"/>
    </font>
    <font>
      <sz val="16"/>
      <color theme="1"/>
      <name val="Aptos Narrow"/>
      <family val="2"/>
      <scheme val="minor"/>
    </font>
    <font>
      <sz val="8"/>
      <name val="Aptos Narrow"/>
      <family val="2"/>
      <scheme val="minor"/>
    </font>
    <font>
      <sz val="22"/>
      <color rgb="FF000000"/>
      <name val="Academy Engraved LET Plain:1.0"/>
      <charset val="1"/>
    </font>
  </fonts>
  <fills count="7">
    <fill>
      <patternFill patternType="none"/>
    </fill>
    <fill>
      <patternFill patternType="gray125"/>
    </fill>
    <fill>
      <patternFill patternType="solid">
        <fgColor theme="4"/>
        <bgColor theme="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0"/>
        <bgColor indexed="64"/>
      </patternFill>
    </fill>
  </fills>
  <borders count="3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3" tint="0.249977111117893"/>
      </left>
      <right style="thin">
        <color theme="3" tint="0.249977111117893"/>
      </right>
      <top style="thin">
        <color theme="3" tint="0.249977111117893"/>
      </top>
      <bottom/>
      <diagonal/>
    </border>
    <border>
      <left style="thin">
        <color theme="3" tint="0.249977111117893"/>
      </left>
      <right style="thin">
        <color theme="3" tint="0.249977111117893"/>
      </right>
      <top/>
      <bottom/>
      <diagonal/>
    </border>
    <border>
      <left style="thin">
        <color theme="3" tint="0.249977111117893"/>
      </left>
      <right style="thin">
        <color theme="3" tint="0.249977111117893"/>
      </right>
      <top/>
      <bottom style="thin">
        <color theme="3" tint="0.249977111117893"/>
      </bottom>
      <diagonal/>
    </border>
    <border>
      <left/>
      <right style="thin">
        <color theme="3" tint="0.249977111117893"/>
      </right>
      <top style="thin">
        <color theme="3" tint="0.249977111117893"/>
      </top>
      <bottom/>
      <diagonal/>
    </border>
    <border>
      <left/>
      <right style="thin">
        <color theme="3" tint="0.249977111117893"/>
      </right>
      <top/>
      <bottom/>
      <diagonal/>
    </border>
    <border>
      <left/>
      <right style="thin">
        <color theme="3" tint="0.249977111117893"/>
      </right>
      <top/>
      <bottom style="thin">
        <color theme="3" tint="0.249977111117893"/>
      </bottom>
      <diagonal/>
    </border>
    <border>
      <left/>
      <right/>
      <top style="thin">
        <color theme="1"/>
      </top>
      <bottom style="medium">
        <color theme="1"/>
      </bottom>
      <diagonal/>
    </border>
    <border>
      <left/>
      <right style="thin">
        <color theme="1"/>
      </right>
      <top style="thin">
        <color theme="1"/>
      </top>
      <bottom style="medium">
        <color theme="1"/>
      </bottom>
      <diagonal/>
    </border>
    <border>
      <left style="thin">
        <color indexed="64"/>
      </left>
      <right/>
      <top/>
      <bottom style="medium">
        <color theme="1"/>
      </bottom>
      <diagonal/>
    </border>
    <border>
      <left style="thin">
        <color theme="3" tint="0.249977111117893"/>
      </left>
      <right style="thin">
        <color theme="1"/>
      </right>
      <top style="thin">
        <color theme="1"/>
      </top>
      <bottom/>
      <diagonal/>
    </border>
    <border>
      <left style="thin">
        <color theme="3" tint="0.249977111117893"/>
      </left>
      <right style="thin">
        <color theme="1"/>
      </right>
      <top/>
      <bottom/>
      <diagonal/>
    </border>
    <border>
      <left style="thin">
        <color theme="3" tint="0.249977111117893"/>
      </left>
      <right style="thin">
        <color theme="1"/>
      </right>
      <top/>
      <bottom style="thin">
        <color theme="3" tint="0.249977111117893"/>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style="medium">
        <color theme="1"/>
      </bottom>
      <diagonal/>
    </border>
    <border>
      <left/>
      <right style="thin">
        <color theme="1"/>
      </right>
      <top style="medium">
        <color theme="1"/>
      </top>
      <bottom style="thin">
        <color indexed="64"/>
      </bottom>
      <diagonal/>
    </border>
    <border>
      <left/>
      <right/>
      <top/>
      <bottom style="medium">
        <color theme="3" tint="0.249977111117893"/>
      </bottom>
      <diagonal/>
    </border>
  </borders>
  <cellStyleXfs count="2">
    <xf numFmtId="0" fontId="0" fillId="0" borderId="0"/>
    <xf numFmtId="9" fontId="1" fillId="0" borderId="0" applyFont="0" applyFill="0" applyBorder="0" applyAlignment="0" applyProtection="0"/>
  </cellStyleXfs>
  <cellXfs count="94">
    <xf numFmtId="0" fontId="0" fillId="0" borderId="0" xfId="0"/>
    <xf numFmtId="164" fontId="0" fillId="0" borderId="0" xfId="1" applyNumberFormat="1" applyFont="1"/>
    <xf numFmtId="10" fontId="0" fillId="0" borderId="0" xfId="1" applyNumberFormat="1" applyFont="1"/>
    <xf numFmtId="14" fontId="0" fillId="0" borderId="0" xfId="0" applyNumberFormat="1"/>
    <xf numFmtId="0" fontId="5" fillId="2" borderId="9" xfId="0" applyFont="1" applyFill="1" applyBorder="1"/>
    <xf numFmtId="0" fontId="5" fillId="2" borderId="10" xfId="0" applyFont="1" applyFill="1" applyBorder="1"/>
    <xf numFmtId="11" fontId="0" fillId="0" borderId="0" xfId="0" applyNumberFormat="1"/>
    <xf numFmtId="0" fontId="19" fillId="0" borderId="0" xfId="0" applyFont="1"/>
    <xf numFmtId="0" fontId="0" fillId="0" borderId="0" xfId="0" applyAlignment="1">
      <alignment horizontal="center" vertical="center"/>
    </xf>
    <xf numFmtId="44" fontId="0" fillId="0" borderId="0" xfId="0" applyNumberFormat="1"/>
    <xf numFmtId="0" fontId="16" fillId="0" borderId="0" xfId="0" applyFont="1" applyAlignment="1">
      <alignment horizontal="center"/>
    </xf>
    <xf numFmtId="166" fontId="0" fillId="0" borderId="0" xfId="0" applyNumberFormat="1"/>
    <xf numFmtId="10" fontId="0" fillId="0" borderId="32" xfId="1" applyNumberFormat="1" applyFont="1" applyBorder="1"/>
    <xf numFmtId="167" fontId="0" fillId="0" borderId="32" xfId="0" applyNumberFormat="1" applyBorder="1"/>
    <xf numFmtId="166" fontId="18" fillId="0" borderId="32" xfId="0" applyNumberFormat="1" applyFont="1" applyBorder="1" applyAlignment="1">
      <alignment horizontal="center" vertical="center"/>
    </xf>
    <xf numFmtId="0" fontId="0" fillId="0" borderId="32" xfId="0" applyBorder="1"/>
    <xf numFmtId="164" fontId="0" fillId="0" borderId="32" xfId="1" applyNumberFormat="1" applyFont="1" applyFill="1" applyBorder="1"/>
    <xf numFmtId="10" fontId="0" fillId="0" borderId="0" xfId="1" applyNumberFormat="1" applyFont="1" applyBorder="1"/>
    <xf numFmtId="167" fontId="0" fillId="0" borderId="0" xfId="0" applyNumberFormat="1"/>
    <xf numFmtId="166" fontId="18" fillId="0" borderId="0" xfId="0" applyNumberFormat="1" applyFont="1" applyAlignment="1">
      <alignment horizontal="center" vertical="center"/>
    </xf>
    <xf numFmtId="164" fontId="0" fillId="0" borderId="0" xfId="1" applyNumberFormat="1" applyFont="1" applyFill="1" applyBorder="1"/>
    <xf numFmtId="0" fontId="0" fillId="0" borderId="0" xfId="0" applyAlignment="1">
      <alignment horizontal="center"/>
    </xf>
    <xf numFmtId="0" fontId="0" fillId="5" borderId="0" xfId="0" applyFill="1"/>
    <xf numFmtId="10" fontId="0" fillId="5" borderId="0" xfId="0" applyNumberFormat="1" applyFill="1"/>
    <xf numFmtId="167" fontId="18" fillId="5" borderId="0" xfId="0" applyNumberFormat="1" applyFont="1" applyFill="1"/>
    <xf numFmtId="0" fontId="0" fillId="5" borderId="0" xfId="0" applyFill="1" applyAlignment="1">
      <alignment horizontal="center" vertical="center"/>
    </xf>
    <xf numFmtId="0" fontId="25" fillId="0" borderId="0" xfId="0" applyFont="1"/>
    <xf numFmtId="0" fontId="25" fillId="4" borderId="0" xfId="0" applyFont="1" applyFill="1"/>
    <xf numFmtId="0" fontId="26" fillId="4" borderId="0" xfId="0" applyFont="1" applyFill="1"/>
    <xf numFmtId="0" fontId="27" fillId="4" borderId="0" xfId="0" applyFont="1" applyFill="1" applyAlignment="1">
      <alignment horizontal="center"/>
    </xf>
    <xf numFmtId="0" fontId="25" fillId="4" borderId="0" xfId="0" applyFont="1" applyFill="1" applyAlignment="1">
      <alignment horizontal="center" vertical="center"/>
    </xf>
    <xf numFmtId="0" fontId="28" fillId="4" borderId="0" xfId="0" applyFont="1" applyFill="1"/>
    <xf numFmtId="164" fontId="0" fillId="0" borderId="0" xfId="0" applyNumberFormat="1"/>
    <xf numFmtId="168" fontId="0" fillId="0" borderId="0" xfId="0" applyNumberFormat="1"/>
    <xf numFmtId="0" fontId="0" fillId="0" borderId="0" xfId="0" applyProtection="1">
      <protection locked="0"/>
    </xf>
    <xf numFmtId="164" fontId="0" fillId="0" borderId="0" xfId="1" applyNumberFormat="1" applyFont="1" applyProtection="1">
      <protection locked="0"/>
    </xf>
    <xf numFmtId="0" fontId="7" fillId="4" borderId="25" xfId="0" applyFont="1" applyFill="1" applyBorder="1" applyProtection="1">
      <protection locked="0"/>
    </xf>
    <xf numFmtId="0" fontId="7" fillId="4" borderId="26" xfId="0" applyFont="1" applyFill="1" applyBorder="1" applyProtection="1">
      <protection locked="0"/>
    </xf>
    <xf numFmtId="0" fontId="7" fillId="4" borderId="27" xfId="0" applyFont="1" applyFill="1" applyBorder="1" applyProtection="1">
      <protection locked="0"/>
    </xf>
    <xf numFmtId="0" fontId="0" fillId="6" borderId="0" xfId="0" applyFill="1" applyProtection="1">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9" fontId="0" fillId="0" borderId="4" xfId="0" applyNumberFormat="1" applyBorder="1" applyProtection="1">
      <protection locked="0"/>
    </xf>
    <xf numFmtId="0" fontId="17" fillId="3" borderId="24" xfId="0" applyFont="1" applyFill="1" applyBorder="1" applyProtection="1">
      <protection locked="0"/>
    </xf>
    <xf numFmtId="0" fontId="20" fillId="3" borderId="1" xfId="0" applyFont="1" applyFill="1" applyBorder="1" applyProtection="1">
      <protection locked="0"/>
    </xf>
    <xf numFmtId="0" fontId="0" fillId="0" borderId="7" xfId="0" applyBorder="1" applyProtection="1">
      <protection locked="0"/>
    </xf>
    <xf numFmtId="0" fontId="8" fillId="3" borderId="19" xfId="0" applyFont="1" applyFill="1" applyBorder="1" applyAlignment="1" applyProtection="1">
      <alignment horizontal="center"/>
      <protection locked="0"/>
    </xf>
    <xf numFmtId="0" fontId="9" fillId="3" borderId="20" xfId="0" applyFont="1" applyFill="1" applyBorder="1" applyAlignment="1" applyProtection="1">
      <alignment horizontal="center"/>
      <protection locked="0"/>
    </xf>
    <xf numFmtId="0" fontId="10" fillId="3" borderId="20" xfId="0" applyFont="1" applyFill="1" applyBorder="1" applyAlignment="1" applyProtection="1">
      <alignment horizontal="center"/>
      <protection locked="0"/>
    </xf>
    <xf numFmtId="0" fontId="11" fillId="3" borderId="21" xfId="0" applyFont="1" applyFill="1" applyBorder="1" applyAlignment="1" applyProtection="1">
      <alignment horizontal="center"/>
      <protection locked="0"/>
    </xf>
    <xf numFmtId="0" fontId="20" fillId="3" borderId="7" xfId="0" applyFont="1" applyFill="1" applyBorder="1" applyProtection="1">
      <protection locked="0"/>
    </xf>
    <xf numFmtId="0" fontId="20" fillId="0" borderId="3" xfId="0" applyFont="1" applyBorder="1" applyProtection="1">
      <protection locked="0"/>
    </xf>
    <xf numFmtId="0" fontId="20" fillId="0" borderId="6" xfId="0" applyFont="1" applyBorder="1" applyProtection="1">
      <protection locked="0"/>
    </xf>
    <xf numFmtId="0" fontId="20" fillId="0" borderId="4" xfId="0" applyFont="1" applyBorder="1" applyProtection="1">
      <protection locked="0"/>
    </xf>
    <xf numFmtId="0" fontId="0" fillId="0" borderId="0" xfId="0" applyAlignment="1" applyProtection="1">
      <alignment horizontal="right"/>
      <protection locked="0"/>
    </xf>
    <xf numFmtId="0" fontId="4" fillId="0" borderId="0" xfId="0" applyFont="1" applyProtection="1">
      <protection locked="0"/>
    </xf>
    <xf numFmtId="9" fontId="0" fillId="0" borderId="0" xfId="1" applyFont="1" applyProtection="1">
      <protection locked="0"/>
    </xf>
    <xf numFmtId="0" fontId="3" fillId="0" borderId="0" xfId="0" applyFont="1" applyProtection="1">
      <protection locked="0"/>
    </xf>
    <xf numFmtId="0" fontId="7" fillId="3" borderId="16" xfId="0" applyFont="1" applyFill="1" applyBorder="1" applyProtection="1">
      <protection locked="0"/>
    </xf>
    <xf numFmtId="0" fontId="7" fillId="3" borderId="17" xfId="0" applyFont="1" applyFill="1" applyBorder="1" applyProtection="1">
      <protection locked="0"/>
    </xf>
    <xf numFmtId="0" fontId="7" fillId="3" borderId="18" xfId="0" applyFont="1" applyFill="1" applyBorder="1" applyProtection="1">
      <protection locked="0"/>
    </xf>
    <xf numFmtId="0" fontId="6" fillId="0" borderId="0" xfId="0" applyFont="1" applyProtection="1">
      <protection locked="0"/>
    </xf>
    <xf numFmtId="0" fontId="12" fillId="0" borderId="0" xfId="0" applyFont="1" applyProtection="1">
      <protection locked="0"/>
    </xf>
    <xf numFmtId="0" fontId="2" fillId="0" borderId="0" xfId="0" applyFont="1" applyProtection="1">
      <protection locked="0"/>
    </xf>
    <xf numFmtId="0" fontId="23" fillId="4" borderId="28" xfId="0" applyFont="1" applyFill="1" applyBorder="1" applyAlignment="1" applyProtection="1">
      <alignment horizontal="center"/>
      <protection locked="0"/>
    </xf>
    <xf numFmtId="0" fontId="23" fillId="4" borderId="29" xfId="0" applyFont="1" applyFill="1" applyBorder="1" applyAlignment="1" applyProtection="1">
      <alignment horizontal="center"/>
      <protection locked="0"/>
    </xf>
    <xf numFmtId="0" fontId="29" fillId="4" borderId="0" xfId="0" applyFont="1" applyFill="1" applyAlignment="1">
      <alignment horizontal="center" vertical="center" wrapText="1"/>
    </xf>
    <xf numFmtId="9" fontId="22" fillId="4" borderId="20" xfId="0" applyNumberFormat="1" applyFont="1" applyFill="1" applyBorder="1" applyProtection="1"/>
    <xf numFmtId="165" fontId="22" fillId="4" borderId="20" xfId="1" applyNumberFormat="1" applyFont="1" applyFill="1" applyBorder="1" applyProtection="1"/>
    <xf numFmtId="10" fontId="22" fillId="4" borderId="21" xfId="1" applyNumberFormat="1" applyFont="1" applyFill="1" applyBorder="1" applyProtection="1"/>
    <xf numFmtId="0" fontId="20" fillId="4" borderId="12" xfId="0" applyFont="1" applyFill="1" applyBorder="1" applyProtection="1"/>
    <xf numFmtId="9" fontId="20" fillId="4" borderId="11" xfId="0" applyNumberFormat="1" applyFont="1" applyFill="1" applyBorder="1" applyProtection="1"/>
    <xf numFmtId="9" fontId="20" fillId="4" borderId="13" xfId="0" applyNumberFormat="1" applyFont="1" applyFill="1" applyBorder="1" applyProtection="1"/>
    <xf numFmtId="9" fontId="20" fillId="4" borderId="14" xfId="0" applyNumberFormat="1" applyFont="1" applyFill="1" applyBorder="1" applyProtection="1"/>
    <xf numFmtId="0" fontId="20" fillId="4" borderId="0" xfId="0" applyFont="1" applyFill="1" applyProtection="1"/>
    <xf numFmtId="0" fontId="20" fillId="4" borderId="8" xfId="0" applyFont="1" applyFill="1" applyBorder="1" applyProtection="1"/>
    <xf numFmtId="9" fontId="20" fillId="4" borderId="15" xfId="0" applyNumberFormat="1" applyFont="1" applyFill="1" applyBorder="1" applyProtection="1"/>
    <xf numFmtId="0" fontId="20" fillId="4" borderId="6" xfId="0" applyFont="1" applyFill="1" applyBorder="1" applyProtection="1"/>
    <xf numFmtId="0" fontId="20" fillId="4" borderId="4" xfId="0" applyFont="1" applyFill="1" applyBorder="1" applyProtection="1"/>
    <xf numFmtId="0" fontId="0" fillId="0" borderId="0" xfId="0" applyProtection="1"/>
    <xf numFmtId="0" fontId="0" fillId="0" borderId="8" xfId="0" applyBorder="1" applyProtection="1"/>
    <xf numFmtId="0" fontId="20" fillId="3" borderId="0" xfId="0" applyFont="1" applyFill="1" applyProtection="1"/>
    <xf numFmtId="164" fontId="20" fillId="3" borderId="0" xfId="0" applyNumberFormat="1" applyFont="1" applyFill="1" applyProtection="1"/>
    <xf numFmtId="0" fontId="13" fillId="3" borderId="22" xfId="0" applyFont="1" applyFill="1" applyBorder="1" applyProtection="1"/>
    <xf numFmtId="0" fontId="14" fillId="3" borderId="22" xfId="0" applyFont="1" applyFill="1" applyBorder="1" applyProtection="1"/>
    <xf numFmtId="0" fontId="15" fillId="3" borderId="22" xfId="0" applyFont="1" applyFill="1" applyBorder="1" applyProtection="1"/>
    <xf numFmtId="0" fontId="16" fillId="3" borderId="23" xfId="0" applyFont="1" applyFill="1" applyBorder="1" applyProtection="1"/>
    <xf numFmtId="165" fontId="21" fillId="0" borderId="6" xfId="1" applyNumberFormat="1" applyFont="1" applyBorder="1" applyProtection="1"/>
    <xf numFmtId="165" fontId="21" fillId="0" borderId="31" xfId="1" applyNumberFormat="1" applyFont="1" applyBorder="1" applyProtection="1"/>
    <xf numFmtId="0" fontId="0" fillId="0" borderId="5" xfId="0" applyBorder="1" applyProtection="1"/>
    <xf numFmtId="0" fontId="0" fillId="0" borderId="2" xfId="0" applyBorder="1" applyProtection="1"/>
    <xf numFmtId="0" fontId="13" fillId="3" borderId="30" xfId="0" applyFont="1" applyFill="1" applyBorder="1" applyProtection="1"/>
    <xf numFmtId="0" fontId="24" fillId="3" borderId="0" xfId="0" applyFont="1" applyFill="1" applyAlignment="1" applyProtection="1">
      <alignment wrapText="1"/>
      <protection locked="0"/>
    </xf>
  </cellXfs>
  <cellStyles count="2">
    <cellStyle name="Normal" xfId="0" builtinId="0"/>
    <cellStyle name="Percent" xfId="1" builtinId="5"/>
  </cellStyles>
  <dxfs count="10">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Aptos Narrow"/>
        <family val="2"/>
        <scheme val="minor"/>
      </font>
      <fill>
        <patternFill patternType="solid">
          <fgColor theme="4"/>
          <bgColor theme="4"/>
        </patternFill>
      </fill>
    </dxf>
    <dxf>
      <numFmt numFmtId="166" formatCode="_([$$-409]* #,##0.00_);_([$$-409]* \(#,##0.00\);_([$$-409]* &quot;-&quot;??_);_(@_)"/>
    </dxf>
    <dxf>
      <font>
        <b val="0"/>
        <i val="0"/>
        <strike val="0"/>
        <condense val="0"/>
        <extend val="0"/>
        <outline val="0"/>
        <shadow val="0"/>
        <u val="none"/>
        <vertAlign val="baseline"/>
        <sz val="11"/>
        <color theme="1"/>
        <name val="Aptos Narrow"/>
        <family val="2"/>
        <scheme val="minor"/>
      </font>
      <numFmt numFmtId="14" formatCode="0.00%"/>
    </dxf>
    <dxf>
      <numFmt numFmtId="167" formatCode="_([$$-409]* #,##0_);_([$$-409]* \(#,##0\);_([$$-409]* &quot;-&quot;_);_(@_)"/>
    </dxf>
    <dxf>
      <numFmt numFmtId="166" formatCode="_([$$-409]* #,##0.00_);_([$$-409]* \(#,##0.00\);_([$$-409]*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0.00000%"/>
      <fill>
        <patternFill patternType="none">
          <fgColor indexed="64"/>
          <bgColor indexed="65"/>
        </patternFill>
      </fill>
    </dxf>
    <dxf>
      <alignment horizontal="center" textRotation="0" wrapText="0" indent="0" justifyLastLine="0" shrinkToFit="0" readingOrder="0"/>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aredStrings" Target="sharedString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Array" Target="richData/rdarray.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cap="none" spc="20" baseline="0">
                <a:solidFill>
                  <a:schemeClr val="tx2">
                    <a:lumMod val="75000"/>
                    <a:lumOff val="25000"/>
                  </a:schemeClr>
                </a:solidFill>
                <a:latin typeface="ACADEMY ENGRAVED LET PLAIN:1.0" panose="02000000000000000000" pitchFamily="2" charset="0"/>
              </a:rPr>
              <a:t>Holding Market Value by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'Stock Portfolio Optimization '!$B$53</c:f>
              <c:strCache>
                <c:ptCount val="1"/>
                <c:pt idx="0">
                  <c:v>Market Value </c:v>
                </c:pt>
              </c:strCache>
            </c:strRef>
          </c:tx>
          <c:spPr>
            <a:solidFill>
              <a:schemeClr val="accent1"/>
            </a:solidFill>
            <a:ln>
              <a:noFill/>
            </a:ln>
            <a:effectLst/>
          </c:spPr>
          <c:invertIfNegative val="0"/>
          <c:cat>
            <c:strRef>
              <c:f>'Stock Portfolio Optimization '!$A$54:$A$76</c:f>
              <c:strCache>
                <c:ptCount val="22"/>
                <c:pt idx="0">
                  <c:v>Software &amp; IT Services</c:v>
                </c:pt>
                <c:pt idx="1">
                  <c:v>Semiconductors &amp; Semiconductor Equipment</c:v>
                </c:pt>
                <c:pt idx="2">
                  <c:v>Diversified Retail</c:v>
                </c:pt>
                <c:pt idx="3">
                  <c:v>Computers, Phones &amp; Household Electronics</c:v>
                </c:pt>
                <c:pt idx="4">
                  <c:v>Telecommunications Services</c:v>
                </c:pt>
                <c:pt idx="5">
                  <c:v>Banking Services</c:v>
                </c:pt>
                <c:pt idx="6">
                  <c:v>Consumer Goods Conglomerates</c:v>
                </c:pt>
                <c:pt idx="7">
                  <c:v>Professional &amp; Commercial Services</c:v>
                </c:pt>
                <c:pt idx="8">
                  <c:v>Oil &amp; Gas</c:v>
                </c:pt>
                <c:pt idx="9">
                  <c:v>Communications &amp; Networking</c:v>
                </c:pt>
                <c:pt idx="10">
                  <c:v>Investment Banking &amp; Investment Services</c:v>
                </c:pt>
                <c:pt idx="11">
                  <c:v>Pharmaceuticals</c:v>
                </c:pt>
                <c:pt idx="12">
                  <c:v>Specialty Retailers</c:v>
                </c:pt>
                <c:pt idx="13">
                  <c:v>Hotels &amp; Entertainment Services</c:v>
                </c:pt>
                <c:pt idx="14">
                  <c:v>Textiles &amp; Apparel</c:v>
                </c:pt>
                <c:pt idx="15">
                  <c:v>Residential &amp; Commercial REIT</c:v>
                </c:pt>
                <c:pt idx="16">
                  <c:v>Aerospace &amp; Defense</c:v>
                </c:pt>
                <c:pt idx="17">
                  <c:v>Beverages</c:v>
                </c:pt>
                <c:pt idx="18">
                  <c:v>Personal &amp; Household Products &amp; Services</c:v>
                </c:pt>
                <c:pt idx="19">
                  <c:v>Media &amp; Publishing</c:v>
                </c:pt>
                <c:pt idx="20">
                  <c:v>Healthcare Providers &amp; Services</c:v>
                </c:pt>
                <c:pt idx="21">
                  <c:v>Food &amp; Drug Retailing</c:v>
                </c:pt>
              </c:strCache>
            </c:strRef>
          </c:cat>
          <c:val>
            <c:numRef>
              <c:f>'Stock Portfolio Optimization '!$B$54:$B$76</c:f>
              <c:numCache>
                <c:formatCode>_("$"* #,##0.00_);_("$"* \(#,##0.00\);_("$"* "-"??_);_(@_)</c:formatCode>
                <c:ptCount val="23"/>
                <c:pt idx="0">
                  <c:v>12280083736632</c:v>
                </c:pt>
                <c:pt idx="1">
                  <c:v>3710548674910</c:v>
                </c:pt>
                <c:pt idx="2">
                  <c:v>2922261625208</c:v>
                </c:pt>
                <c:pt idx="3">
                  <c:v>3725898471800</c:v>
                </c:pt>
                <c:pt idx="4">
                  <c:v>345604408170</c:v>
                </c:pt>
                <c:pt idx="5">
                  <c:v>1359029100870</c:v>
                </c:pt>
                <c:pt idx="6">
                  <c:v>997807500000</c:v>
                </c:pt>
                <c:pt idx="7">
                  <c:v>152010755239</c:v>
                </c:pt>
                <c:pt idx="8">
                  <c:v>771711561990</c:v>
                </c:pt>
                <c:pt idx="9">
                  <c:v>233070998160</c:v>
                </c:pt>
                <c:pt idx="10">
                  <c:v>527413825939</c:v>
                </c:pt>
                <c:pt idx="11">
                  <c:v>496289791600</c:v>
                </c:pt>
                <c:pt idx="12">
                  <c:v>569558935882</c:v>
                </c:pt>
                <c:pt idx="13">
                  <c:v>323911278278</c:v>
                </c:pt>
                <c:pt idx="14">
                  <c:v>117226502480</c:v>
                </c:pt>
                <c:pt idx="15">
                  <c:v>207407629500</c:v>
                </c:pt>
                <c:pt idx="16">
                  <c:v>124052767924</c:v>
                </c:pt>
                <c:pt idx="17">
                  <c:v>270077332915</c:v>
                </c:pt>
                <c:pt idx="18">
                  <c:v>401522885790</c:v>
                </c:pt>
                <c:pt idx="19">
                  <c:v>207705648605</c:v>
                </c:pt>
                <c:pt idx="20">
                  <c:v>490842834248</c:v>
                </c:pt>
                <c:pt idx="21">
                  <c:v>761564992800</c:v>
                </c:pt>
              </c:numCache>
            </c:numRef>
          </c:val>
          <c:extLst>
            <c:ext xmlns:c16="http://schemas.microsoft.com/office/drawing/2014/chart" uri="{C3380CC4-5D6E-409C-BE32-E72D297353CC}">
              <c16:uniqueId val="{00000000-B0BD-4547-81C1-64CC0050E8D0}"/>
            </c:ext>
          </c:extLst>
        </c:ser>
        <c:dLbls>
          <c:showLegendKey val="0"/>
          <c:showVal val="0"/>
          <c:showCatName val="0"/>
          <c:showSerName val="0"/>
          <c:showPercent val="0"/>
          <c:showBubbleSize val="0"/>
        </c:dLbls>
        <c:gapWidth val="219"/>
        <c:overlap val="-27"/>
        <c:axId val="935145712"/>
        <c:axId val="935147424"/>
      </c:barChart>
      <c:catAx>
        <c:axId val="93514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47424"/>
        <c:crosses val="autoZero"/>
        <c:auto val="1"/>
        <c:lblAlgn val="ctr"/>
        <c:lblOffset val="100"/>
        <c:noMultiLvlLbl val="0"/>
      </c:catAx>
      <c:valAx>
        <c:axId val="935147424"/>
        <c:scaling>
          <c:orientation val="minMax"/>
          <c:max val="1200000000000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45712"/>
        <c:crosses val="autoZero"/>
        <c:crossBetween val="between"/>
        <c:majorUnit val="10000000000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533400</xdr:colOff>
      <xdr:row>52</xdr:row>
      <xdr:rowOff>50800</xdr:rowOff>
    </xdr:from>
    <xdr:to>
      <xdr:col>5</xdr:col>
      <xdr:colOff>3060700</xdr:colOff>
      <xdr:row>76</xdr:row>
      <xdr:rowOff>63500</xdr:rowOff>
    </xdr:to>
    <xdr:graphicFrame macro="">
      <xdr:nvGraphicFramePr>
        <xdr:cNvPr id="2" name="Chart 1">
          <a:extLst>
            <a:ext uri="{FF2B5EF4-FFF2-40B4-BE49-F238E27FC236}">
              <a16:creationId xmlns:a16="http://schemas.microsoft.com/office/drawing/2014/main" id="{92C7A2BE-1BD2-894C-B6CB-73D857BCDC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114300</xdr:colOff>
          <xdr:row>45</xdr:row>
          <xdr:rowOff>139700</xdr:rowOff>
        </xdr:from>
        <xdr:to>
          <xdr:col>8</xdr:col>
          <xdr:colOff>939800</xdr:colOff>
          <xdr:row>47</xdr:row>
          <xdr:rowOff>215900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en-US" sz="2200" b="0" i="0" u="none" strike="noStrike" baseline="0">
                  <a:solidFill>
                    <a:srgbClr val="000000"/>
                  </a:solidFill>
                  <a:latin typeface="Academy Engraved LET Plain:1.0"/>
                </a:rPr>
                <a:t>Optimize</a:t>
              </a:r>
            </a:p>
            <a:p>
              <a:pPr algn="ctr" rtl="0">
                <a:defRPr sz="1000"/>
              </a:pPr>
              <a:endParaRPr lang="en-US" sz="2200" b="0" i="0" u="none" strike="noStrike" baseline="0">
                <a:solidFill>
                  <a:srgbClr val="000000"/>
                </a:solidFill>
                <a:latin typeface="Academy Engraved LET Plain:1.0"/>
              </a:endParaRPr>
            </a:p>
          </xdr:txBody>
        </xdr:sp>
        <xdr:clientData fPrintsWithSheet="0"/>
      </xdr:twoCellAnchor>
    </mc:Choice>
    <mc:Fallback/>
  </mc:AlternateContent>
  <xdr:oneCellAnchor>
    <xdr:from>
      <xdr:col>0</xdr:col>
      <xdr:colOff>444500</xdr:colOff>
      <xdr:row>0</xdr:row>
      <xdr:rowOff>0</xdr:rowOff>
    </xdr:from>
    <xdr:ext cx="10378226" cy="990600"/>
    <xdr:sp macro="" textlink="">
      <xdr:nvSpPr>
        <xdr:cNvPr id="3" name="Rectangle 2">
          <a:extLst>
            <a:ext uri="{FF2B5EF4-FFF2-40B4-BE49-F238E27FC236}">
              <a16:creationId xmlns:a16="http://schemas.microsoft.com/office/drawing/2014/main" id="{59FCBEBA-F6BA-8E47-B7C9-C3FD70791326}"/>
            </a:ext>
          </a:extLst>
        </xdr:cNvPr>
        <xdr:cNvSpPr/>
      </xdr:nvSpPr>
      <xdr:spPr>
        <a:xfrm>
          <a:off x="444500" y="0"/>
          <a:ext cx="10378226" cy="990600"/>
        </a:xfrm>
        <a:prstGeom prst="rect">
          <a:avLst/>
        </a:prstGeom>
        <a:solidFill>
          <a:schemeClr val="bg1">
            <a:lumMod val="95000"/>
            <a:alpha val="58543"/>
          </a:schemeClr>
        </a:solidFill>
        <a:ln>
          <a:noFill/>
        </a:ln>
      </xdr:spPr>
      <xdr:style>
        <a:lnRef idx="2">
          <a:schemeClr val="accent5"/>
        </a:lnRef>
        <a:fillRef idx="1">
          <a:schemeClr val="lt1"/>
        </a:fillRef>
        <a:effectRef idx="0">
          <a:schemeClr val="accent5"/>
        </a:effectRef>
        <a:fontRef idx="minor">
          <a:schemeClr val="dk1"/>
        </a:fontRef>
      </xdr:style>
      <xdr:txBody>
        <a:bodyPr wrap="none" lIns="91440" tIns="45720" rIns="91440" bIns="45720">
          <a:noAutofit/>
        </a:bodyPr>
        <a:lstStyle/>
        <a:p>
          <a:pPr algn="ctr"/>
          <a:r>
            <a:rPr lang="en-US" sz="5400" b="1" cap="none" spc="0">
              <a:ln w="12700" cmpd="sng">
                <a:solidFill>
                  <a:schemeClr val="tx1"/>
                </a:solidFill>
                <a:prstDash val="solid"/>
              </a:ln>
              <a:solidFill>
                <a:schemeClr val="tx2">
                  <a:lumMod val="10000"/>
                  <a:lumOff val="90000"/>
                </a:schemeClr>
              </a:solidFill>
              <a:effectLst/>
              <a:latin typeface="Baskerville" panose="02020502070401020303" pitchFamily="18" charset="0"/>
              <a:ea typeface="Baskerville" panose="02020502070401020303" pitchFamily="18" charset="0"/>
            </a:rPr>
            <a:t>Stock Optimization Dashboard</a:t>
          </a:r>
        </a:p>
      </xdr:txBody>
    </xdr:sp>
    <xdr:clientData/>
  </xdr:oneCellAnchor>
  <xdr:twoCellAnchor>
    <xdr:from>
      <xdr:col>0</xdr:col>
      <xdr:colOff>304800</xdr:colOff>
      <xdr:row>0</xdr:row>
      <xdr:rowOff>850900</xdr:rowOff>
    </xdr:from>
    <xdr:to>
      <xdr:col>8</xdr:col>
      <xdr:colOff>652835</xdr:colOff>
      <xdr:row>1</xdr:row>
      <xdr:rowOff>736675</xdr:rowOff>
    </xdr:to>
    <xdr:sp macro="" textlink="">
      <xdr:nvSpPr>
        <xdr:cNvPr id="4" name="Curved Down Ribbon 3">
          <a:extLst>
            <a:ext uri="{FF2B5EF4-FFF2-40B4-BE49-F238E27FC236}">
              <a16:creationId xmlns:a16="http://schemas.microsoft.com/office/drawing/2014/main" id="{843908A7-D4ED-AA46-B714-372F8AADEE4E}"/>
            </a:ext>
          </a:extLst>
        </xdr:cNvPr>
        <xdr:cNvSpPr/>
      </xdr:nvSpPr>
      <xdr:spPr>
        <a:xfrm>
          <a:off x="304800" y="850900"/>
          <a:ext cx="10254035" cy="1066875"/>
        </a:xfrm>
        <a:prstGeom prst="ellipseRibbon">
          <a:avLst>
            <a:gd name="adj1" fmla="val 23685"/>
            <a:gd name="adj2" fmla="val 50000"/>
            <a:gd name="adj3" fmla="val 12500"/>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400" b="1" cap="none" spc="0">
              <a:ln w="0"/>
              <a:solidFill>
                <a:schemeClr val="tx1"/>
              </a:solidFill>
              <a:effectLst/>
              <a:latin typeface="ACADEMY ENGRAVED LET PLAIN:1.0" panose="02000000000000000000" pitchFamily="2" charset="0"/>
            </a:rPr>
            <a:t>Step 1: Select </a:t>
          </a:r>
          <a:r>
            <a:rPr lang="en-IN" sz="1400" b="1" cap="none" spc="0" baseline="0">
              <a:ln w="0"/>
              <a:solidFill>
                <a:schemeClr val="tx1"/>
              </a:solidFill>
              <a:effectLst/>
              <a:latin typeface="ACADEMY ENGRAVED LET PLAIN:1.0" panose="02000000000000000000" pitchFamily="2" charset="0"/>
            </a:rPr>
            <a:t> your 4 stocks you want to optimize </a:t>
          </a:r>
          <a:r>
            <a:rPr lang="en-IN" sz="1400" b="1" cap="none" spc="0">
              <a:ln w="0"/>
              <a:solidFill>
                <a:schemeClr val="tx1"/>
              </a:solidFill>
              <a:effectLst/>
              <a:latin typeface="ACADEMY ENGRAVED LET PLAIN:1.0" panose="02000000000000000000" pitchFamily="2" charset="0"/>
            </a:rPr>
            <a:t>.</a:t>
          </a:r>
        </a:p>
        <a:p>
          <a:r>
            <a:rPr lang="en-IN" sz="1400" b="1" cap="none" spc="0">
              <a:ln w="0"/>
              <a:solidFill>
                <a:schemeClr val="tx1"/>
              </a:solidFill>
              <a:effectLst/>
              <a:latin typeface="ACADEMY ENGRAVED LET PLAIN:1.0" panose="02000000000000000000" pitchFamily="2" charset="0"/>
            </a:rPr>
            <a:t>Step 2: Click the "Optimize" button.</a:t>
          </a:r>
        </a:p>
        <a:p>
          <a:r>
            <a:rPr lang="en-IN" sz="1400" b="1" cap="none" spc="0">
              <a:ln w="0"/>
              <a:solidFill>
                <a:schemeClr val="tx1"/>
              </a:solidFill>
              <a:effectLst/>
              <a:latin typeface="ACADEMY ENGRAVED LET PLAIN:1.0" panose="02000000000000000000" pitchFamily="2" charset="0"/>
            </a:rPr>
            <a:t>Step 3: View the results in the metrics section.</a:t>
          </a:r>
        </a:p>
        <a:p>
          <a:pPr algn="l"/>
          <a:endParaRPr lang="en-US" sz="1400" kern="1200">
            <a:latin typeface="ACADEMY ENGRAVED LET PLAIN:1.0" panose="02000000000000000000" pitchFamily="2" charset="0"/>
          </a:endParaRPr>
        </a:p>
      </xdr:txBody>
    </xdr:sp>
    <xdr:clientData/>
  </xdr:twoCellAnchor>
  <xdr:twoCellAnchor>
    <xdr:from>
      <xdr:col>2</xdr:col>
      <xdr:colOff>203200</xdr:colOff>
      <xdr:row>2</xdr:row>
      <xdr:rowOff>152400</xdr:rowOff>
    </xdr:from>
    <xdr:to>
      <xdr:col>3</xdr:col>
      <xdr:colOff>1143786</xdr:colOff>
      <xdr:row>5</xdr:row>
      <xdr:rowOff>298515</xdr:rowOff>
    </xdr:to>
    <xdr:sp macro="" textlink="">
      <xdr:nvSpPr>
        <xdr:cNvPr id="5" name="Left Arrow Callout 4">
          <a:extLst>
            <a:ext uri="{FF2B5EF4-FFF2-40B4-BE49-F238E27FC236}">
              <a16:creationId xmlns:a16="http://schemas.microsoft.com/office/drawing/2014/main" id="{7BEAC23C-4094-AB46-B035-060AA0D46CA8}"/>
            </a:ext>
          </a:extLst>
        </xdr:cNvPr>
        <xdr:cNvSpPr/>
      </xdr:nvSpPr>
      <xdr:spPr>
        <a:xfrm>
          <a:off x="3073400" y="2514600"/>
          <a:ext cx="1994686" cy="1212915"/>
        </a:xfrm>
        <a:prstGeom prst="leftArrowCallout">
          <a:avLst>
            <a:gd name="adj1" fmla="val 25000"/>
            <a:gd name="adj2" fmla="val 23305"/>
            <a:gd name="adj3" fmla="val 25000"/>
            <a:gd name="adj4" fmla="val 64977"/>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kern="1200">
              <a:solidFill>
                <a:schemeClr val="tx1"/>
              </a:solidFill>
              <a:latin typeface="ACADEMY ENGRAVED LET PLAIN:1.0" panose="02000000000000000000" pitchFamily="2" charset="0"/>
            </a:rPr>
            <a:t>1.</a:t>
          </a:r>
        </a:p>
        <a:p>
          <a:pPr algn="ctr"/>
          <a:r>
            <a:rPr lang="en-US" sz="1400" b="1" kern="1200">
              <a:solidFill>
                <a:schemeClr val="tx1"/>
              </a:solidFill>
              <a:latin typeface="ACADEMY ENGRAVED LET PLAIN:1.0" panose="02000000000000000000" pitchFamily="2" charset="0"/>
            </a:rPr>
            <a:t>Choose</a:t>
          </a:r>
          <a:r>
            <a:rPr lang="en-US" sz="1400" b="1" kern="1200" baseline="0">
              <a:solidFill>
                <a:schemeClr val="tx1"/>
              </a:solidFill>
              <a:latin typeface="ACADEMY ENGRAVED LET PLAIN:1.0" panose="02000000000000000000" pitchFamily="2" charset="0"/>
            </a:rPr>
            <a:t> your 4 stocks from the dropdown </a:t>
          </a:r>
          <a:endParaRPr lang="en-US" sz="1400" b="1" kern="1200">
            <a:solidFill>
              <a:schemeClr val="tx1"/>
            </a:solidFill>
            <a:latin typeface="ACADEMY ENGRAVED LET PLAIN:1.0" panose="02000000000000000000" pitchFamily="2" charset="0"/>
          </a:endParaRPr>
        </a:p>
      </xdr:txBody>
    </xdr:sp>
    <xdr:clientData/>
  </xdr:twoCellAnchor>
  <xdr:twoCellAnchor>
    <xdr:from>
      <xdr:col>6</xdr:col>
      <xdr:colOff>248444</xdr:colOff>
      <xdr:row>20</xdr:row>
      <xdr:rowOff>15083</xdr:rowOff>
    </xdr:from>
    <xdr:to>
      <xdr:col>9</xdr:col>
      <xdr:colOff>198438</xdr:colOff>
      <xdr:row>24</xdr:row>
      <xdr:rowOff>218280</xdr:rowOff>
    </xdr:to>
    <xdr:sp macro="" textlink="">
      <xdr:nvSpPr>
        <xdr:cNvPr id="6" name="Rounded Rectangle 5">
          <a:extLst>
            <a:ext uri="{FF2B5EF4-FFF2-40B4-BE49-F238E27FC236}">
              <a16:creationId xmlns:a16="http://schemas.microsoft.com/office/drawing/2014/main" id="{4FECCC52-3E05-234C-B05C-849B33C7D2B4}"/>
            </a:ext>
          </a:extLst>
        </xdr:cNvPr>
        <xdr:cNvSpPr/>
      </xdr:nvSpPr>
      <xdr:spPr>
        <a:xfrm>
          <a:off x="9078913" y="6265864"/>
          <a:ext cx="2807494" cy="151288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latin typeface="ACADEMY ENGRAVED LET PLAIN:1.0" panose="02000000000000000000" pitchFamily="2" charset="0"/>
            </a:rPr>
            <a:t>% of Weight refers to the proportion of the total portfolio allocated to a specific stock or asset. </a:t>
          </a:r>
          <a:endParaRPr lang="en-US" sz="1600" b="1" kern="1200">
            <a:solidFill>
              <a:schemeClr val="tx1"/>
            </a:solidFill>
            <a:latin typeface="ACADEMY ENGRAVED LET PLAIN:1.0" panose="02000000000000000000" pitchFamily="2" charset="0"/>
          </a:endParaRPr>
        </a:p>
      </xdr:txBody>
    </xdr:sp>
    <xdr:clientData/>
  </xdr:twoCellAnchor>
  <xdr:twoCellAnchor>
    <xdr:from>
      <xdr:col>0</xdr:col>
      <xdr:colOff>474664</xdr:colOff>
      <xdr:row>31</xdr:row>
      <xdr:rowOff>100806</xdr:rowOff>
    </xdr:from>
    <xdr:to>
      <xdr:col>2</xdr:col>
      <xdr:colOff>853283</xdr:colOff>
      <xdr:row>39</xdr:row>
      <xdr:rowOff>178594</xdr:rowOff>
    </xdr:to>
    <xdr:sp macro="" textlink="">
      <xdr:nvSpPr>
        <xdr:cNvPr id="8" name="Rounded Rectangle 7">
          <a:extLst>
            <a:ext uri="{FF2B5EF4-FFF2-40B4-BE49-F238E27FC236}">
              <a16:creationId xmlns:a16="http://schemas.microsoft.com/office/drawing/2014/main" id="{98032C03-89BC-754E-A0BD-8D20F864E947}"/>
            </a:ext>
          </a:extLst>
        </xdr:cNvPr>
        <xdr:cNvSpPr/>
      </xdr:nvSpPr>
      <xdr:spPr>
        <a:xfrm>
          <a:off x="474664" y="9288462"/>
          <a:ext cx="4089400" cy="1863726"/>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u="sng" kern="1200">
              <a:solidFill>
                <a:schemeClr val="tx1"/>
              </a:solidFill>
              <a:latin typeface="ACADEMY ENGRAVED LET PLAIN:1.0" panose="02000000000000000000" pitchFamily="2" charset="0"/>
              <a:cs typeface="Apple Chancery" panose="03020702040506060504" pitchFamily="66" charset="-79"/>
            </a:rPr>
            <a:t>Minimize</a:t>
          </a:r>
          <a:r>
            <a:rPr lang="en-US" sz="1800" b="1" u="sng" kern="1200" baseline="0">
              <a:solidFill>
                <a:schemeClr val="tx1"/>
              </a:solidFill>
              <a:latin typeface="ACADEMY ENGRAVED LET PLAIN:1.0" panose="02000000000000000000" pitchFamily="2" charset="0"/>
              <a:cs typeface="Apple Chancery" panose="03020702040506060504" pitchFamily="66" charset="-79"/>
            </a:rPr>
            <a:t> Standard Deviation:</a:t>
          </a:r>
          <a:r>
            <a:rPr lang="en-US" sz="1800" b="1" u="none" kern="1200" baseline="0">
              <a:solidFill>
                <a:schemeClr val="tx1"/>
              </a:solidFill>
              <a:latin typeface="ACADEMY ENGRAVED LET PLAIN:1.0" panose="02000000000000000000" pitchFamily="2" charset="0"/>
              <a:cs typeface="Apple Chancery" panose="03020702040506060504" pitchFamily="66" charset="-79"/>
            </a:rPr>
            <a:t> </a:t>
          </a:r>
          <a:r>
            <a:rPr lang="en-US" sz="1800" b="1">
              <a:solidFill>
                <a:schemeClr val="tx1"/>
              </a:solidFill>
              <a:latin typeface="ACADEMY ENGRAVED LET PLAIN:1.0" panose="02000000000000000000" pitchFamily="2" charset="0"/>
            </a:rPr>
            <a:t>Reducing the overall risk or volatility of the portfolio. </a:t>
          </a:r>
          <a:endParaRPr lang="en-US" sz="1800" b="1" kern="1200" baseline="0">
            <a:solidFill>
              <a:schemeClr val="tx1"/>
            </a:solidFill>
            <a:latin typeface="ACADEMY ENGRAVED LET PLAIN:1.0" panose="02000000000000000000" pitchFamily="2" charset="0"/>
            <a:cs typeface="Apple Chancery" panose="03020702040506060504" pitchFamily="66" charset="-79"/>
          </a:endParaRPr>
        </a:p>
        <a:p>
          <a:pPr algn="l"/>
          <a:endParaRPr lang="en-US" sz="1800" b="1" kern="1200" baseline="0">
            <a:solidFill>
              <a:schemeClr val="tx1"/>
            </a:solidFill>
            <a:latin typeface="ACADEMY ENGRAVED LET PLAIN:1.0" panose="02000000000000000000" pitchFamily="2" charset="0"/>
            <a:cs typeface="Apple Chancery" panose="03020702040506060504" pitchFamily="66" charset="-79"/>
          </a:endParaRPr>
        </a:p>
        <a:p>
          <a:pPr algn="l"/>
          <a:r>
            <a:rPr lang="en-US" sz="1800" b="1" u="sng" kern="1200" baseline="0">
              <a:solidFill>
                <a:schemeClr val="tx1"/>
              </a:solidFill>
              <a:latin typeface="ACADEMY ENGRAVED LET PLAIN:1.0" panose="02000000000000000000" pitchFamily="2" charset="0"/>
              <a:cs typeface="Apple Chancery" panose="03020702040506060504" pitchFamily="66" charset="-79"/>
            </a:rPr>
            <a:t>Maximize Sharpe Ratio:</a:t>
          </a:r>
          <a:r>
            <a:rPr lang="en-US" sz="1800" b="1" u="none" kern="1200" baseline="0">
              <a:solidFill>
                <a:schemeClr val="tx1"/>
              </a:solidFill>
              <a:latin typeface="ACADEMY ENGRAVED LET PLAIN:1.0" panose="02000000000000000000" pitchFamily="2" charset="0"/>
              <a:cs typeface="Apple Chancery" panose="03020702040506060504" pitchFamily="66" charset="-79"/>
            </a:rPr>
            <a:t> </a:t>
          </a:r>
          <a:r>
            <a:rPr lang="en-US" sz="1800" b="1" kern="0" baseline="0">
              <a:solidFill>
                <a:schemeClr val="tx1"/>
              </a:solidFill>
              <a:latin typeface="ACADEMY ENGRAVED LET PLAIN:1.0" panose="02000000000000000000" pitchFamily="2" charset="0"/>
              <a:cs typeface="+mn-cs"/>
            </a:rPr>
            <a:t>M</a:t>
          </a:r>
          <a:r>
            <a:rPr lang="en-US" sz="1800" b="1">
              <a:solidFill>
                <a:schemeClr val="tx1"/>
              </a:solidFill>
              <a:latin typeface="ACADEMY ENGRAVED LET PLAIN:1.0" panose="02000000000000000000" pitchFamily="2" charset="0"/>
            </a:rPr>
            <a:t>easures how much excess return a portfolio generates per unit of risk</a:t>
          </a:r>
          <a:r>
            <a:rPr lang="en-US" sz="1800" b="1" kern="1200" baseline="0">
              <a:solidFill>
                <a:schemeClr val="tx1"/>
              </a:solidFill>
              <a:latin typeface="ACADEMY ENGRAVED LET PLAIN:1.0" panose="02000000000000000000" pitchFamily="2" charset="0"/>
              <a:cs typeface="Apple Chancery" panose="03020702040506060504" pitchFamily="66" charset="-79"/>
            </a:rPr>
            <a:t> </a:t>
          </a:r>
          <a:endParaRPr lang="en-US" sz="1800" b="1" kern="1200">
            <a:solidFill>
              <a:schemeClr val="tx1"/>
            </a:solidFill>
            <a:latin typeface="ACADEMY ENGRAVED LET PLAIN:1.0" panose="02000000000000000000" pitchFamily="2" charset="0"/>
            <a:cs typeface="Apple Chancery" panose="03020702040506060504" pitchFamily="66" charset="-79"/>
          </a:endParaRPr>
        </a:p>
        <a:p>
          <a:pPr algn="l"/>
          <a:endParaRPr lang="en-US" sz="1400" kern="1200"/>
        </a:p>
      </xdr:txBody>
    </xdr:sp>
    <xdr:clientData/>
  </xdr:twoCellAnchor>
  <xdr:twoCellAnchor>
    <xdr:from>
      <xdr:col>3</xdr:col>
      <xdr:colOff>119062</xdr:colOff>
      <xdr:row>31</xdr:row>
      <xdr:rowOff>178594</xdr:rowOff>
    </xdr:from>
    <xdr:to>
      <xdr:col>4</xdr:col>
      <xdr:colOff>1170781</xdr:colOff>
      <xdr:row>41</xdr:row>
      <xdr:rowOff>99219</xdr:rowOff>
    </xdr:to>
    <xdr:sp macro="" textlink="">
      <xdr:nvSpPr>
        <xdr:cNvPr id="12" name="Right Arrow Callout 11">
          <a:extLst>
            <a:ext uri="{FF2B5EF4-FFF2-40B4-BE49-F238E27FC236}">
              <a16:creationId xmlns:a16="http://schemas.microsoft.com/office/drawing/2014/main" id="{EFDB29E4-2586-9C60-0A3A-C8015F91CDC2}"/>
            </a:ext>
          </a:extLst>
        </xdr:cNvPr>
        <xdr:cNvSpPr/>
      </xdr:nvSpPr>
      <xdr:spPr>
        <a:xfrm>
          <a:off x="4881562" y="9366250"/>
          <a:ext cx="2381250" cy="2103438"/>
        </a:xfrm>
        <a:prstGeom prst="rightArrowCallout">
          <a:avLst>
            <a:gd name="adj1" fmla="val 14899"/>
            <a:gd name="adj2" fmla="val 18939"/>
            <a:gd name="adj3" fmla="val 19340"/>
            <a:gd name="adj4" fmla="val 64977"/>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kern="1200">
              <a:solidFill>
                <a:schemeClr val="tx1"/>
              </a:solidFill>
              <a:latin typeface="ACADEMY ENGRAVED LET PLAIN:1.0" panose="02000000000000000000" pitchFamily="2" charset="0"/>
            </a:rPr>
            <a:t>2.</a:t>
          </a:r>
        </a:p>
        <a:p>
          <a:pPr algn="ctr"/>
          <a:r>
            <a:rPr lang="en-US" sz="1800" b="1" kern="1200">
              <a:solidFill>
                <a:schemeClr val="tx1"/>
              </a:solidFill>
              <a:latin typeface="ACADEMY ENGRAVED LET PLAIN:1.0" panose="02000000000000000000" pitchFamily="2" charset="0"/>
            </a:rPr>
            <a:t>Choose</a:t>
          </a:r>
          <a:r>
            <a:rPr lang="en-US" sz="1800" b="1" kern="1200" baseline="0">
              <a:solidFill>
                <a:schemeClr val="tx1"/>
              </a:solidFill>
              <a:latin typeface="ACADEMY ENGRAVED LET PLAIN:1.0" panose="02000000000000000000" pitchFamily="2" charset="0"/>
            </a:rPr>
            <a:t> whether to Minimize Standard Deviation or Maximize Sharpe Ratio from the dropdown. </a:t>
          </a:r>
          <a:endParaRPr lang="en-US" sz="1800" b="1" kern="1200">
            <a:solidFill>
              <a:schemeClr val="tx1"/>
            </a:solidFill>
            <a:latin typeface="ACADEMY ENGRAVED LET PLAIN:1.0" panose="02000000000000000000" pitchFamily="2" charset="0"/>
          </a:endParaRPr>
        </a:p>
        <a:p>
          <a:pPr algn="l"/>
          <a:endParaRPr lang="en-US" sz="1400" b="1" kern="1200">
            <a:latin typeface="ACADEMY ENGRAVED LET PLAIN:1.0" panose="02000000000000000000" pitchFamily="2" charset="0"/>
          </a:endParaRPr>
        </a:p>
        <a:p>
          <a:pPr algn="l"/>
          <a:endParaRPr lang="en-US" sz="1400" b="1" kern="1200">
            <a:latin typeface="ACADEMY ENGRAVED LET PLAIN:1.0" panose="02000000000000000000" pitchFamily="2" charset="0"/>
          </a:endParaRPr>
        </a:p>
      </xdr:txBody>
    </xdr:sp>
    <xdr:clientData/>
  </xdr:twoCellAnchor>
  <xdr:twoCellAnchor>
    <xdr:from>
      <xdr:col>3</xdr:col>
      <xdr:colOff>198437</xdr:colOff>
      <xdr:row>43</xdr:row>
      <xdr:rowOff>249236</xdr:rowOff>
    </xdr:from>
    <xdr:to>
      <xdr:col>4</xdr:col>
      <xdr:colOff>1250156</xdr:colOff>
      <xdr:row>50</xdr:row>
      <xdr:rowOff>70643</xdr:rowOff>
    </xdr:to>
    <xdr:sp macro="" textlink="">
      <xdr:nvSpPr>
        <xdr:cNvPr id="14" name="Right Arrow Callout 13">
          <a:extLst>
            <a:ext uri="{FF2B5EF4-FFF2-40B4-BE49-F238E27FC236}">
              <a16:creationId xmlns:a16="http://schemas.microsoft.com/office/drawing/2014/main" id="{0474F592-3771-E842-B89C-2F716431656E}"/>
            </a:ext>
          </a:extLst>
        </xdr:cNvPr>
        <xdr:cNvSpPr/>
      </xdr:nvSpPr>
      <xdr:spPr>
        <a:xfrm>
          <a:off x="4960937" y="11806236"/>
          <a:ext cx="2385219" cy="1828007"/>
        </a:xfrm>
        <a:prstGeom prst="rightArrowCallout">
          <a:avLst>
            <a:gd name="adj1" fmla="val 14899"/>
            <a:gd name="adj2" fmla="val 18939"/>
            <a:gd name="adj3" fmla="val 19340"/>
            <a:gd name="adj4" fmla="val 64977"/>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kern="1200">
              <a:solidFill>
                <a:schemeClr val="tx1"/>
              </a:solidFill>
              <a:latin typeface="ACADEMY ENGRAVED LET PLAIN:1.0" panose="02000000000000000000" pitchFamily="2" charset="0"/>
            </a:rPr>
            <a:t>3.</a:t>
          </a:r>
        </a:p>
        <a:p>
          <a:pPr algn="ctr"/>
          <a:r>
            <a:rPr lang="en-US" sz="1400" b="1" kern="1200">
              <a:solidFill>
                <a:schemeClr val="tx1"/>
              </a:solidFill>
              <a:latin typeface="ACADEMY ENGRAVED LET PLAIN:1.0" panose="02000000000000000000" pitchFamily="2" charset="0"/>
            </a:rPr>
            <a:t>After</a:t>
          </a:r>
          <a:r>
            <a:rPr lang="en-US" sz="1400" b="1" kern="1200" baseline="0">
              <a:solidFill>
                <a:schemeClr val="tx1"/>
              </a:solidFill>
              <a:latin typeface="ACADEMY ENGRAVED LET PLAIN:1.0" panose="02000000000000000000" pitchFamily="2" charset="0"/>
            </a:rPr>
            <a:t> choosing your stocks and wether to Minimize or Msximize. </a:t>
          </a:r>
        </a:p>
        <a:p>
          <a:pPr algn="ctr"/>
          <a:r>
            <a:rPr lang="en-US" sz="1400" b="1" kern="1200" baseline="0">
              <a:solidFill>
                <a:schemeClr val="tx1"/>
              </a:solidFill>
              <a:latin typeface="ACADEMY ENGRAVED LET PLAIN:1.0" panose="02000000000000000000" pitchFamily="2" charset="0"/>
            </a:rPr>
            <a:t>NOW CLICK </a:t>
          </a:r>
          <a:endParaRPr lang="en-US" sz="1400" b="1" kern="1200">
            <a:solidFill>
              <a:schemeClr val="tx1"/>
            </a:solidFill>
            <a:latin typeface="ACADEMY ENGRAVED LET PLAIN:1.0" panose="02000000000000000000" pitchFamily="2" charset="0"/>
          </a:endParaRPr>
        </a:p>
        <a:p>
          <a:pPr algn="l"/>
          <a:endParaRPr lang="en-US" sz="1400" b="1" kern="1200">
            <a:latin typeface="ACADEMY ENGRAVED LET PLAIN:1.0" panose="02000000000000000000" pitchFamily="2" charset="0"/>
          </a:endParaRPr>
        </a:p>
        <a:p>
          <a:pPr algn="l"/>
          <a:endParaRPr lang="en-US" sz="1400" b="1" kern="1200">
            <a:latin typeface="ACADEMY ENGRAVED LET PLAIN:1.0" panose="02000000000000000000" pitchFamily="2" charset="0"/>
          </a:endParaRPr>
        </a:p>
      </xdr:txBody>
    </xdr:sp>
    <xdr:clientData/>
  </xdr:twoCellAnchor>
  <xdr:twoCellAnchor>
    <xdr:from>
      <xdr:col>9</xdr:col>
      <xdr:colOff>218280</xdr:colOff>
      <xdr:row>30</xdr:row>
      <xdr:rowOff>119062</xdr:rowOff>
    </xdr:from>
    <xdr:to>
      <xdr:col>12</xdr:col>
      <xdr:colOff>482100</xdr:colOff>
      <xdr:row>51</xdr:row>
      <xdr:rowOff>165507</xdr:rowOff>
    </xdr:to>
    <xdr:sp macro="" textlink="">
      <xdr:nvSpPr>
        <xdr:cNvPr id="15" name="Vertical Scroll 14">
          <a:extLst>
            <a:ext uri="{FF2B5EF4-FFF2-40B4-BE49-F238E27FC236}">
              <a16:creationId xmlns:a16="http://schemas.microsoft.com/office/drawing/2014/main" id="{B74512DD-989A-CC4D-9098-200AC3280B5A}"/>
            </a:ext>
          </a:extLst>
        </xdr:cNvPr>
        <xdr:cNvSpPr/>
      </xdr:nvSpPr>
      <xdr:spPr>
        <a:xfrm>
          <a:off x="11906249" y="9108281"/>
          <a:ext cx="3121320" cy="5047070"/>
        </a:xfrm>
        <a:prstGeom prst="verticalScroll">
          <a:avLst/>
        </a:prstGeom>
        <a:solidFill>
          <a:srgbClr val="F4E9C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kern="1200">
              <a:solidFill>
                <a:schemeClr val="tx1"/>
              </a:solidFill>
              <a:latin typeface="ACADEMY ENGRAVED LET PLAIN:1.0" panose="02000000000000000000" pitchFamily="2" charset="0"/>
            </a:rPr>
            <a:t>Results</a:t>
          </a:r>
          <a:r>
            <a:rPr lang="en-US" sz="1600" b="1" kern="1200" baseline="0">
              <a:solidFill>
                <a:schemeClr val="tx1"/>
              </a:solidFill>
              <a:latin typeface="ACADEMY ENGRAVED LET PLAIN:1.0" panose="02000000000000000000" pitchFamily="2" charset="0"/>
            </a:rPr>
            <a:t>: </a:t>
          </a:r>
        </a:p>
        <a:p>
          <a:pPr algn="l"/>
          <a:r>
            <a:rPr lang="en-US" sz="1600" kern="1200" baseline="0">
              <a:solidFill>
                <a:schemeClr val="tx1"/>
              </a:solidFill>
              <a:latin typeface="ACADEMY ENGRAVED LET PLAIN:1.0" panose="02000000000000000000" pitchFamily="2" charset="0"/>
            </a:rPr>
            <a:t>T</a:t>
          </a:r>
          <a:r>
            <a:rPr lang="en-US" sz="1600">
              <a:solidFill>
                <a:schemeClr val="tx1"/>
              </a:solidFill>
              <a:latin typeface="ACADEMY ENGRAVED LET PLAIN:1.0" panose="02000000000000000000" pitchFamily="2" charset="0"/>
            </a:rPr>
            <a:t>he optimal allocation of capital across different stocks in a portfolio. These results are usually presented in terms of </a:t>
          </a:r>
          <a:r>
            <a:rPr lang="en-US" sz="1600" b="1">
              <a:solidFill>
                <a:schemeClr val="tx1"/>
              </a:solidFill>
              <a:latin typeface="ACADEMY ENGRAVED LET PLAIN:1.0" panose="02000000000000000000" pitchFamily="2" charset="0"/>
            </a:rPr>
            <a:t>weights</a:t>
          </a:r>
          <a:r>
            <a:rPr lang="en-US" sz="1600">
              <a:solidFill>
                <a:schemeClr val="tx1"/>
              </a:solidFill>
              <a:latin typeface="ACADEMY ENGRAVED LET PLAIN:1.0" panose="02000000000000000000" pitchFamily="2" charset="0"/>
            </a:rPr>
            <a:t>, metrics, and actionable insights, each of which holds specific meaning.</a:t>
          </a:r>
        </a:p>
        <a:p>
          <a:pPr algn="l"/>
          <a:endParaRPr lang="en-US" sz="1600" kern="1200">
            <a:solidFill>
              <a:schemeClr val="tx1"/>
            </a:solidFill>
            <a:latin typeface="ACADEMY ENGRAVED LET PLAIN:1.0" panose="02000000000000000000" pitchFamily="2" charset="0"/>
          </a:endParaRPr>
        </a:p>
        <a:p>
          <a:pPr algn="l"/>
          <a:r>
            <a:rPr lang="en-US" sz="1600">
              <a:solidFill>
                <a:schemeClr val="tx1"/>
              </a:solidFill>
              <a:latin typeface="ACADEMY ENGRAVED LET PLAIN:1.0" panose="02000000000000000000" pitchFamily="2" charset="0"/>
            </a:rPr>
            <a:t>The Weight</a:t>
          </a:r>
          <a:r>
            <a:rPr lang="en-US" sz="1600" baseline="0">
              <a:solidFill>
                <a:schemeClr val="tx1"/>
              </a:solidFill>
              <a:latin typeface="ACADEMY ENGRAVED LET PLAIN:1.0" panose="02000000000000000000" pitchFamily="2" charset="0"/>
            </a:rPr>
            <a:t> reflects</a:t>
          </a:r>
          <a:r>
            <a:rPr lang="en-US" sz="1600">
              <a:solidFill>
                <a:schemeClr val="tx1"/>
              </a:solidFill>
              <a:latin typeface="ACADEMY ENGRAVED LET PLAIN:1.0" panose="02000000000000000000" pitchFamily="2" charset="0"/>
            </a:rPr>
            <a:t> the ideal allocation to maximize returns for a given level of risk or to minimize risk for a target return.</a:t>
          </a:r>
          <a:endParaRPr lang="en-US" sz="1600" kern="1200">
            <a:solidFill>
              <a:schemeClr val="tx1"/>
            </a:solidFill>
            <a:latin typeface="ACADEMY ENGRAVED LET PLAIN:1.0" panose="02000000000000000000" pitchFamily="2" charset="0"/>
          </a:endParaRP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97">
  <a r="1" c="251">
    <v t="i">0</v>
    <v t="i">1</v>
    <v t="i">2</v>
    <v t="i">3</v>
    <v t="i">6</v>
    <v t="i">7</v>
    <v t="i">8</v>
    <v t="i">9</v>
    <v t="i">10</v>
    <v t="i">14</v>
    <v t="i">15</v>
    <v t="i">16</v>
    <v t="i">17</v>
    <v t="i">21</v>
    <v t="i">22</v>
    <v t="i">23</v>
    <v t="i">24</v>
    <v t="i">27</v>
    <v t="i">28</v>
    <v t="i">29</v>
    <v t="i">30</v>
    <v t="i">31</v>
    <v t="i">35</v>
    <v t="i">36</v>
    <v t="i">37</v>
    <v t="i">38</v>
    <v t="i">41</v>
    <v t="i">42</v>
    <v t="i">43</v>
    <v t="i">44</v>
    <v t="i">45</v>
    <v t="i">48</v>
    <v t="i">49</v>
    <v t="i">50</v>
    <v t="i">51</v>
    <v t="i">52</v>
    <v t="i">55</v>
    <v t="i">56</v>
    <v t="i">57</v>
    <v t="i">58</v>
    <v t="i">59</v>
    <v t="i">62</v>
    <v t="i">63</v>
    <v t="i">64</v>
    <v t="i">65</v>
    <v t="i">66</v>
    <v t="i">70</v>
    <v t="i">71</v>
    <v t="i">72</v>
    <v t="i">73</v>
    <v t="i">76</v>
    <v t="i">77</v>
    <v t="i">78</v>
    <v t="i">79</v>
    <v t="i">80</v>
    <v t="i">83</v>
    <v t="i">84</v>
    <v t="i">85</v>
    <v t="i">86</v>
    <v t="i">87</v>
    <v t="i">90</v>
    <v t="i">91</v>
    <v t="i">92</v>
    <v t="i">93</v>
    <v t="i">94</v>
    <v t="i">97</v>
    <v t="i">98</v>
    <v t="i">99</v>
    <v t="i">100</v>
    <v t="i">101</v>
    <v t="i">104</v>
    <v t="i">105</v>
    <v t="i">106</v>
    <v t="i">107</v>
    <v t="i">111</v>
    <v t="i">112</v>
    <v t="i">113</v>
    <v t="i">114</v>
    <v t="i">115</v>
    <v t="i">118</v>
    <v t="i">119</v>
    <v t="i">120</v>
    <v t="i">121</v>
    <v t="i">122</v>
    <v t="i">125</v>
    <v t="i">126</v>
    <v t="i">127</v>
    <v t="i">128</v>
    <v t="i">129</v>
    <v t="i">132</v>
    <v t="i">133</v>
    <v t="i">134</v>
    <v t="i">135</v>
    <v t="i">136</v>
    <v t="i">139</v>
    <v t="i">140</v>
    <v t="i">141</v>
    <v t="i">142</v>
    <v t="i">143</v>
    <v t="i">146</v>
    <v t="i">147</v>
    <v t="i">148</v>
    <v t="i">149</v>
    <v t="i">150</v>
    <v t="i">153</v>
    <v t="i">154</v>
    <v t="i">155</v>
    <v t="i">156</v>
    <v t="i">157</v>
    <v t="i">160</v>
    <v t="i">161</v>
    <v t="i">162</v>
    <v t="i">163</v>
    <v t="i">164</v>
    <v t="i">168</v>
    <v t="i">169</v>
    <v t="i">170</v>
    <v t="i">171</v>
    <v t="i">174</v>
    <v t="i">175</v>
    <v t="i">176</v>
    <v t="i">177</v>
    <v t="i">178</v>
    <v t="i">181</v>
    <v t="i">182</v>
    <v t="i">183</v>
    <v t="i">184</v>
    <v t="i">185</v>
    <v t="i">188</v>
    <v t="i">189</v>
    <v t="i">191</v>
    <v t="i">192</v>
    <v t="i">195</v>
    <v t="i">196</v>
    <v t="i">197</v>
    <v t="i">198</v>
    <v t="i">199</v>
    <v t="i">202</v>
    <v t="i">203</v>
    <v t="i">204</v>
    <v t="i">206</v>
    <v t="i">209</v>
    <v t="i">210</v>
    <v t="i">211</v>
    <v t="i">212</v>
    <v t="i">213</v>
    <v t="i">216</v>
    <v t="i">217</v>
    <v t="i">218</v>
    <v t="i">219</v>
    <v t="i">220</v>
    <v t="i">223</v>
    <v t="i">224</v>
    <v t="i">225</v>
    <v t="i">226</v>
    <v t="i">227</v>
    <v t="i">230</v>
    <v t="i">231</v>
    <v t="i">232</v>
    <v t="i">233</v>
    <v t="i">234</v>
    <v t="i">237</v>
    <v t="i">238</v>
    <v t="i">239</v>
    <v t="i">240</v>
    <v t="i">241</v>
    <v t="i">244</v>
    <v t="i">245</v>
    <v t="i">246</v>
    <v t="i">247</v>
    <v t="i">248</v>
    <v t="i">251</v>
    <v t="i">252</v>
    <v t="i">253</v>
    <v t="i">254</v>
    <v t="i">255</v>
    <v t="i">258</v>
    <v t="i">259</v>
    <v t="i">260</v>
    <v t="i">261</v>
    <v t="i">262</v>
    <v t="i">266</v>
    <v t="i">267</v>
    <v t="i">268</v>
    <v t="i">269</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328</v>
    <v t="i">329</v>
    <v t="i">330</v>
    <v t="i">331</v>
    <v t="i">332</v>
    <v t="i">335</v>
    <v t="i">336</v>
    <v t="i">337</v>
    <v t="i">338</v>
    <v t="i">339</v>
    <v t="i">342</v>
    <v t="i">343</v>
    <v t="i">344</v>
    <v t="i">345</v>
    <v t="i">346</v>
    <v t="i">349</v>
    <v t="i">350</v>
    <v t="i">351</v>
    <v t="i">353</v>
    <v t="i">356</v>
    <v t="i">357</v>
    <v t="i">358</v>
    <v t="i">359</v>
    <v t="i">360</v>
    <v t="i">363</v>
    <v t="i">364</v>
  </a>
  <a r="1" c="251">
    <v>58.89</v>
    <v>61.73</v>
    <v>61.87</v>
    <v>61.26</v>
    <v>61.47</v>
    <v>63.01</v>
    <v>61.74</v>
    <v>62.06</v>
    <v>61.84</v>
    <v>62.56</v>
    <v>62.68</v>
    <v>63.08</v>
    <v>61.41</v>
    <v>61.46</v>
    <v>58.63</v>
    <v>58.45</v>
    <v>60.12</v>
    <v>61.74</v>
    <v>61.05</v>
    <v>60.96</v>
    <v>61.35</v>
    <v>61</v>
    <v>58.45</v>
    <v>59.89</v>
    <v>62.09</v>
    <v>65.819999999999993</v>
    <v>63.74</v>
    <v>64.78</v>
    <v>63.02</v>
    <v>60.71</v>
    <v>61.78</v>
    <v>63.76</v>
    <v>63.68</v>
    <v>61.35</v>
    <v>62.02</v>
    <v>62.42</v>
    <v>61.54</v>
    <v>63.71</v>
    <v>63.24</v>
    <v>56.13</v>
    <v>58.91</v>
    <v>60.09</v>
    <v>58.26</v>
    <v>58.87</v>
    <v>59.7</v>
    <v>59.14</v>
    <v>58.63</v>
    <v>57.48</v>
    <v>58.35</v>
    <v>59.16</v>
    <v>59.33</v>
    <v>60.16</v>
    <v>60.25</v>
    <v>60.34</v>
    <v>60.54</v>
    <v>59.98</v>
    <v>58.27</v>
    <v>58.12</v>
    <v>58.5</v>
    <v>59.01</v>
    <v>60.08</v>
    <v>60.03</v>
    <v>62.45</v>
    <v>63</v>
    <v>62.85</v>
    <v>64.23</v>
    <v>63.01</v>
    <v>65.05</v>
    <v>66.14</v>
    <v>64.77</v>
    <v>66</v>
    <v>66.67</v>
    <v>66.569999999999993</v>
    <v>66.989999999999995</v>
    <v>65.03</v>
    <v>64.66</v>
    <v>65.34</v>
    <v>64.540000000000006</v>
    <v>65.150000000000006</v>
    <v>66.34</v>
    <v>67</v>
    <v>65.88</v>
    <v>65.8</v>
    <v>64.59</v>
    <v>63.51</v>
    <v>63.43</v>
    <v>63.26</v>
    <v>62.1</v>
    <v>62.31</v>
    <v>63.19</v>
    <v>64.430000000000007</v>
    <v>64.84</v>
    <v>64.099999999999994</v>
    <v>65.959999999999994</v>
    <v>66.989999999999995</v>
    <v>67.92</v>
    <v>66.14</v>
    <v>66.98</v>
    <v>65.7</v>
    <v>65.61</v>
    <v>65.92</v>
    <v>63.81</v>
    <v>64.45</v>
    <v>62.93</v>
    <v>63.95</v>
    <v>64.58</v>
    <v>63.9</v>
    <v>64.099999999999994</v>
    <v>64.48</v>
    <v>64.77</v>
    <v>64.099999999999994</v>
    <v>62.19</v>
    <v>61.58</v>
    <v>61.64</v>
    <v>62.17</v>
    <v>61.05</v>
    <v>62.51</v>
    <v>62.99</v>
    <v>63.46</v>
    <v>63.33</v>
    <v>63.53</v>
    <v>67.02</v>
    <v>67.3</v>
    <v>67.09</v>
    <v>64.77</v>
    <v>63.43</v>
    <v>61.54</v>
    <v>60.634999999999998</v>
    <v>60.13</v>
    <v>59.12</v>
    <v>59.8</v>
    <v>60.61</v>
    <v>59.49</v>
    <v>59.33</v>
    <v>58.26</v>
    <v>58.37</v>
    <v>58.03</v>
    <v>57.81</v>
    <v>58.97</v>
    <v>59.64</v>
    <v>59.76</v>
    <v>59.09</v>
    <v>59</v>
    <v>58.9</v>
    <v>59.99</v>
    <v>60.27</v>
    <v>60.47</v>
    <v>61.81</v>
    <v>61.24</v>
    <v>60</v>
    <v>59.33</v>
    <v>60.77</v>
    <v>59.71</v>
    <v>58.07</v>
    <v>57.22</v>
    <v>58.29</v>
    <v>58.94</v>
    <v>64</v>
    <v>65.78</v>
    <v>65.31</v>
    <v>61.98</v>
    <v>60.46</v>
    <v>62.75</v>
    <v>62.74</v>
    <v>64.28</v>
    <v>64.72</v>
    <v>63.46</v>
    <v>65.11</v>
    <v>66.14</v>
    <v>67.94</v>
    <v>67.959999999999994</v>
    <v>69.430000000000007</v>
    <v>71.89</v>
    <v>71.459999999999994</v>
    <v>71.52</v>
    <v>71.7</v>
    <v>72.040000000000006</v>
    <v>71.59</v>
    <v>70.430000000000007</v>
    <v>73.16</v>
    <v>72.430000000000007</v>
    <v>72</v>
    <v>72.61</v>
    <v>72.03</v>
    <v>68.89</v>
    <v>69.349999999999994</v>
    <v>68.849999999999994</v>
    <v>69.349999999999994</v>
    <v>70.36</v>
    <v>70.099999999999994</v>
    <v>71.069999999999993</v>
    <v>71.77</v>
    <v>73.12</v>
    <v>77.569999999999993</v>
    <v>76.760000000000005</v>
    <v>77.67</v>
    <v>78.34</v>
    <v>77.36</v>
    <v>80.08</v>
    <v>77.88</v>
    <v>78.03</v>
    <v>77.47</v>
    <v>77.44</v>
    <v>77.31</v>
    <v>79.36</v>
    <v>80.260000000000005</v>
    <v>81.16</v>
    <v>81.650000000000006</v>
    <v>78.98</v>
    <v>80.510000000000005</v>
    <v>80.67</v>
    <v>79.55</v>
    <v>80.819999999999993</v>
    <v>79.819999999999993</v>
    <v>80.94</v>
    <v>80.56</v>
    <v>80.91</v>
    <v>80.83</v>
    <v>81.39</v>
    <v>81.7</v>
    <v>83.59</v>
    <v>80.28</v>
    <v>78.22</v>
    <v>79.3</v>
    <v>77.25</v>
    <v>78.13</v>
    <v>79.25</v>
    <v>81.41</v>
    <v>81.349999999999994</v>
    <v>83.01</v>
    <v>86.94</v>
    <v>86.4</v>
    <v>87.31</v>
    <v>85.79</v>
    <v>85.83</v>
    <v>84.67</v>
    <v>84.09</v>
    <v>84.74</v>
    <v>84.82</v>
    <v>86.77</v>
    <v>87.77</v>
    <v>86.94</v>
    <v>86.57</v>
    <v>86.77</v>
    <v>86.53</v>
    <v>85.14</v>
    <v>89.33</v>
    <v>89.045000000000002</v>
    <v>89.88</v>
    <v>90</v>
    <v>88.76</v>
  </a>
  <a r="1" c="60">
    <v t="i">0</v>
    <v t="i">31</v>
    <v t="i">60</v>
    <v t="i">91</v>
    <v t="i">121</v>
    <v t="i">152</v>
    <v t="i">182</v>
    <v t="i">213</v>
    <v t="i">244</v>
    <v t="i">274</v>
    <v t="i">305</v>
    <v t="i">335</v>
    <v t="i">366</v>
    <v t="i">397</v>
    <v t="i">425</v>
    <v t="i">456</v>
    <v t="i">486</v>
    <v t="i">517</v>
    <v t="i">547</v>
    <v t="i">578</v>
    <v t="i">609</v>
    <v t="i">639</v>
    <v t="i">670</v>
    <v t="i">700</v>
    <v t="i">731</v>
    <v t="i">762</v>
    <v t="i">790</v>
    <v t="i">821</v>
    <v t="i">851</v>
    <v t="i">882</v>
    <v t="i">912</v>
    <v t="i">943</v>
    <v t="i">974</v>
    <v t="i">1004</v>
    <v t="i">1035</v>
    <v t="i">1065</v>
    <v t="i">1096</v>
    <v t="i">1127</v>
    <v t="i">1155</v>
    <v t="i">1186</v>
    <v t="i">1216</v>
    <v t="i">1247</v>
    <v t="i">1277</v>
    <v t="i">1308</v>
    <v t="i">1339</v>
    <v t="i">1369</v>
    <v t="i">1400</v>
    <v t="i">1430</v>
    <v t="i">1461</v>
    <v t="i">1492</v>
    <v t="i">1521</v>
    <v t="i">1552</v>
    <v t="i">1582</v>
    <v t="i">1613</v>
    <v t="i">1643</v>
    <v t="i">1674</v>
    <v t="i">1705</v>
    <v t="i">1735</v>
    <v t="i">1766</v>
    <v t="i">1796</v>
  </a>
  <a r="1" c="60">
    <v>77.377499999999998</v>
    <v>68.34</v>
    <v>63.572499999999998</v>
    <v>73.45</v>
    <v>79.484999999999999</v>
    <v>91.2</v>
    <v>106.26</v>
    <v>129.04</v>
    <v>115.81</v>
    <v>108.86</v>
    <v>119.05</v>
    <v>132.69</v>
    <v>131.96</v>
    <v>121.26</v>
    <v>122.15</v>
    <v>131.46</v>
    <v>124.61</v>
    <v>136.96</v>
    <v>145.86000000000001</v>
    <v>151.83000000000001</v>
    <v>141.5</v>
    <v>149.80000000000001</v>
    <v>165.3</v>
    <v>177.57</v>
    <v>174.78</v>
    <v>165.12</v>
    <v>174.61</v>
    <v>157.65</v>
    <v>148.84</v>
    <v>136.72</v>
    <v>162.51</v>
    <v>157.22</v>
    <v>138.19999999999999</v>
    <v>153.34</v>
    <v>148.03</v>
    <v>129.93</v>
    <v>144.29</v>
    <v>147.41</v>
    <v>164.9</v>
    <v>169.68</v>
    <v>177.25</v>
    <v>193.97</v>
    <v>196.45</v>
    <v>187.87</v>
    <v>171.21</v>
    <v>170.77</v>
    <v>189.95</v>
    <v>192.53</v>
    <v>184.4</v>
    <v>180.75</v>
    <v>171.48</v>
    <v>170.33</v>
    <v>192.25</v>
    <v>210.62</v>
    <v>222.08</v>
    <v>229</v>
    <v>233</v>
    <v>225.91</v>
    <v>237.33</v>
    <v>247.77</v>
  </a>
  <a r="1" c="251">
    <v>333.2</v>
    <v>343.4</v>
    <v>351.81</v>
    <v>354</v>
    <v>350.81</v>
    <v>352.07</v>
    <v>348.66</v>
    <v>348.97</v>
    <v>348.59</v>
    <v>349.31</v>
    <v>348.53</v>
    <v>347.36</v>
    <v>346.55</v>
    <v>345.08</v>
    <v>338.26</v>
    <v>338.59</v>
    <v>342.94</v>
    <v>347.93</v>
    <v>346.19</v>
    <v>356.8</v>
    <v>356.53</v>
    <v>355.71</v>
    <v>358.43</v>
    <v>355.7</v>
    <v>357.9</v>
    <v>362.41</v>
    <v>356.69</v>
    <v>350.78</v>
    <v>347.27</v>
    <v>350.97</v>
    <v>355.3</v>
    <v>355.7</v>
    <v>357.1</v>
    <v>352.96</v>
    <v>360.07</v>
    <v>357.23</v>
    <v>355.14</v>
    <v>356.25</v>
    <v>362.69</v>
    <v>363.72</v>
    <v>363.15</v>
    <v>365.45</v>
    <v>357.59</v>
    <v>358.23</v>
    <v>361.08</v>
    <v>362.35</v>
    <v>362.57</v>
    <v>364.13</v>
    <v>371.34</v>
    <v>371.96</v>
    <v>371.6</v>
    <v>375.56</v>
    <v>377.61</v>
    <v>380.61</v>
    <v>384.45</v>
    <v>380.37</v>
    <v>378.45</v>
    <v>377.44</v>
    <v>376.55</v>
    <v>373.35</v>
    <v>371.52</v>
    <v>374.54</v>
    <v>378.99</v>
    <v>375.27</v>
    <v>373.23</v>
    <v>371.91</v>
    <v>379.41</v>
    <v>384.41</v>
    <v>395.2</v>
    <v>390.28</v>
    <v>383.51</v>
    <v>379.93</v>
    <v>385.89</v>
    <v>383.6</v>
    <v>368.03</v>
    <v>363</v>
    <v>359.9</v>
    <v>357.68</v>
    <v>357.87</v>
    <v>362.05</v>
    <v>361.42</v>
    <v>350.56</v>
    <v>347.37</v>
    <v>342.87</v>
    <v>337.93</v>
    <v>334.83</v>
    <v>332.83</v>
    <v>332.89</v>
    <v>335.36</v>
    <v>336.11</v>
    <v>339</v>
    <v>333.01</v>
    <v>331.98</v>
    <v>335.09</v>
    <v>336.8</v>
    <v>334.22</v>
    <v>331.97</v>
    <v>335.53</v>
    <v>342.85</v>
    <v>342.29</v>
    <v>340.69</v>
    <v>338.83</v>
    <v>347.44</v>
    <v>346.43</v>
    <v>340.96</v>
    <v>340.5</v>
    <v>348.67</v>
    <v>342.73</v>
    <v>344.21</v>
    <v>337.82</v>
    <v>336.15</v>
    <v>330.59</v>
    <v>326.89</v>
    <v>325.10000000000002</v>
    <v>328.7</v>
    <v>325.91000000000003</v>
    <v>329.18</v>
    <v>334.87</v>
    <v>328.01</v>
    <v>328.26</v>
    <v>330.26</v>
    <v>331.1</v>
    <v>327.02999999999997</v>
    <v>332.56</v>
    <v>335.72</v>
    <v>344.14</v>
    <v>347.88</v>
    <v>346.84</v>
    <v>349.5</v>
    <v>353.87</v>
    <v>353.44</v>
    <v>355.8</v>
    <v>350.88</v>
    <v>338.32</v>
    <v>341.82</v>
    <v>341.49</v>
    <v>344.24</v>
    <v>336.19</v>
    <v>334.97</v>
    <v>333.64</v>
    <v>334.58</v>
    <v>339.6</v>
    <v>337.09</v>
    <v>344.18</v>
    <v>353.79</v>
    <v>359.77</v>
    <v>358.46</v>
    <v>369.12</v>
    <v>371.89</v>
    <v>366.08</v>
    <v>363.36</v>
    <v>363.25</v>
    <v>359.62</v>
    <v>350.31</v>
    <v>353.29</v>
    <v>359.51</v>
    <v>361.67</v>
    <v>363.69</v>
    <v>368.16</v>
    <v>358.58</v>
    <v>355.43</v>
    <v>350.01</v>
    <v>353.91</v>
    <v>342.4</v>
    <v>348.34</v>
    <v>348.64</v>
    <v>345.81</v>
    <v>350.07</v>
    <v>355.66</v>
    <v>360.07</v>
    <v>362.06</v>
    <v>363.07</v>
    <v>367.27</v>
    <v>370.46</v>
    <v>365.36</v>
    <v>375.59</v>
    <v>374.11</v>
    <v>373.18</v>
    <v>372.69</v>
    <v>367.06</v>
    <v>368.5</v>
    <v>364.74</v>
    <v>364.67</v>
    <v>361.85</v>
    <v>360.05</v>
    <v>365.52</v>
    <v>370.87</v>
    <v>370.49</v>
    <v>374.43</v>
    <v>379.99</v>
    <v>382.01</v>
    <v>383.24</v>
    <v>384.01</v>
    <v>390.34</v>
    <v>389.86</v>
    <v>391.96</v>
    <v>400.66</v>
    <v>396.93</v>
    <v>396.7</v>
    <v>399.53</v>
    <v>405.2</v>
    <v>409.05</v>
    <v>411.26</v>
    <v>411.58</v>
    <v>408.36</v>
    <v>408.06</v>
    <v>414.18</v>
    <v>416.07</v>
    <v>409.96</v>
    <v>411.9</v>
    <v>415.42</v>
    <v>415.58</v>
    <v>418.61</v>
    <v>415.6</v>
    <v>415</v>
    <v>406.4</v>
    <v>401.85</v>
    <v>399.64</v>
    <v>402.68</v>
    <v>398.91</v>
    <v>402.89</v>
    <v>395.07</v>
    <v>392.52</v>
    <v>393.75</v>
    <v>392.59</v>
    <v>395.57</v>
    <v>400.09</v>
    <v>388.37</v>
    <v>399.44</v>
    <v>405.9</v>
    <v>408.29</v>
    <v>403.08</v>
    <v>410.19</v>
    <v>405.72</v>
    <v>408.18</v>
    <v>410.44</v>
    <v>406.8</v>
    <v>400</v>
    <v>410.45</v>
    <v>420</v>
    <v>428.67</v>
    <v>429.52</v>
    <v>427.19</v>
    <v>429.13</v>
    <v>426.96</v>
    <v>429.35</v>
    <v>427.92</v>
    <v>426.54</v>
    <v>431.37</v>
    <v>429.18</v>
    <v>422.59</v>
  </a>
  <a r="1" c="251">
    <v>164.71</v>
    <v>163.62</v>
    <v>162.91</v>
    <v>162.22999999999999</v>
    <v>162.74</v>
    <v>161.56</v>
    <v>160.05000000000001</v>
    <v>160.78</v>
    <v>162.13999999999999</v>
    <v>163.21</v>
    <v>163.46</v>
    <v>163.75</v>
    <v>163.55000000000001</v>
    <v>161.5</v>
    <v>160.1</v>
    <v>160.86000000000001</v>
    <v>159.16</v>
    <v>161.13999999999999</v>
    <v>160.08000000000001</v>
    <v>161.22999999999999</v>
    <v>162.16</v>
    <v>165.8</v>
    <v>166.96</v>
    <v>166.08</v>
    <v>166.84</v>
    <v>171.48</v>
    <v>172.83</v>
    <v>173.94</v>
    <v>173.93</v>
    <v>190.43</v>
    <v>187.42</v>
    <v>187.14</v>
    <v>187.87</v>
    <v>183.66</v>
    <v>186.9</v>
    <v>185.79</v>
    <v>183.42</v>
    <v>183.41</v>
    <v>183.74</v>
    <v>184.36</v>
    <v>186.34</v>
    <v>186.16</v>
    <v>183.7</v>
    <v>183.57</v>
    <v>186.87</v>
    <v>187.64</v>
    <v>183.44</v>
    <v>179.7</v>
    <v>184.21</v>
    <v>185.72</v>
    <v>184.13</v>
    <v>184.87</v>
    <v>185.3</v>
    <v>185.03</v>
    <v>188.2</v>
    <v>193.06</v>
    <v>191.95</v>
    <v>196.16</v>
    <v>196.54</v>
    <v>195.95</v>
    <v>191.73</v>
    <v>197.78</v>
    <v>196.7</v>
    <v>193.43</v>
    <v>191.07</v>
    <v>191.69</v>
    <v>193.34</v>
    <v>193.96</v>
    <v>191.9</v>
    <v>190.84</v>
    <v>188.79</v>
    <v>188.5</v>
    <v>190.8</v>
    <v>190.96</v>
    <v>189.83</v>
    <v>188.88</v>
    <v>190.9</v>
    <v>187.94</v>
    <v>189.14</v>
    <v>189.82</v>
    <v>189.31</v>
    <v>186.04</v>
    <v>185.9</v>
    <v>182.27</v>
    <v>181.25</v>
    <v>183.75</v>
    <v>183.1</v>
    <v>181.47</v>
    <v>181.58</v>
    <v>181.9</v>
    <v>182.19</v>
    <v>184.1</v>
    <v>168.91</v>
    <v>167.13</v>
    <v>167.43</v>
    <v>166.2</v>
    <v>164.43</v>
    <v>164.69</v>
    <v>165.71</v>
    <v>168.61</v>
    <v>168.38</v>
    <v>169.9</v>
    <v>166.27</v>
    <v>167.15</v>
    <v>167.56</v>
    <v>167.36</v>
    <v>168.26</v>
    <v>168.97</v>
    <v>169.03</v>
    <v>169.92</v>
    <v>173.47</v>
    <v>173.69</v>
    <v>170.67</v>
    <v>170.89</v>
    <v>169.66</v>
    <v>167.05</v>
    <v>165.63</v>
    <v>166.85</v>
    <v>165.28</v>
    <v>165.81</v>
    <v>167.38</v>
    <v>168.2</v>
    <v>170.01</v>
    <v>170.38</v>
    <v>169.32</v>
    <v>169</v>
    <v>169.12</v>
    <v>169.21</v>
    <v>169.5</v>
    <v>170.55</v>
    <v>173.92</v>
    <v>172.46</v>
    <v>175.01</v>
    <v>172.6</v>
    <v>171.87</v>
    <v>170.85</v>
    <v>172.95</v>
    <v>175.1</v>
    <v>177.3</v>
    <v>175.73</v>
    <v>176.02</v>
    <v>177.64</v>
    <v>176.48</v>
    <v>177.84</v>
    <v>178.31</v>
    <v>182.83</v>
    <v>182.88</v>
    <v>185.81</v>
    <v>187.45</v>
    <v>185.22</v>
    <v>183.25</v>
    <v>184.15</v>
    <v>184.1</v>
    <v>184.02</v>
    <v>191.98</v>
    <v>191.75</v>
    <v>191.5</v>
    <v>191.04</v>
    <v>192.14</v>
    <v>189.66</v>
    <v>189.12</v>
    <v>183.31</v>
    <v>186.8</v>
    <v>186.8</v>
    <v>192.61</v>
    <v>191.45</v>
    <v>189.48</v>
    <v>190.99</v>
    <v>192.32</v>
    <v>193.95</v>
    <v>193.78</v>
    <v>194.73</v>
    <v>196.03</v>
    <v>197.21</v>
    <v>195.96</v>
    <v>196.1</v>
    <v>197.98</v>
    <v>198.73</v>
    <v>198.46</v>
    <v>198.9</v>
    <v>202.13</v>
    <v>201.28</v>
    <v>204.11</v>
    <v>202.59</v>
    <v>200.74</v>
    <v>203.53</v>
    <v>205.32</v>
    <v>209.89</v>
    <v>211.61</v>
    <v>214.79</v>
    <v>217.16</v>
    <v>214.13</v>
    <v>214.94</v>
    <v>213.89</v>
    <v>217.7</v>
    <v>220.5</v>
    <v>220.97</v>
    <v>221.23</v>
    <v>223.43</v>
    <v>220.84</v>
    <v>221.08</v>
    <v>219.35</v>
    <v>219.73</v>
    <v>222.72</v>
    <v>226</v>
    <v>227.12</v>
    <v>228.62</v>
    <v>234.3</v>
    <v>233.02</v>
    <v>233.26</v>
    <v>235.26</v>
    <v>232.96</v>
    <v>233.67</v>
    <v>232.88</v>
    <v>232.2</v>
    <v>231.75</v>
    <v>232.25</v>
    <v>232.75</v>
    <v>218.39</v>
    <v>214.67</v>
    <v>212.91</v>
    <v>210.43</v>
    <v>204.9</v>
    <v>206.72</v>
    <v>208.25</v>
    <v>206.32</v>
    <v>207.57</v>
    <v>213.6</v>
    <v>213.69</v>
    <v>213.72</v>
    <v>213.57</v>
    <v>210.86</v>
    <v>210.92</v>
    <v>208.99</v>
    <v>204.99</v>
    <v>208.09</v>
    <v>210.25</v>
    <v>214.6</v>
    <v>222.4</v>
    <v>222.97</v>
    <v>226.13</v>
    <v>228.83</v>
    <v>226.92</v>
    <v>227.41</v>
    <v>227.39</v>
    <v>229</v>
    <v>233.49</v>
    <v>234.75</v>
    <v>238.04</v>
    <v>230</v>
    <v>231.72</v>
  </a>
  <a r="1" c="60">
    <v>47</v>
    <v>45.48</v>
    <v>45.48</v>
    <v>52.39</v>
    <v>53.8</v>
    <v>52.61</v>
    <v>77.430000000000007</v>
    <v>90.82</v>
    <v>81.99</v>
    <v>75.290000000000006</v>
    <v>92.66</v>
    <v>91.71</v>
    <v>85.64</v>
    <v>84.51</v>
    <v>78.5</v>
    <v>81.62</v>
    <v>80.08</v>
    <v>93.93</v>
    <v>106.19</v>
    <v>110.72</v>
    <v>102.9</v>
    <v>120.23</v>
    <v>158.37</v>
    <v>143.9</v>
    <v>114.25</v>
    <v>123.34</v>
    <v>109.34</v>
    <v>85.52</v>
    <v>101.86</v>
    <v>76.47</v>
    <v>94.47</v>
    <v>84.87</v>
    <v>63.36</v>
    <v>60.06</v>
    <v>77.63</v>
    <v>64.77</v>
    <v>75.150000000000006</v>
    <v>78.58</v>
    <v>98.01</v>
    <v>89.37</v>
    <v>118.21</v>
    <v>113.91</v>
    <v>114.4</v>
    <v>105.72</v>
    <v>102.82</v>
    <v>98.5</v>
    <v>121.16</v>
    <v>147.41</v>
    <v>167.69</v>
    <v>192.53</v>
    <v>180.49</v>
    <v>158.38</v>
    <v>166.9</v>
    <v>162.21</v>
    <v>144.47999999999999</v>
    <v>148.56</v>
    <v>164.08</v>
    <v>144.07</v>
    <v>137.17500000000001</v>
    <v>13.25</v>
  </a>
  <a r="1" c="60">
    <v>138.31</v>
    <v>117.65</v>
    <v>96.6</v>
    <v>108.15</v>
    <v>117.3</v>
    <v>111.51</v>
    <v>116.94</v>
    <v>131.87</v>
    <v>124.08</v>
    <v>121.25</v>
    <v>148.01</v>
    <v>181.18</v>
    <v>168.17</v>
    <v>189.04</v>
    <v>184.52</v>
    <v>186.02</v>
    <v>178.65</v>
    <v>175.77</v>
    <v>176.02</v>
    <v>181.3</v>
    <v>169.17</v>
    <v>169.07</v>
    <v>144.9</v>
    <v>154.88999999999999</v>
    <v>142.97</v>
    <v>148.46</v>
    <v>137.16</v>
    <v>111.63</v>
    <v>110.44</v>
    <v>94.4</v>
    <v>106.1</v>
    <v>112.08</v>
    <v>94.33</v>
    <v>106.54</v>
    <v>97.87</v>
    <v>86.88</v>
    <v>108.49</v>
    <v>99.61</v>
    <v>100.13</v>
    <v>102.5</v>
    <v>87.96</v>
    <v>89.28</v>
    <v>88.89</v>
    <v>83.68</v>
    <v>81.05</v>
    <v>81.59</v>
    <v>92.69</v>
    <v>90.29</v>
    <v>96.05</v>
    <v>111.58</v>
    <v>122.36</v>
    <v>111.1</v>
    <v>103.91</v>
    <v>99.29</v>
    <v>93.69</v>
    <v>90.38</v>
    <v>96.19</v>
    <v>96.2</v>
    <v>117.47</v>
    <v>114.73</v>
  </a>
  <a r="1" c="60">
    <v>96.3</v>
    <v>89.38</v>
    <v>82.74</v>
    <v>87.18</v>
    <v>98.58</v>
    <v>98.05</v>
    <v>97.61</v>
    <v>111.89</v>
    <v>125.54</v>
    <v>120.08</v>
    <v>134.69999999999999</v>
    <v>141.47</v>
    <v>133.59</v>
    <v>134.78</v>
    <v>132.88999999999999</v>
    <v>132.62</v>
    <v>136.46</v>
    <v>154.49</v>
    <v>167.51</v>
    <v>164.74</v>
    <v>145.22999999999999</v>
    <v>167.29</v>
    <v>169.24</v>
    <v>166.67</v>
    <v>148.07</v>
    <v>136.55000000000001</v>
    <v>134.56</v>
    <v>124.7</v>
    <v>118.85</v>
    <v>102.2</v>
    <v>114.92</v>
    <v>106.45</v>
    <v>83.12</v>
    <v>92.68</v>
    <v>109.69</v>
    <v>117.01</v>
    <v>127.33</v>
    <v>118.79</v>
    <v>122.64</v>
    <v>126.72</v>
    <v>105.26</v>
    <v>110.37</v>
    <v>110.39</v>
    <v>101.71</v>
    <v>95.62</v>
    <v>102.77</v>
    <v>110.27</v>
    <v>108.57</v>
    <v>101.53</v>
    <v>103.93</v>
    <v>93.98</v>
    <v>92.26</v>
    <v>95.05</v>
    <v>75.37</v>
    <v>74.86</v>
    <v>83.32</v>
    <v>88.4</v>
    <v>77.13</v>
    <v>78.77</v>
    <v>76.739999999999995</v>
  </a>
  <a r="1" c="60">
    <v>62.12</v>
    <v>51.44</v>
    <v>37.97</v>
    <v>46.47</v>
    <v>45.47</v>
    <v>44.72</v>
    <v>42.08</v>
    <v>39.94</v>
    <v>34.33</v>
    <v>32.619999999999997</v>
    <v>38.130000000000003</v>
    <v>41.22</v>
    <v>44.84</v>
    <v>54.37</v>
    <v>55.83</v>
    <v>57.24</v>
    <v>58.37</v>
    <v>63.08</v>
    <v>57.57</v>
    <v>54.52</v>
    <v>58.82</v>
    <v>64.47</v>
    <v>59.84</v>
    <v>61.19</v>
    <v>75.959999999999994</v>
    <v>78.42</v>
    <v>82.59</v>
    <v>85.25</v>
    <v>96</v>
    <v>85.64</v>
    <v>96.93</v>
    <v>95.59</v>
    <v>87.31</v>
    <v>110.81</v>
    <v>111.34</v>
    <v>110.3</v>
    <v>116.01</v>
    <v>109.91</v>
    <v>109.66</v>
    <v>118.34</v>
    <v>102.18</v>
    <v>107.25</v>
    <v>107.24</v>
    <v>111.19</v>
    <v>117.58</v>
    <v>105.85</v>
    <v>102.74</v>
    <v>99.98</v>
    <v>102.81</v>
    <v>104.52</v>
    <v>116.24</v>
    <v>118.27</v>
    <v>117.26</v>
    <v>115.12</v>
    <v>118.59</v>
    <v>117.94</v>
    <v>117.22</v>
    <v>116.78</v>
    <v>117.96</v>
    <v>112.67</v>
  </a>
  <a r="1" c="60">
    <v>43.370899999999999</v>
    <v>44.532200000000003</v>
    <v>34.933</v>
    <v>52.1248</v>
    <v>55.6661</v>
    <v>71.986599999999996</v>
    <v>95.382999999999996</v>
    <v>166.10499999999999</v>
    <v>143.00190000000001</v>
    <v>129.34540000000001</v>
    <v>189.19810000000001</v>
    <v>235.221</v>
    <v>264.50740000000002</v>
    <v>225.1644</v>
    <v>222.64109999999999</v>
    <v>236.4776</v>
    <v>208.40459999999999</v>
    <v>226.56440000000001</v>
    <v>229.06440000000001</v>
    <v>245.23750000000001</v>
    <v>258.4907</v>
    <v>371.32960000000003</v>
    <v>381.5829</v>
    <v>352.25650000000002</v>
    <v>312.23689999999999</v>
    <v>290.1404</v>
    <v>359.19639999999998</v>
    <v>290.25040000000001</v>
    <v>252.7508</v>
    <v>224.47110000000001</v>
    <v>297.14699999999999</v>
    <v>275.61</v>
    <v>265.25</v>
    <v>227.54</v>
    <v>194.7</v>
    <v>123.18</v>
    <v>173.22</v>
    <v>205.71</v>
    <v>207.46</v>
    <v>164.31</v>
    <v>203.93</v>
    <v>261.77</v>
    <v>267.43</v>
    <v>258.08</v>
    <v>250.22</v>
    <v>200.84</v>
    <v>240.08</v>
    <v>248.48</v>
    <v>187.29</v>
    <v>201.88</v>
    <v>175.79</v>
    <v>183.28</v>
    <v>178.08</v>
    <v>197.88</v>
    <v>232.07</v>
    <v>214.11</v>
    <v>261.63</v>
    <v>249.85</v>
    <v>345.16</v>
    <v>400.99</v>
  </a>
  <a r="1" c="251">
    <v>145.94</v>
    <v>148.58000000000001</v>
    <v>144.66</v>
    <v>143.96</v>
    <v>146.16999999999999</v>
    <v>146.16999999999999</v>
    <v>143.91</v>
    <v>144.26</v>
    <v>145.28</v>
    <v>145.94</v>
    <v>146.06</v>
    <v>145.72999999999999</v>
    <v>146.54</v>
    <v>148.74</v>
    <v>147.84</v>
    <v>148.65</v>
    <v>147.41999999999999</v>
    <v>148.69</v>
    <v>149.30000000000001</v>
    <v>149.94</v>
    <v>150.51</v>
    <v>150.6</v>
    <v>149.79</v>
    <v>149.94</v>
    <v>148.13999999999999</v>
    <v>147.57</v>
    <v>147.86000000000001</v>
    <v>153.97999999999999</v>
    <v>152.12</v>
    <v>155.62</v>
    <v>156.13999999999999</v>
    <v>156.16</v>
    <v>157.49</v>
    <v>157.13999999999999</v>
    <v>159.18</v>
    <v>158.09</v>
    <v>158.21</v>
    <v>158.96</v>
    <v>159.12</v>
    <v>158.63999999999999</v>
    <v>157.41999999999999</v>
    <v>157.11000000000001</v>
    <v>156.27000000000001</v>
    <v>155.63</v>
    <v>157.01</v>
    <v>157.51</v>
    <v>158.51</v>
    <v>160.4</v>
    <v>160.56</v>
    <v>161.03</v>
    <v>160.22</v>
    <v>159.30000000000001</v>
    <v>160.05000000000001</v>
    <v>158.94</v>
    <v>158.85</v>
    <v>159.56</v>
    <v>159.32</v>
    <v>159.57</v>
    <v>160.62</v>
    <v>160.35</v>
    <v>161.55000000000001</v>
    <v>161.93</v>
    <v>162.30000000000001</v>
    <v>161.5</v>
    <v>161.38</v>
    <v>161.21</v>
    <v>161.83000000000001</v>
    <v>161.99</v>
    <v>161.86000000000001</v>
    <v>161.66</v>
    <v>160.19</v>
    <v>160.55000000000001</v>
    <v>162.61000000000001</v>
    <v>162.25</v>
    <v>160.58000000000001</v>
    <v>160.57</v>
    <v>156.15</v>
    <v>155.44999999999999</v>
    <v>156.1</v>
    <v>156.04</v>
    <v>156.66</v>
    <v>157.24</v>
    <v>155.84</v>
    <v>155.33000000000001</v>
    <v>155.44999999999999</v>
    <v>155.94999999999999</v>
    <v>156.96</v>
    <v>157.29</v>
    <v>158.13999999999999</v>
    <v>160.54</v>
    <v>161.5</v>
    <v>162.6</v>
    <v>162.55000000000001</v>
    <v>161.29</v>
    <v>161.66</v>
    <v>163.19999999999999</v>
    <v>163.4</v>
    <v>163.84</v>
    <v>164.46</v>
    <v>164.44</v>
    <v>165.76</v>
    <v>165.07</v>
    <v>166.04</v>
    <v>166.85</v>
    <v>165.87</v>
    <v>165.76</v>
    <v>166.51</v>
    <v>167.86</v>
    <v>167.64</v>
    <v>167.31</v>
    <v>168.35</v>
    <v>167.81</v>
    <v>165.49</v>
    <v>165.33</v>
    <v>163.11000000000001</v>
    <v>161.65</v>
    <v>162.58000000000001</v>
    <v>164.54</v>
    <v>164.65</v>
    <v>167.01</v>
    <v>166.05</v>
    <v>168.47</v>
    <v>167.06</v>
    <v>167.35</v>
    <v>167.48</v>
    <v>165.18</v>
    <v>166.41</v>
    <v>166.79</v>
    <v>167.5</v>
    <v>168.56</v>
    <v>167.67</v>
    <v>168.26</v>
    <v>168.45</v>
    <v>166.85</v>
    <v>167.45</v>
    <v>166.62</v>
    <v>164.92</v>
    <v>162.72</v>
    <v>163.9</v>
    <v>163.83000000000001</v>
    <v>165.21</v>
    <v>166.52</v>
    <v>165.66</v>
    <v>166.8</v>
    <v>165.54</v>
    <v>166.61</v>
    <v>164.58</v>
    <v>166.95</v>
    <v>169.44</v>
    <v>168.44</v>
    <v>167.96</v>
    <v>168.25</v>
    <v>166.62</v>
    <v>168</v>
    <v>166.9</v>
    <v>169.11</v>
    <v>169.93</v>
    <v>161.69999999999999</v>
    <v>160.76</v>
    <v>165.69</v>
    <v>170.08</v>
    <v>168.06</v>
    <v>168.09</v>
    <v>170.02</v>
    <v>170.87</v>
    <v>170.54</v>
    <v>166.81</v>
    <v>167.29</v>
    <v>168.8</v>
    <v>167.92</v>
    <v>167.89</v>
    <v>168.42</v>
    <v>170.41</v>
    <v>170.16</v>
    <v>170.15</v>
    <v>169.17</v>
    <v>170.35</v>
    <v>169.25</v>
    <v>169.06</v>
    <v>170.03</v>
    <v>171.54</v>
    <v>174.52</v>
    <v>175.9</v>
    <v>175.47</v>
    <v>175.59</v>
    <v>176.06</v>
    <v>177.79</v>
    <v>173.92</v>
    <v>173.47</v>
    <v>174.08</v>
    <v>177.24</v>
    <v>175.88</v>
    <v>173.92</v>
    <v>171.54</v>
    <v>174.22</v>
    <v>173.77</v>
    <v>173.24</v>
    <v>172.26</v>
    <v>173.21</v>
    <v>173.55</v>
    <v>173.2</v>
    <v>173.04</v>
    <v>171.92</v>
    <v>170.12</v>
    <v>168.88</v>
    <v>167.12</v>
    <v>168.16</v>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a>
  <a r="1" c="251">
    <v>334.22</v>
    <v>334.74</v>
    <v>333.17</v>
    <v>334.92</v>
    <v>344.62</v>
    <v>350.36</v>
    <v>349.28</v>
    <v>354.09</v>
    <v>353.39</v>
    <v>354.83</v>
    <v>357.83</v>
    <v>358.32</v>
    <v>353.96</v>
    <v>346.29</v>
    <v>344.47</v>
    <v>347.12</v>
    <v>351.95</v>
    <v>358.66</v>
    <v>357.43</v>
    <v>370.47</v>
    <v>369.67</v>
    <v>374.49</v>
    <v>367.46</v>
    <v>368.37</v>
    <v>376.13</v>
    <v>383.45</v>
    <v>381.78</v>
    <v>385.2</v>
    <v>390.7</v>
    <v>393.18</v>
    <v>394.14</v>
    <v>401.02</v>
    <v>400.06</v>
    <v>390.14</v>
    <v>394.78</v>
    <v>474.99</v>
    <v>459.41</v>
    <v>454.72</v>
    <v>469.59</v>
    <v>470</v>
    <v>468.11</v>
    <v>468.9</v>
    <v>460.12</v>
    <v>473.28</v>
    <v>484.03</v>
    <v>473.32</v>
    <v>471.75</v>
    <v>468.03</v>
    <v>486.13</v>
    <v>484.03</v>
    <v>481.74</v>
    <v>487.05</v>
    <v>484.02</v>
    <v>490.13</v>
    <v>502.3</v>
    <v>498.19</v>
    <v>490.22</v>
    <v>496.09</v>
    <v>512.19000000000005</v>
    <v>505.95</v>
    <v>483.59</v>
    <v>499.75</v>
    <v>495.57</v>
    <v>491.83</v>
    <v>484.1</v>
    <v>496.98</v>
    <v>496.24</v>
    <v>505.52</v>
    <v>507.76</v>
    <v>509.58</v>
    <v>503.02</v>
    <v>495.89</v>
    <v>493.86</v>
    <v>485.58</v>
    <v>491.35</v>
    <v>497.37</v>
    <v>506.74</v>
    <v>510.92</v>
    <v>527.34</v>
    <v>519.25</v>
    <v>516.9</v>
    <v>519.83000000000004</v>
    <v>523.16</v>
    <v>511.9</v>
    <v>500.23</v>
    <v>499.76</v>
    <v>494.17</v>
    <v>501.8</v>
    <v>481.07</v>
    <v>481.73</v>
    <v>496.1</v>
    <v>493.5</v>
    <v>441.38</v>
    <v>443.29</v>
    <v>432.62</v>
    <v>430.17</v>
    <v>439.19</v>
    <v>441.68</v>
    <v>451.96</v>
    <v>465.68</v>
    <v>468.24</v>
    <v>472.6</v>
    <v>475.42</v>
    <v>476.2</v>
    <v>468.01</v>
    <v>471.85</v>
    <v>481.54</v>
    <v>473.23</v>
    <v>471.91</v>
    <v>468.84</v>
    <v>464.63</v>
    <v>467.78</v>
    <v>465.78</v>
    <v>478.22</v>
    <v>479.92</v>
    <v>474.36</v>
    <v>467.05</v>
    <v>466.83</v>
    <v>477.49</v>
    <v>476.99</v>
    <v>495.06</v>
    <v>493.76</v>
    <v>492.96</v>
    <v>502.6</v>
    <v>507.47</v>
    <v>508.84</v>
    <v>504.1</v>
    <v>504.16</v>
    <v>506.63</v>
    <v>499.49</v>
    <v>501.7</v>
    <v>494.78</v>
    <v>498.91</v>
    <v>510.6</v>
    <v>513.12</v>
    <v>519.55999999999995</v>
    <v>504.22</v>
    <v>504.68</v>
    <v>509.5</v>
    <v>509.96</v>
    <v>539.91</v>
    <v>529.32000000000005</v>
    <v>530</v>
    <v>534.69000000000005</v>
    <v>512.70000000000005</v>
    <v>498.87</v>
    <v>496.16</v>
    <v>489.79</v>
    <v>461.99</v>
    <v>475.85</v>
    <v>476.79</v>
    <v>487.4</v>
    <v>488.69</v>
    <v>461.27</v>
    <v>453.41</v>
    <v>465.7</v>
    <v>465.71</v>
    <v>463.19</v>
    <v>474.83</v>
    <v>497.74</v>
    <v>488.14</v>
    <v>475.73</v>
    <v>494.09</v>
    <v>488.92</v>
    <v>509.63</v>
    <v>517.77</v>
    <v>515.95000000000005</v>
    <v>528.54</v>
    <v>526.76</v>
    <v>537.33000000000004</v>
    <v>527.41999999999996</v>
    <v>529.28</v>
    <v>526.73</v>
    <v>535.16</v>
    <v>531.92999999999995</v>
    <v>528</v>
    <v>521.12</v>
    <v>519.1</v>
    <v>516.78</v>
    <v>518.22</v>
    <v>521.30999999999995</v>
    <v>511.76</v>
    <v>512.74</v>
    <v>516.86</v>
    <v>500.27</v>
    <v>504.79</v>
    <v>504.79</v>
    <v>511.83</v>
    <v>525.6</v>
    <v>524.62</v>
    <v>533.28</v>
    <v>536.31500000000005</v>
    <v>537.95000000000005</v>
    <v>559.1</v>
    <v>561.35</v>
    <v>564.41</v>
    <v>563.33000000000004</v>
    <v>568.30999999999995</v>
    <v>567.84</v>
    <v>567.36</v>
    <v>572.44000000000005</v>
    <v>576.47</v>
    <v>572.80999999999995</v>
    <v>582.77</v>
    <v>595.94000000000005</v>
    <v>584.78</v>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a>
  <a r="1" c="251">
    <v>137.61000000000001</v>
    <v>138.19</v>
    <v>138</v>
    <v>139.15</v>
    <v>138.9</v>
    <v>140.15</v>
    <v>135.47</v>
    <v>139.91</v>
    <v>139.6</v>
    <v>143.41</v>
    <v>146.07</v>
    <v>148.76</v>
    <v>147.41</v>
    <v>138.58000000000001</v>
    <v>135.32</v>
    <v>136.01</v>
    <v>138.58000000000001</v>
    <v>146.18</v>
    <v>149.26</v>
    <v>148.54</v>
    <v>148.02000000000001</v>
    <v>146.56</v>
    <v>158.74</v>
    <v>160.16999999999999</v>
    <v>162.66999999999999</v>
    <v>174.23</v>
    <v>168.18</v>
    <v>168.42</v>
    <v>178.29</v>
    <v>180.33</v>
    <v>177.25</v>
    <v>177.83</v>
    <v>172.06</v>
    <v>167.69</v>
    <v>170.48</v>
    <v>177.66</v>
    <v>174.23</v>
    <v>167.88</v>
    <v>170.94</v>
    <v>169.35</v>
    <v>172.48</v>
    <v>171.91</v>
    <v>171.54</v>
    <v>178.7</v>
    <v>176.76</v>
    <v>173.87</v>
    <v>165.69</v>
    <v>164.29</v>
    <v>181.86</v>
    <v>176.52</v>
    <v>176.01</v>
    <v>178</v>
    <v>176.54</v>
    <v>192.53</v>
    <v>202.64</v>
    <v>205.36</v>
    <v>205.13</v>
    <v>210.63</v>
    <v>211.38</v>
    <v>207.39</v>
    <v>198.39</v>
    <v>202.76</v>
    <v>194.79</v>
    <v>187.06</v>
    <v>191.06</v>
    <v>190.65</v>
    <v>181.42</v>
    <v>179.73</v>
    <v>178.68</v>
    <v>179.65</v>
    <v>178.63</v>
    <v>177.87</v>
    <v>179.59</v>
    <v>180.49</v>
    <v>183.34</v>
    <v>178.7</v>
    <v>180.77</v>
    <v>165.83</v>
    <v>170.42</v>
    <v>169.9</v>
    <v>170.78</v>
    <v>167.14</v>
    <v>170.5</v>
    <v>163.28</v>
    <v>160.32</v>
    <v>163.46</v>
    <v>154.02000000000001</v>
    <v>155.08000000000001</v>
    <v>146.63999999999999</v>
    <v>148.63999999999999</v>
    <v>152.27000000000001</v>
    <v>151.74</v>
    <v>153.76</v>
    <v>157.4</v>
    <v>160.19999999999999</v>
    <v>158.38</v>
    <v>144.27000000000001</v>
    <v>146.16</v>
    <v>150.6</v>
    <v>155.78</v>
    <v>154.43</v>
    <v>153.62</v>
    <v>152.38999999999999</v>
    <v>151.91999999999999</v>
    <v>150.56</v>
    <v>153.16</v>
    <v>159.66999999999999</v>
    <v>162.62</v>
    <v>164.47</v>
    <v>166.33</v>
    <v>164.66</v>
    <v>165.52</v>
    <v>160.43</v>
    <v>166.36</v>
    <v>171.61</v>
    <v>165.14</v>
    <v>166.75</v>
    <v>166.9</v>
    <v>163.55000000000001</v>
    <v>159.99</v>
    <v>166.17</v>
    <v>166.78</v>
    <v>167.87</v>
    <v>160.34</v>
    <v>158.96</v>
    <v>160.24</v>
    <v>159.9</v>
    <v>159.63</v>
    <v>158.4</v>
    <v>154.63</v>
    <v>161.78</v>
    <v>161.22999999999999</v>
    <v>160.25</v>
    <v>160.25</v>
    <v>157.54</v>
    <v>159.47</v>
    <v>162.21</v>
    <v>157.69</v>
    <v>164.31</v>
    <v>163.9</v>
    <v>171.9</v>
    <v>178.69</v>
    <v>177.1</v>
    <v>183.96</v>
    <v>181.94</v>
    <v>181.61</v>
    <v>179.83</v>
    <v>177.55</v>
    <v>159.43</v>
    <v>155.77000000000001</v>
    <v>151.58000000000001</v>
    <v>155.87</v>
    <v>154</v>
    <v>144.63</v>
    <v>138.32</v>
    <v>139.99</v>
    <v>139.75</v>
    <v>138.44</v>
    <v>144.47999999999999</v>
    <v>132.54</v>
    <v>132.5</v>
    <v>134.82</v>
    <v>130.18</v>
    <v>128.66999999999999</v>
    <v>136.32</v>
    <v>134.27000000000001</v>
    <v>136.77000000000001</v>
    <v>141.13</v>
    <v>140.75</v>
    <v>147.36000000000001</v>
    <v>148.56</v>
    <v>155.28</v>
    <v>156.4</v>
    <v>157.81</v>
    <v>151.69999999999999</v>
    <v>154.97999999999999</v>
    <v>149.99</v>
    <v>150.5</v>
    <v>146.36000000000001</v>
    <v>145.49</v>
    <v>148.56</v>
    <v>136.94</v>
    <v>140.87</v>
    <v>139.44</v>
    <v>134.35</v>
    <v>138.15</v>
    <v>142.84</v>
    <v>149.86000000000001</v>
    <v>150.77000000000001</v>
    <v>152.31</v>
    <v>152.08000000000001</v>
    <v>150.82</v>
    <v>148.29</v>
    <v>156.74</v>
    <v>155.94999999999999</v>
    <v>156.75</v>
    <v>158.32</v>
    <v>162.02000000000001</v>
    <v>167.49</v>
    <v>164.35</v>
    <v>164.08</v>
    <v>159.75</v>
    <v>159.78</v>
    <v>162.85</v>
    <v>170.9</v>
    <v>170.97</v>
    <v>172.8</v>
    <v>171.02</v>
    <v>164.18</v>
    <v>167.89</v>
    <v>165.27</v>
    <v>156.63999999999999</v>
    <v>156.13</v>
    <v>156.25</v>
    <v>155.97</v>
    <v>157.9</v>
    <v>154.09</v>
    <v>152.91</v>
    <v>153.44</v>
    <v>156.22999999999999</v>
    <v>159.91999999999999</v>
    <v>166.25</v>
    <v>148.6</v>
    <v>144.07</v>
    <v>141.86000000000001</v>
    <v>140.71</v>
    <v>141.66</v>
    <v>145.1</v>
    <v>149.82</v>
    <v>147.94999999999999</v>
    <v>147.35</v>
    <v>143.63</v>
    <v>139.30000000000001</v>
    <v>138.84</v>
    <v>134.9</v>
    <v>138.93</v>
    <v>139.38999999999999</v>
    <v>137.6</v>
    <v>137.49</v>
    <v>138.35</v>
    <v>141.13</v>
    <v>137.72</v>
    <v>136.24</v>
    <v>137.17500000000001</v>
    <v>142.06</v>
    <v>141.97999999999999</v>
    <v>143.99</v>
    <v>141.36000000000001</v>
    <v>138.59</v>
    <v>130.87</v>
    <v>127.74</v>
  </a>
  <a r="1" c="60">
    <v>63.93</v>
    <v>55.52</v>
    <v>54.12</v>
    <v>59.98</v>
    <v>62.93</v>
    <v>59.83</v>
    <v>47.73</v>
    <v>50.95</v>
    <v>51.78</v>
    <v>44.28</v>
    <v>48.35</v>
    <v>49.82</v>
    <v>55.51</v>
    <v>60.78</v>
    <v>64</v>
    <v>57.53</v>
    <v>57.12</v>
    <v>56.14</v>
    <v>53.72</v>
    <v>54.06</v>
    <v>53.28</v>
    <v>49</v>
    <v>49.2</v>
    <v>51.5</v>
    <v>48.82</v>
    <v>47.7</v>
    <v>49.56</v>
    <v>43.59</v>
    <v>44.42</v>
    <v>37.409999999999997</v>
    <v>36.31</v>
    <v>31.92</v>
    <v>25.77</v>
    <v>28.43</v>
    <v>30.07</v>
    <v>26.43</v>
    <v>28.26</v>
    <v>24.93</v>
    <v>32.67</v>
    <v>31.06</v>
    <v>31.44</v>
    <v>33.44</v>
    <v>35.770000000000003</v>
    <v>35.14</v>
    <v>35.549999999999997</v>
    <v>36.5</v>
    <v>44.7</v>
    <v>50.25</v>
    <v>43.08</v>
    <v>43.05</v>
    <v>44.17</v>
    <v>30.47</v>
    <v>30.85</v>
    <v>30.97</v>
    <v>30.74</v>
    <v>22.04</v>
    <v>23.46</v>
    <v>21.52</v>
    <v>24.05</v>
    <v>20.16</v>
  </a>
  <a r="1" c="60">
    <v>124.62</v>
    <v>113.23</v>
    <v>110</v>
    <v>117.87</v>
    <v>115.92</v>
    <v>119.57</v>
    <v>131.12</v>
    <v>138.33000000000001</v>
    <v>138.99</v>
    <v>137.1</v>
    <v>138.87</v>
    <v>139.13999999999999</v>
    <v>128.21</v>
    <v>123.53</v>
    <v>135.43</v>
    <v>133.41999999999999</v>
    <v>134.85</v>
    <v>134.93</v>
    <v>142.22999999999999</v>
    <v>142.38999999999999</v>
    <v>139.80000000000001</v>
    <v>142.99</v>
    <v>144.58000000000001</v>
    <v>163.58000000000001</v>
    <v>160.44999999999999</v>
    <v>155.88999999999999</v>
    <v>152.80000000000001</v>
    <v>160.55000000000001</v>
    <v>147.88</v>
    <v>143.79</v>
    <v>138.91</v>
    <v>137.94</v>
    <v>126.25</v>
    <v>134.66999999999999</v>
    <v>149.16</v>
    <v>151.56</v>
    <v>142.38</v>
    <v>137.56</v>
    <v>148.69</v>
    <v>156.38</v>
    <v>142.5</v>
    <v>151.74</v>
    <v>156.30000000000001</v>
    <v>154.34</v>
    <v>145.86000000000001</v>
    <v>150.03</v>
    <v>153.52000000000001</v>
    <v>146.54</v>
    <v>157.13999999999999</v>
    <v>158.94</v>
    <v>162.25</v>
    <v>163.19999999999999</v>
    <v>164.54</v>
    <v>164.92</v>
    <v>160.76</v>
    <v>171.54</v>
    <v>173.2</v>
    <v>165.18</v>
    <v>179.26</v>
    <v>172.28</v>
  </a>
  <a r="1" c="60">
    <v>182.31</v>
    <v>170.4</v>
    <v>143.97999999999999</v>
    <v>161.94999999999999</v>
    <v>174.79</v>
    <v>187.33</v>
    <v>194.85</v>
    <v>272.64999999999998</v>
    <v>251.32</v>
    <v>232.27</v>
    <v>245.8</v>
    <v>222.53</v>
    <v>225.56</v>
    <v>216.5</v>
    <v>211.87</v>
    <v>230.32</v>
    <v>238.1</v>
    <v>244.27</v>
    <v>241.93</v>
    <v>265.27</v>
    <v>271.22000000000003</v>
    <v>299.69</v>
    <v>284.95999999999998</v>
    <v>254.13</v>
    <v>232.63</v>
    <v>210.53</v>
    <v>212.32</v>
    <v>175.94</v>
    <v>160.24</v>
    <v>165.04</v>
    <v>184.02</v>
    <v>156.12</v>
    <v>143.84</v>
    <v>162.59</v>
    <v>160.25</v>
    <v>132.59</v>
    <v>167.97</v>
    <v>163.61000000000001</v>
    <v>199.78</v>
    <v>198.37</v>
    <v>223.38</v>
    <v>211.26</v>
    <v>225.01</v>
    <v>221.46</v>
    <v>202.78</v>
    <v>200.83</v>
    <v>251.9</v>
    <v>263.14</v>
    <v>281.08999999999997</v>
    <v>308.82</v>
    <v>301.18</v>
    <v>268.94</v>
    <v>234.44</v>
    <v>257.10000000000002</v>
    <v>258.8</v>
    <v>252.9</v>
    <v>273.70999999999998</v>
    <v>291.37</v>
    <v>329.99</v>
    <v>348.82</v>
  </a>
  <a r="1" c="251">
    <v>122.07</v>
    <v>129.24</v>
    <v>137.12</v>
    <v>134.26</v>
    <v>132.68</v>
    <v>133.75</v>
    <v>130.47</v>
    <v>130.96</v>
    <v>132.4</v>
    <v>133.46</v>
    <v>134.18</v>
    <v>135.19</v>
    <v>133.30000000000001</v>
    <v>134.62</v>
    <v>130.52000000000001</v>
    <v>130.29</v>
    <v>130.56</v>
    <v>133.16999999999999</v>
    <v>133.07</v>
    <v>133.55000000000001</v>
    <v>131.32</v>
    <v>131.55000000000001</v>
    <v>129.97</v>
    <v>126.86</v>
    <v>126.26</v>
    <v>128.44</v>
    <v>128.74</v>
    <v>128.01</v>
    <v>125.44</v>
    <v>126.2</v>
    <v>126.87</v>
    <v>127.89</v>
    <v>126.53</v>
    <v>126.69</v>
    <v>130.44</v>
    <v>129.25</v>
    <v>126.91</v>
    <v>130.5</v>
    <v>129.09</v>
    <v>131.66</v>
    <v>132.47999999999999</v>
    <v>132.05000000000001</v>
    <v>130.88</v>
    <v>130.5</v>
    <v>133.1</v>
    <v>133.38999999999999</v>
    <v>133.35</v>
    <v>133.41999999999999</v>
    <v>133.44</v>
    <v>133.21</v>
    <v>132.56</v>
    <v>132.49</v>
    <v>133.99</v>
    <v>133.27000000000001</v>
    <v>134.6</v>
    <v>133.61000000000001</v>
    <v>132.44</v>
    <v>133.08000000000001</v>
    <v>132.74</v>
    <v>135.07</v>
    <v>134.12</v>
    <v>134.57</v>
    <v>133.33000000000001</v>
    <v>130.75</v>
    <v>129.02000000000001</v>
    <v>128.13999999999999</v>
    <v>127.85</v>
    <v>128.69999999999999</v>
    <v>129.88999999999999</v>
    <v>128.62</v>
    <v>127.13</v>
    <v>125.14</v>
    <v>128.86000000000001</v>
    <v>130.22</v>
    <v>127.92</v>
    <v>125.58</v>
    <v>126.09</v>
    <v>124.69</v>
    <v>124.74</v>
    <v>126.17</v>
    <v>126.26</v>
    <v>120.62</v>
    <v>120.25</v>
    <v>119</v>
    <v>115.79</v>
    <v>114.74</v>
    <v>106.49</v>
    <v>104.69</v>
    <v>103.49</v>
    <v>104.08</v>
    <v>104.83</v>
    <v>103.18</v>
    <v>103.35</v>
    <v>104.06</v>
    <v>105.01</v>
    <v>102.05</v>
    <v>101.88</v>
    <v>104.53</v>
    <v>105.89</v>
    <v>104.67</v>
    <v>107.76</v>
    <v>105.88</v>
    <v>108.15</v>
    <v>107.49</v>
    <v>107.68</v>
    <v>108.28</v>
    <v>109.99</v>
    <v>110.79</v>
    <v>111.5</v>
    <v>112.05</v>
    <v>110.6</v>
    <v>109.22</v>
    <v>105.64</v>
    <v>104.75</v>
    <v>105</v>
    <v>105</v>
    <v>107.57</v>
    <v>110.49</v>
    <v>107.4</v>
    <v>108.77</v>
    <v>108.74</v>
    <v>110.01</v>
    <v>110.2</v>
    <v>111.17</v>
    <v>111.58</v>
    <v>112.81</v>
    <v>112.38</v>
    <v>112.29</v>
    <v>111.28</v>
    <v>110.05</v>
    <v>109.16</v>
    <v>109.4</v>
    <v>111.63</v>
    <v>109.83</v>
    <v>110.41</v>
    <v>111.35</v>
    <v>112.31</v>
    <v>111.95</v>
    <v>113.21</v>
    <v>113.3</v>
    <v>114.46</v>
    <v>114.41</v>
    <v>114.45</v>
    <v>116.54</v>
    <v>120.41</v>
    <v>120.15</v>
    <v>121.14</v>
    <v>121.49</v>
    <v>123.21</v>
    <v>122.62</v>
    <v>123.75</v>
    <v>126.66</v>
    <v>125.68</v>
    <v>123.08</v>
    <v>120.43</v>
    <v>122.68</v>
    <v>123.95</v>
    <v>126.09</v>
    <v>126.05</v>
    <v>127.72</v>
    <v>123.98</v>
    <v>118.94</v>
    <v>121.05</v>
    <v>120.15</v>
    <v>121.99</v>
    <v>121.9</v>
    <v>119.99</v>
    <v>122.68</v>
    <v>123.42</v>
    <v>124.77</v>
    <v>122.85</v>
    <v>124.7</v>
    <v>124.15</v>
    <v>124.47</v>
    <v>125.98</v>
    <v>128.86000000000001</v>
    <v>128.9</v>
    <v>128.94</v>
    <v>126.9</v>
    <v>125.33</v>
    <v>127.82</v>
    <v>128.37</v>
    <v>128.27000000000001</v>
    <v>127.41</v>
    <v>127.23</v>
    <v>130.25</v>
    <v>132.4</v>
    <v>130.69</v>
    <v>130.29</v>
    <v>129.97999999999999</v>
    <v>129.28</v>
    <v>128.87</v>
    <v>127.02</v>
    <v>128.5</v>
    <v>125.47</v>
    <v>126.63</v>
    <v>126.68</v>
    <v>125.39</v>
    <v>125.23</v>
    <v>125.59</v>
    <v>126.28</v>
    <v>124.61</v>
    <v>124.18</v>
    <v>122.04</v>
    <v>122.42</v>
    <v>120</v>
    <v>119.34</v>
    <v>118.84</v>
    <v>118.28</v>
    <v>120.24</v>
    <v>120.46</v>
    <v>121.39</v>
    <v>126.97</v>
    <v>122.7</v>
    <v>122.5</v>
    <v>117.77</v>
    <v>118.94</v>
    <v>120.83</v>
    <v>120.39</v>
    <v>117.54</v>
    <v>117.81</v>
    <v>115.31</v>
    <v>115.87</v>
    <v>112.94</v>
    <v>113.4</v>
    <v>113.86</v>
    <v>114.43</v>
    <v>113.74</v>
    <v>114.21</v>
    <v>115.83</v>
    <v>114.1</v>
    <v>112.75</v>
    <v>116.57</v>
    <v>114.75</v>
    <v>113.42</v>
    <v>114.65</v>
    <v>115.13</v>
    <v>114.54</v>
    <v>113.97</v>
    <v>115.8</v>
    <v>118.07</v>
    <v>116.17</v>
    <v>117.8</v>
    <v>116.78</v>
    <v>115.84</v>
    <v>116.4</v>
    <v>115.05</v>
    <v>113.79</v>
    <v>112</v>
    <v>115.42</v>
    <v>113.15</v>
  </a>
  <a r="1" c="60">
    <v>92.88</v>
    <v>84.28</v>
    <v>80.37</v>
    <v>89.23</v>
    <v>91.5</v>
    <v>93.33</v>
    <v>105.42</v>
    <v>101.86</v>
    <v>100.62</v>
    <v>99.2</v>
    <v>100.05</v>
    <v>99.66</v>
    <v>103.2</v>
    <v>99.07</v>
    <v>106</v>
    <v>116.53</v>
    <v>117.84</v>
    <v>119.53</v>
    <v>128.04</v>
    <v>134.66</v>
    <v>125.43</v>
    <v>144.96</v>
    <v>150.75</v>
    <v>168.36</v>
    <v>156.82</v>
    <v>145.85</v>
    <v>161.47999999999999</v>
    <v>160.29</v>
    <v>127.48</v>
    <v>117.65</v>
    <v>132.56</v>
    <v>124.51</v>
    <v>101.6</v>
    <v>110.75</v>
    <v>117.79</v>
    <v>112.73</v>
    <v>129.28</v>
    <v>123.4</v>
    <v>124.77</v>
    <v>125.25</v>
    <v>124.55</v>
    <v>122.63</v>
    <v>124.75</v>
    <v>124.2</v>
    <v>112.21</v>
    <v>100.75</v>
    <v>114.93</v>
    <v>133.30000000000001</v>
    <v>126.69</v>
    <v>133.27000000000001</v>
    <v>130.22</v>
    <v>102.05</v>
    <v>110.49</v>
    <v>112.31</v>
    <v>126.05</v>
    <v>127.82</v>
    <v>126.28</v>
    <v>112.94</v>
    <v>116.78</v>
    <v>113.15</v>
  </a>
  <a r="1" c="251">
    <v>132.52000000000001</v>
    <v>132.57</v>
    <v>131.94</v>
    <v>132.6</v>
    <v>135.80000000000001</v>
    <v>136.65</v>
    <v>138.34</v>
    <v>140.41999999999999</v>
    <v>141.49</v>
    <v>141.52000000000001</v>
    <v>140.37</v>
    <v>140.22999999999999</v>
    <v>139.69</v>
    <v>138.16999999999999</v>
    <v>138.91999999999999</v>
    <v>136.38999999999999</v>
    <v>135.72999999999999</v>
    <v>138.84</v>
    <v>140.94999999999999</v>
    <v>142.28</v>
    <v>142.08000000000001</v>
    <v>142.65</v>
    <v>142.49</v>
    <v>141.47</v>
    <v>143.47999999999999</v>
    <v>146.38</v>
    <v>145.99</v>
    <v>147.04</v>
    <v>148.69999999999999</v>
    <v>151.87</v>
    <v>152.185</v>
    <v>153.51</v>
    <v>151.46</v>
    <v>140.1</v>
    <v>141.16</v>
    <v>142.38</v>
    <v>143.68</v>
    <v>144.1</v>
    <v>145.54</v>
    <v>145.91</v>
    <v>149</v>
    <v>147.53</v>
    <v>145.13999999999999</v>
    <v>145.94</v>
    <v>142.77000000000001</v>
    <v>140.52000000000001</v>
    <v>141.12</v>
    <v>142.55000000000001</v>
    <v>144.09</v>
    <v>143.96</v>
    <v>137.57</v>
    <v>138.88</v>
    <v>136.38</v>
    <v>138.46</v>
    <v>137.13999999999999</v>
    <v>133.35</v>
    <v>132.66999999999999</v>
    <v>131.4</v>
    <v>134.38</v>
    <v>135.41</v>
    <v>137.66999999999999</v>
    <v>138.5</v>
    <v>139.79</v>
    <v>143.1</v>
    <v>141.18</v>
    <v>147.68</v>
    <v>147.03</v>
    <v>148.74</v>
    <v>147.6</v>
    <v>150.77000000000001</v>
    <v>150.07</v>
    <v>150.66999999999999</v>
    <v>150.87</v>
    <v>150.93</v>
    <v>155.49</v>
    <v>154.56</v>
    <v>154.91999999999999</v>
    <v>150.53</v>
    <v>152.5</v>
    <v>154.85</v>
    <v>156.6</v>
    <v>156.13999999999999</v>
    <v>159.41</v>
    <v>157.72999999999999</v>
    <v>154.86000000000001</v>
    <v>154.4</v>
    <v>155.47</v>
    <v>156.01</v>
    <v>154.09</v>
    <v>156.28</v>
    <v>158.26</v>
    <v>159.13</v>
    <v>156</v>
    <v>171.95</v>
    <v>166.15</v>
    <v>162.78</v>
    <v>163.86</v>
    <v>166.62</v>
    <v>167.24</v>
    <v>168.1</v>
    <v>171.25</v>
    <v>169.38</v>
    <v>169.96</v>
    <v>168.65</v>
    <v>169.14</v>
    <v>170.34</v>
    <v>172.51</v>
    <v>174.18</v>
    <v>176.06</v>
    <v>176.92</v>
    <v>177.85</v>
    <v>176.38</v>
    <v>173.55</v>
    <v>174.99</v>
    <v>176.4</v>
    <v>175.9</v>
    <v>172.11</v>
    <v>172.5</v>
    <v>173.17</v>
    <v>173.79</v>
    <v>175.41</v>
    <v>176.73</v>
    <v>174.46</v>
    <v>175.01</v>
    <v>176.62</v>
    <v>177.79</v>
    <v>175.16</v>
    <v>176.79</v>
    <v>177.24</v>
    <v>175.09</v>
    <v>176.3</v>
    <v>179.63</v>
    <v>179.22</v>
    <v>184.03</v>
    <v>183.88</v>
    <v>185.41</v>
    <v>182.15</v>
    <v>182.99</v>
    <v>185.24</v>
    <v>185.82</v>
    <v>190.6</v>
    <v>189.03</v>
    <v>188.98</v>
    <v>191.18</v>
    <v>185.57</v>
    <v>185.07</v>
    <v>186.53</v>
    <v>183.92</v>
    <v>181.02</v>
    <v>177.69</v>
    <v>177.66</v>
    <v>181.67</v>
    <v>181.79</v>
    <v>172.63</v>
    <v>167.28</v>
    <v>167</v>
    <v>169.53</v>
    <v>170.29</v>
    <v>171.54</v>
    <v>170.76</v>
    <v>166.66</v>
    <v>159.25</v>
    <v>158.29</v>
    <v>158.94</v>
    <v>162.03</v>
    <v>163.66999999999999</v>
    <v>162.29</v>
    <v>164.16</v>
    <v>160.37</v>
    <v>161.30000000000001</v>
    <v>162.96</v>
    <v>166.67</v>
    <v>167.18</v>
    <v>165.85</v>
    <v>163.80000000000001</v>
    <v>165.62</v>
    <v>166.16</v>
    <v>164.68</v>
    <v>162.85</v>
    <v>161.78</v>
    <v>163.38</v>
    <v>157.36000000000001</v>
    <v>156.44999999999999</v>
    <v>157.24</v>
    <v>150.91999999999999</v>
    <v>148.71</v>
    <v>148.66</v>
    <v>151.16</v>
    <v>154.69</v>
    <v>157.46</v>
    <v>158.06</v>
    <v>159.32</v>
    <v>159.81</v>
    <v>162.13999999999999</v>
    <v>163.59</v>
    <v>161.85</v>
    <v>162.29</v>
    <v>161.49</v>
    <v>162.72999999999999</v>
    <v>163.95</v>
    <v>165.85</v>
    <v>166.99</v>
    <v>165.86</v>
    <v>165.86</v>
    <v>167.06</v>
    <v>162.97999999999999</v>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a>
  <a r="1" c="60">
    <v>71.638999999999996</v>
    <v>66.962500000000006</v>
    <v>58.097499999999997</v>
    <v>67.334999999999994</v>
    <v>71.676000000000002</v>
    <v>70.902500000000003</v>
    <v>74.397499999999994</v>
    <v>81.476500000000001</v>
    <v>73.28</v>
    <v>80.805499999999995</v>
    <v>87.72</v>
    <v>87.632000000000005</v>
    <v>91.367999999999995</v>
    <v>101.0955</v>
    <v>103.126</v>
    <v>117.675</v>
    <v>117.8425</v>
    <v>122.0895</v>
    <v>134.72649999999999</v>
    <v>144.69749999999999</v>
    <v>133.67599999999999</v>
    <v>148.04599999999999</v>
    <v>141.89750000000001</v>
    <v>144.852</v>
    <v>135.30350000000001</v>
    <v>135.05699999999999</v>
    <v>139.0675</v>
    <v>114.1095</v>
    <v>113.762</v>
    <v>108.96299999999999</v>
    <v>116.32</v>
    <v>108.22</v>
    <v>95.65</v>
    <v>94.51</v>
    <v>100.99</v>
    <v>88.23</v>
    <v>98.84</v>
    <v>90.06</v>
    <v>103.73</v>
    <v>107.34</v>
    <v>122.87</v>
    <v>119.7</v>
    <v>132.72</v>
    <v>136.16999999999999</v>
    <v>130.86000000000001</v>
    <v>124.08</v>
    <v>132.53</v>
    <v>139.69</v>
    <v>140.1</v>
    <v>138.46</v>
    <v>150.93</v>
    <v>162.78</v>
    <v>172.5</v>
    <v>182.15</v>
    <v>171.54</v>
    <v>163.38</v>
    <v>165.85</v>
    <v>171.11</v>
    <v>168.95</v>
    <v>185.17</v>
  </a>
  <a r="1" c="60">
    <v>318.27</v>
    <v>275.11</v>
    <v>149.13999999999999</v>
    <v>141.02000000000001</v>
    <v>145.85</v>
    <v>183.3</v>
    <v>158</v>
    <v>171.82</v>
    <v>165.26</v>
    <v>144.38999999999999</v>
    <v>210.71</v>
    <v>214.06</v>
    <v>194.19</v>
    <v>212.01</v>
    <v>254.72</v>
    <v>234.31</v>
    <v>247.02</v>
    <v>239.56</v>
    <v>226.48</v>
    <v>219.5</v>
    <v>219.94</v>
    <v>207.03</v>
    <v>197.85</v>
    <v>201.32</v>
    <v>200.24</v>
    <v>205.34</v>
    <v>191.5</v>
    <v>148.84</v>
    <v>131.4</v>
    <v>136.72</v>
    <v>159.31</v>
    <v>160.25</v>
    <v>121.08</v>
    <v>142.51</v>
    <v>178.88</v>
    <v>190.49</v>
    <v>213</v>
    <v>201.55</v>
    <v>212.43</v>
    <v>206.78</v>
    <v>205.7</v>
    <v>211.16</v>
    <v>238.85</v>
    <v>224.03</v>
    <v>191.68</v>
    <v>186.82</v>
    <v>231.63</v>
    <v>260.66000000000003</v>
    <v>211.04</v>
    <v>203.72</v>
    <v>192.99</v>
    <v>167.84</v>
    <v>177.61</v>
    <v>182.01</v>
    <v>190.6</v>
    <v>173.74</v>
    <v>152.04</v>
    <v>149.31</v>
    <v>155.44</v>
    <v>164.1</v>
  </a>
  <a r="1" c="60">
    <v>52.45</v>
    <v>49.46</v>
    <v>48.33</v>
    <v>52.97</v>
    <v>53.77</v>
    <v>55.27</v>
    <v>55.45</v>
    <v>57.22</v>
    <v>59.7</v>
    <v>56.11</v>
    <v>57.72</v>
    <v>64.69</v>
    <v>60.43</v>
    <v>64.510000000000005</v>
    <v>70.17</v>
    <v>75.790000000000006</v>
    <v>78.739999999999995</v>
    <v>77.84</v>
    <v>87.14</v>
    <v>89.13</v>
    <v>87.13</v>
    <v>95.94</v>
    <v>90.74</v>
    <v>87.21</v>
    <v>81.16</v>
    <v>75.97</v>
    <v>82.73</v>
    <v>73.400000000000006</v>
    <v>71.92</v>
    <v>69.87</v>
    <v>77.84</v>
    <v>74.150000000000006</v>
    <v>61.07</v>
    <v>78.069999999999993</v>
    <v>83.03</v>
    <v>81.739999999999995</v>
    <v>88.46</v>
    <v>87.4</v>
    <v>92.92</v>
    <v>94.72</v>
    <v>105.94</v>
    <v>119.09</v>
    <v>117.23</v>
    <v>120.39</v>
    <v>105.92</v>
    <v>103.4</v>
    <v>116.21</v>
    <v>105.43</v>
    <v>111.7</v>
    <v>111.68</v>
    <v>125.61</v>
    <v>113.75</v>
    <v>117.19</v>
    <v>141.19999999999999</v>
    <v>139.44999999999999</v>
    <v>141.29</v>
    <v>170.4</v>
    <v>167.84</v>
    <v>184.84</v>
    <v>177.74</v>
  </a>
  <a r="1" c="60">
    <v>170.23</v>
    <v>162.01</v>
    <v>157.71</v>
    <v>179.21</v>
    <v>183.25</v>
    <v>203.51</v>
    <v>205.01</v>
    <v>225.53</v>
    <v>210.33</v>
    <v>202.47</v>
    <v>214.07</v>
    <v>222.42</v>
    <v>231.96</v>
    <v>232.38</v>
    <v>235.77</v>
    <v>252.18</v>
    <v>249.68</v>
    <v>270.89999999999998</v>
    <v>284.91000000000003</v>
    <v>301.88</v>
    <v>281.92</v>
    <v>331.62</v>
    <v>330.59</v>
    <v>336.32</v>
    <v>310.98</v>
    <v>298.79000000000002</v>
    <v>308.31</v>
    <v>277.52</v>
    <v>271.87</v>
    <v>256.83</v>
    <v>280.74</v>
    <v>261.47000000000003</v>
    <v>232.9</v>
    <v>232.13</v>
    <v>255.14</v>
    <v>239.82</v>
    <v>247.81</v>
    <v>249.42</v>
    <v>288.3</v>
    <v>307.26</v>
    <v>328.39</v>
    <v>340.54</v>
    <v>335.92</v>
    <v>327.76</v>
    <v>315.75</v>
    <v>338.11</v>
    <v>378.91</v>
    <v>376.04</v>
    <v>397.58</v>
    <v>413.64</v>
    <v>420.72</v>
    <v>389.33</v>
    <v>415.13</v>
    <v>446.95</v>
    <v>418.35</v>
    <v>417.14</v>
    <v>430.3</v>
    <v>406.35</v>
    <v>423.46</v>
    <v>443.33</v>
  </a>
  <a r="1" c="251">
    <v>291.42</v>
    <v>295.93</v>
    <v>290.02</v>
    <v>287.27</v>
    <v>290.23</v>
    <v>290.73</v>
    <v>288.99</v>
    <v>291.39</v>
    <v>291.7</v>
    <v>292.86</v>
    <v>294.55</v>
    <v>295.83999999999997</v>
    <v>296.51</v>
    <v>297.04000000000002</v>
    <v>294.39</v>
    <v>291.74</v>
    <v>288.99</v>
    <v>291.89999999999998</v>
    <v>290.87</v>
    <v>294.08999999999997</v>
    <v>294.14999999999998</v>
    <v>293.47000000000003</v>
    <v>291.08999999999997</v>
    <v>291.16000000000003</v>
    <v>294.36</v>
    <v>300.52999999999997</v>
    <v>298.41000000000003</v>
    <v>300.05</v>
    <v>300.44</v>
    <v>297.20999999999998</v>
    <v>292.26</v>
    <v>292.31</v>
    <v>294.64999999999998</v>
    <v>292.72000000000003</v>
    <v>298.08</v>
    <v>297.05</v>
    <v>285.97000000000003</v>
    <v>284.64999999999998</v>
    <v>287.33</v>
    <v>291.93</v>
    <v>289.47000000000003</v>
    <v>289.44</v>
    <v>287.11</v>
    <v>288.17</v>
    <v>291.86</v>
    <v>292.02</v>
    <v>292.64999999999998</v>
    <v>293.91000000000003</v>
    <v>295.92</v>
    <v>297.75</v>
    <v>297.12</v>
    <v>293.76</v>
    <v>295.19</v>
    <v>292.27999999999997</v>
    <v>290.73</v>
    <v>290.94</v>
    <v>292.54000000000002</v>
    <v>292.93</v>
    <v>291.11</v>
    <v>292.55</v>
    <v>294.82</v>
    <v>294.31</v>
    <v>282.86</v>
    <v>281.73</v>
    <v>279.14</v>
    <v>278.58</v>
    <v>282.87</v>
    <v>284.45</v>
    <v>283.52999999999997</v>
    <v>282.63</v>
    <v>278.62</v>
    <v>278.62</v>
    <v>282.02</v>
    <v>281.95</v>
    <v>280.22000000000003</v>
    <v>277.74</v>
    <v>275.54000000000002</v>
    <v>270.08999999999997</v>
    <v>266.69</v>
    <v>267.56</v>
    <v>269.44</v>
    <v>268.67</v>
    <v>268.62</v>
    <v>267.39</v>
    <v>266.23</v>
    <v>265.43</v>
    <v>269.95</v>
    <v>270.98</v>
    <v>271.99</v>
    <v>275.58</v>
    <v>276.88</v>
    <v>276.75</v>
    <v>275.60000000000002</v>
    <v>273.08999999999997</v>
    <v>273.55</v>
    <v>273.04000000000002</v>
    <v>274.43</v>
    <v>273.27999999999997</v>
    <v>270.32</v>
    <v>269.3</v>
    <v>267.5</v>
    <v>268.49</v>
    <v>267.95</v>
    <v>275</v>
    <v>271.32</v>
    <v>270.66000000000003</v>
    <v>273.87</v>
    <v>273.51</v>
    <v>272.38</v>
    <v>267.87</v>
    <v>265.87</v>
    <v>265.77</v>
    <v>257.93</v>
    <v>258.11</v>
    <v>253.54</v>
    <v>249.37</v>
    <v>252.07</v>
    <v>258.89</v>
    <v>259.75</v>
    <v>262.72000000000003</v>
    <v>259.99</v>
    <v>260.72000000000003</v>
    <v>256.20999999999998</v>
    <v>253.81</v>
    <v>254.28</v>
    <v>254.48</v>
    <v>253.7</v>
    <v>253.58</v>
    <v>253.51</v>
    <v>250.79</v>
    <v>253.8</v>
    <v>259.39</v>
    <v>260.38</v>
    <v>257.38</v>
    <v>257.83</v>
    <v>258.17</v>
    <v>254.84</v>
    <v>249.99</v>
    <v>247.79</v>
    <v>250</v>
    <v>251.09</v>
    <v>247.85</v>
    <v>245.82</v>
    <v>250.49</v>
    <v>254.8</v>
    <v>253.9</v>
    <v>251.53</v>
    <v>257.27</v>
    <v>261</v>
    <v>259.52</v>
    <v>257.27999999999997</v>
    <v>259.54000000000002</v>
    <v>254.05</v>
    <v>253.37</v>
    <v>251.46</v>
    <v>252</v>
    <v>261.42</v>
    <v>266.44</v>
    <v>265.39999999999998</v>
    <v>268.75</v>
    <v>276.69</v>
    <v>268.45</v>
    <v>270.06</v>
    <v>269.37</v>
    <v>271.19</v>
    <v>267.91000000000003</v>
    <v>269.45999999999998</v>
    <v>270.31</v>
    <v>271.14999999999998</v>
    <v>274.87</v>
    <v>278.49</v>
    <v>287.55</v>
    <v>285.63</v>
    <v>289.70999999999998</v>
    <v>289.20999999999998</v>
    <v>289.52</v>
    <v>288.68</v>
    <v>289.64</v>
    <v>287.05</v>
    <v>287.86</v>
    <v>288.66000000000003</v>
    <v>285.52</v>
    <v>288.02999999999997</v>
    <v>287.97000000000003</v>
    <v>289.51</v>
    <v>291.29000000000002</v>
    <v>291.27</v>
    <v>290.23</v>
    <v>292.35000000000002</v>
    <v>296.52999999999997</v>
    <v>296.69</v>
    <v>293.75</v>
    <v>292.02999999999997</v>
    <v>293.85000000000002</v>
    <v>296.83</v>
    <v>299.06</v>
    <v>300.27</v>
    <v>300.47000000000003</v>
    <v>303.64999999999998</v>
    <v>303.69</v>
    <v>304.51</v>
    <v>302.98</v>
    <v>303.76</v>
    <v>303.45</v>
    <v>303.76</v>
    <v>300.85000000000002</v>
    <v>301.89999999999998</v>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a>
  <a r="1" c="60">
    <v>53.22</v>
    <v>46.44</v>
    <v>34.450000000000003</v>
    <v>36.5</v>
    <v>35.56</v>
    <v>36.82</v>
    <v>36.840000000000003</v>
    <v>36.4</v>
    <v>35.85</v>
    <v>38.950000000000003</v>
    <v>43.21</v>
    <v>46.59</v>
    <v>42.85</v>
    <v>50</v>
    <v>55.31</v>
    <v>59.35</v>
    <v>60.78</v>
    <v>56.97</v>
    <v>55.54</v>
    <v>57.39</v>
    <v>59.44</v>
    <v>60.37</v>
    <v>55.34</v>
    <v>56.17</v>
    <v>58.19</v>
    <v>56.54</v>
    <v>53.15</v>
    <v>48.56</v>
    <v>53.07</v>
    <v>46.02</v>
    <v>47.2</v>
    <v>45.61</v>
    <v>40.32</v>
    <v>42.45</v>
    <v>45.39</v>
    <v>43.61</v>
    <v>49.8</v>
    <v>47.73</v>
    <v>36.049999999999997</v>
    <v>34.28</v>
    <v>29.9</v>
    <v>33.04</v>
    <v>39.68</v>
    <v>36.53</v>
    <v>33.06</v>
    <v>31.88</v>
    <v>38.119999999999997</v>
    <v>43.28</v>
    <v>41.54</v>
    <v>41.96</v>
    <v>44.7</v>
    <v>40.630000000000003</v>
    <v>40.549999999999997</v>
    <v>39.700000000000003</v>
    <v>44.88</v>
    <v>47.23</v>
    <v>45.73</v>
    <v>48.31</v>
    <v>53.29</v>
    <v>51.57</v>
  </a>
  <a r="1" c="60">
    <v>237.75</v>
    <v>200.77</v>
    <v>154.59</v>
    <v>183.42</v>
    <v>196.49</v>
    <v>197.62</v>
    <v>197.96</v>
    <v>204.87</v>
    <v>200.97</v>
    <v>189.04</v>
    <v>230.58</v>
    <v>263.70999999999998</v>
    <v>271.17</v>
    <v>319.48</v>
    <v>327</v>
    <v>348.45</v>
    <v>372.02</v>
    <v>379.53</v>
    <v>374.88</v>
    <v>413.51</v>
    <v>378.03</v>
    <v>413.35</v>
    <v>380.99</v>
    <v>382.55</v>
    <v>354.68</v>
    <v>341.29</v>
    <v>330.1</v>
    <v>305.49</v>
    <v>326.85000000000002</v>
    <v>297.02</v>
    <v>333.39</v>
    <v>332.67</v>
    <v>293.05</v>
    <v>344.51</v>
    <v>386.15</v>
    <v>343.38</v>
    <v>365.81</v>
    <v>351.65</v>
    <v>327.11</v>
    <v>343.44</v>
    <v>323.89999999999998</v>
    <v>322.54000000000002</v>
    <v>355.87</v>
    <v>327.71</v>
    <v>323.57</v>
    <v>303.61</v>
    <v>341.54</v>
    <v>385.77</v>
    <v>384.01</v>
    <v>389.05</v>
    <v>417.69</v>
    <v>426.71</v>
    <v>456.52</v>
    <v>452.32</v>
    <v>509.03</v>
    <v>510.25</v>
    <v>495.11</v>
    <v>517.79</v>
    <v>608.57000000000005</v>
    <v>585.03</v>
  </a>
  <a r="1" c="251">
    <v>47.656999999999996</v>
    <v>48.088000000000001</v>
    <v>48.35</v>
    <v>48.89</v>
    <v>50.076999999999998</v>
    <v>49.603999999999999</v>
    <v>48.110999999999997</v>
    <v>48.99</v>
    <v>48.83</v>
    <v>49.279000000000003</v>
    <v>49.417000000000002</v>
    <v>49.521999999999998</v>
    <v>49.521999999999998</v>
    <v>48.167999999999999</v>
    <v>47.569000000000003</v>
    <v>47.997999999999998</v>
    <v>49.097000000000001</v>
    <v>52.253</v>
    <v>53.14</v>
    <v>54.35</v>
    <v>54.822000000000003</v>
    <v>54.71</v>
    <v>56.381999999999998</v>
    <v>56.052999999999997</v>
    <v>57.106999999999999</v>
    <v>59.491</v>
    <v>59.654000000000003</v>
    <v>59.872999999999998</v>
    <v>61.362000000000002</v>
    <v>61.616999999999997</v>
    <v>61.030999999999999</v>
    <v>62.465000000000003</v>
    <v>62.774000000000001</v>
    <v>61.527000000000001</v>
    <v>63.027000000000001</v>
    <v>66.16</v>
    <v>69.331999999999994</v>
    <v>68.222999999999999</v>
    <v>70.099000000000004</v>
    <v>69.641000000000005</v>
    <v>72.132999999999996</v>
    <v>72.248000000000005</v>
    <v>72.128</v>
    <v>73.900000000000006</v>
    <v>72.658000000000001</v>
    <v>72.613</v>
    <v>69.451999999999998</v>
    <v>67.471999999999994</v>
    <v>78.537999999999997</v>
    <v>78.816999999999993</v>
    <v>79.091999999999999</v>
    <v>78.700999999999993</v>
    <v>77.662999999999997</v>
    <v>79.111999999999995</v>
    <v>82.278999999999996</v>
    <v>85.236999999999995</v>
    <v>85.963999999999999</v>
    <v>88.7</v>
    <v>92.668999999999997</v>
    <v>87.528000000000006</v>
    <v>85.774000000000001</v>
    <v>91.912999999999997</v>
    <v>90.888000000000005</v>
    <v>87.944000000000003</v>
    <v>87.836500000000001</v>
    <v>88.454999999999998</v>
    <v>89.397999999999996</v>
    <v>90.372</v>
    <v>91.435000000000002</v>
    <v>94.289000000000001</v>
    <v>95.001999999999995</v>
    <v>92.561000000000007</v>
    <v>90.25</v>
    <v>90.355999999999995</v>
    <v>90.363</v>
    <v>89.451999999999998</v>
    <v>88.963999999999999</v>
    <v>85.905000000000001</v>
    <v>88.007999999999996</v>
    <v>87.132999999999996</v>
    <v>85.353999999999999</v>
    <v>87.039000000000001</v>
    <v>90.616</v>
    <v>88.186000000000007</v>
    <v>86.001000000000005</v>
    <v>87.415000000000006</v>
    <v>84.034999999999997</v>
    <v>84.671000000000006</v>
    <v>76.2</v>
    <v>79.518000000000001</v>
    <v>82.423000000000002</v>
    <v>79.677000000000007</v>
    <v>82.632000000000005</v>
    <v>87.734999999999999</v>
    <v>87.757000000000005</v>
    <v>86.402000000000001</v>
    <v>83.040999999999997</v>
    <v>85.816999999999993</v>
    <v>88.789000000000001</v>
    <v>92.14</v>
    <v>90.554000000000002</v>
    <v>90.412000000000006</v>
    <v>88.747</v>
    <v>89.878</v>
    <v>90.399000000000001</v>
    <v>91.355999999999995</v>
    <v>94.63</v>
    <v>94.358999999999995</v>
    <v>92.478999999999999</v>
    <v>94.78</v>
    <v>95.385999999999996</v>
    <v>94.95</v>
    <v>103.79900000000001</v>
    <v>106.46899999999999</v>
    <v>113.901</v>
    <v>114.825</v>
    <v>110.5</v>
    <v>109.633</v>
    <v>115</v>
    <v>116.437</v>
    <v>122.44</v>
    <v>120.998</v>
    <v>120.88800000000001</v>
    <v>121.79</v>
    <v>120.91</v>
    <v>125.2</v>
    <v>129.61000000000001</v>
    <v>131.88</v>
    <v>130.97999999999999</v>
    <v>135.58000000000001</v>
    <v>130.78</v>
    <v>126.57</v>
    <v>118.11</v>
    <v>126.09</v>
    <v>126.4</v>
    <v>123.99</v>
    <v>123.54</v>
    <v>124.3</v>
    <v>122.67</v>
    <v>128.28</v>
    <v>125.83</v>
    <v>128.19999999999999</v>
    <v>131.38</v>
    <v>134.91</v>
    <v>127.4</v>
    <v>129.24</v>
    <v>128.44</v>
    <v>126.36</v>
    <v>117.99</v>
    <v>121.09</v>
    <v>117.93</v>
    <v>123.54</v>
    <v>122.59</v>
    <v>114.25</v>
    <v>112.28</v>
    <v>113.06</v>
    <v>111.59</v>
    <v>103.73</v>
    <v>117.02</v>
    <v>109.21</v>
    <v>107.27</v>
    <v>100.45</v>
    <v>104.25</v>
    <v>98.91</v>
    <v>104.97</v>
    <v>104.75</v>
    <v>109.02</v>
    <v>116.14</v>
    <v>118.08</v>
    <v>122.86</v>
    <v>124.58</v>
    <v>130</v>
    <v>127.25</v>
    <v>128.5</v>
    <v>123.74</v>
    <v>129.37</v>
    <v>126.46</v>
    <v>128.30000000000001</v>
    <v>125.61</v>
    <v>117.59</v>
    <v>119.37</v>
    <v>108</v>
    <v>106.21</v>
    <v>107.21</v>
    <v>102.83</v>
    <v>106.47</v>
    <v>108.1</v>
    <v>116.91</v>
    <v>119.14</v>
    <v>119.1</v>
    <v>116.78</v>
    <v>115.59</v>
    <v>113.37</v>
    <v>117.87</v>
    <v>116</v>
    <v>116.26</v>
    <v>120.87</v>
    <v>123.51</v>
    <v>124.04</v>
    <v>121.4</v>
    <v>121.44</v>
    <v>117</v>
    <v>118.85</v>
    <v>122.85</v>
    <v>124.92</v>
    <v>127.72</v>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a>
  <a r="1" c="251">
    <v>545.72</v>
    <v>549.01</v>
    <v>534.24</v>
    <v>531.12</v>
    <v>526.54999999999995</v>
    <v>524.04</v>
    <v>515.92999999999995</v>
    <v>519.88</v>
    <v>520.30999999999995</v>
    <v>520.03</v>
    <v>522.79</v>
    <v>524.9</v>
    <v>526.47</v>
    <v>539.34</v>
    <v>542.03</v>
    <v>545.41999999999996</v>
    <v>537.38</v>
    <v>536.52</v>
    <v>538.37</v>
    <v>537.64</v>
    <v>539.67999999999995</v>
    <v>521.51</v>
    <v>519.15</v>
    <v>524.94000000000005</v>
    <v>516.34</v>
    <v>503.56</v>
    <v>512.99</v>
    <v>515.52</v>
    <v>513.23</v>
    <v>493.4</v>
    <v>503.2</v>
    <v>504.54</v>
    <v>503.61</v>
    <v>511.74</v>
    <v>507.14</v>
    <v>510.23</v>
    <v>502.96</v>
    <v>510.67</v>
    <v>519.39</v>
    <v>520.09</v>
    <v>518.22</v>
    <v>517.64</v>
    <v>516.85</v>
    <v>516.94000000000005</v>
    <v>520.88</v>
    <v>521.54999999999995</v>
    <v>521.05999999999995</v>
    <v>521.97</v>
    <v>526.5</v>
    <v>527.24</v>
    <v>525.32000000000005</v>
    <v>513.41999999999996</v>
    <v>498.28</v>
    <v>493.6</v>
    <v>489.53</v>
    <v>481.87</v>
    <v>473.15</v>
    <v>472.6</v>
    <v>478.78</v>
    <v>476.57</v>
    <v>489.15</v>
    <v>489.35</v>
    <v>488</v>
    <v>489</v>
    <v>490.82</v>
    <v>487.05</v>
    <v>493.32</v>
    <v>494.23</v>
    <v>491.69</v>
    <v>490.07</v>
    <v>485.88</v>
    <v>492.31</v>
    <v>493.1</v>
    <v>494.7</v>
    <v>489.7</v>
    <v>458.14</v>
    <v>459.74</v>
    <v>455.38</v>
    <v>455.74</v>
    <v>456</v>
    <v>459.72</v>
    <v>450.05</v>
    <v>441.72</v>
    <v>439.2</v>
    <v>445.63</v>
    <v>468.89</v>
    <v>478.99</v>
    <v>493.18</v>
    <v>501.13</v>
    <v>491.23</v>
    <v>486.18</v>
    <v>487.3</v>
    <v>493.86</v>
    <v>495.35</v>
    <v>489.03</v>
    <v>483.7</v>
    <v>484.11</v>
    <v>492.97</v>
    <v>492.45</v>
    <v>494.38</v>
    <v>500.96</v>
    <v>503.21</v>
    <v>507.03</v>
    <v>512.80999999999995</v>
    <v>511.74</v>
    <v>513.88</v>
    <v>517.54999999999995</v>
    <v>521.27</v>
    <v>524.63</v>
    <v>517.23</v>
    <v>523.54999999999995</v>
    <v>521.35</v>
    <v>516.83000000000004</v>
    <v>508.17</v>
    <v>503.68</v>
    <v>484.72</v>
    <v>481.65</v>
    <v>495.37</v>
    <v>497.44</v>
    <v>505.49</v>
    <v>503.12</v>
    <v>501.92</v>
    <v>490.69</v>
    <v>495</v>
    <v>496.22</v>
    <v>493.07</v>
    <v>497.3</v>
    <v>497.12</v>
    <v>489.23</v>
    <v>481.05</v>
    <v>484.52</v>
    <v>482.59</v>
    <v>489.98</v>
    <v>484.5</v>
    <v>484.04</v>
    <v>486.44</v>
    <v>509.26</v>
    <v>494.65</v>
    <v>498.24</v>
    <v>489.89</v>
    <v>488.01</v>
    <v>489.34</v>
    <v>492.11</v>
    <v>500.93</v>
    <v>504.36</v>
    <v>511.53</v>
    <v>515.37</v>
    <v>548.87</v>
    <v>573.28</v>
    <v>564.34</v>
    <v>565.33000000000004</v>
    <v>558.53</v>
    <v>554.70000000000005</v>
    <v>559.75</v>
    <v>559.67999999999995</v>
    <v>569.72</v>
    <v>566.75</v>
    <v>576.33000000000004</v>
    <v>576.16</v>
    <v>572.77</v>
    <v>589.83000000000004</v>
    <v>569.96</v>
    <v>568.35</v>
    <v>566.08000000000004</v>
    <v>566.24</v>
    <v>558.76</v>
    <v>565.29</v>
    <v>574.24</v>
    <v>579.66999999999996</v>
    <v>579.61</v>
    <v>577.67999999999995</v>
    <v>578.78</v>
    <v>580.65</v>
    <v>578.07000000000005</v>
    <v>578.72</v>
    <v>584.51</v>
    <v>587.13</v>
    <v>587.35</v>
    <v>588.54</v>
    <v>591.57000000000005</v>
    <v>590.20000000000005</v>
    <v>598.67999999999995</v>
    <v>604.17999999999995</v>
    <v>595.49</v>
    <v>596.88</v>
    <v>594.1</v>
    <v>599.03</v>
    <v>589.75</v>
    <v>588.41999999999996</v>
    <v>594.32000000000005</v>
    <v>589.14</v>
    <v>577.96</v>
    <v>580.65</v>
    <v>577.07000000000005</v>
    <v>575</v>
    <v>573.41</v>
    <v>575.19000000000005</v>
    <v>576.30999999999995</v>
    <v>574.80999999999995</v>
    <v>581.85</v>
    <v>584.67999999999995</v>
    <v>583.29999999999995</v>
    <v>592.30999999999995</v>
    <v>592.75</v>
    <v>591.20000000000005</v>
    <v>583.55999999999995</v>
    <v>581.58000000000004</v>
    <v>591.22</v>
    <v>597.70000000000005</v>
    <v>598.04999999999995</v>
    <v>605.4</v>
    <v>556.29</v>
    <v>571.34</v>
    <v>566.03</v>
    <v>569.61</v>
    <v>571.47</v>
    <v>569.86</v>
    <v>564.64</v>
    <v>560.80999999999995</v>
    <v>564.55999999999995</v>
    <v>565.24</v>
    <v>562.13</v>
    <v>562.96</v>
    <v>564.5</v>
    <v>567.55999999999995</v>
    <v>557.77</v>
    <v>567.03</v>
    <v>596.69000000000005</v>
    <v>605.45000000000005</v>
    <v>615.80999999999995</v>
    <v>625.25</v>
    <v>614.66999999999996</v>
    <v>605.87</v>
    <v>593.15</v>
    <v>592.23</v>
    <v>589.65</v>
    <v>577</v>
    <v>600.5</v>
    <v>597.49</v>
    <v>590.87</v>
    <v>605.83000000000004</v>
    <v>606.79</v>
    <v>608.38</v>
    <v>610.20000000000005</v>
    <v>608.52</v>
    <v>605.23</v>
    <v>610.79</v>
    <v>578.97</v>
    <v>549.62</v>
    <v>560.62</v>
    <v>565.19000000000005</v>
  </a>
  <a r="1" c="60">
    <v>100.43600000000001</v>
    <v>94.1875</v>
    <v>97.486000000000004</v>
    <v>123.7</v>
    <v>122.1185</v>
    <v>137.941</v>
    <v>158.23400000000001</v>
    <v>172.548</v>
    <v>157.4365</v>
    <v>151.8075</v>
    <v>158.40199999999999</v>
    <v>162.84649999999999</v>
    <v>160.31</v>
    <v>154.6465</v>
    <v>154.70400000000001</v>
    <v>173.37100000000001</v>
    <v>161.15350000000001</v>
    <v>172.00800000000001</v>
    <v>166.37950000000001</v>
    <v>173.5395</v>
    <v>164.25200000000001</v>
    <v>168.6215</v>
    <v>175.3535</v>
    <v>166.71700000000001</v>
    <v>149.5735</v>
    <v>153.56299999999999</v>
    <v>162.9975</v>
    <v>124.28149999999999</v>
    <v>120.20950000000001</v>
    <v>106.21</v>
    <v>134.94999999999999</v>
    <v>126.77</v>
    <v>113</v>
    <v>102.44</v>
    <v>96.54</v>
    <v>84</v>
    <v>103.13</v>
    <v>94.23</v>
    <v>103.29</v>
    <v>105.45</v>
    <v>120.58</v>
    <v>130.36000000000001</v>
    <v>133.68</v>
    <v>138.01</v>
    <v>127.12</v>
    <v>133.09</v>
    <v>146.09</v>
    <v>151.94</v>
    <v>155.19999999999999</v>
    <v>176.76</v>
    <v>180.38</v>
    <v>175</v>
    <v>176.44</v>
    <v>193.25</v>
    <v>186.98</v>
    <v>178.5</v>
    <v>186.33</v>
    <v>186.4</v>
    <v>207.89</v>
    <v>225.04</v>
  </a>
  <a r="1" c="60">
    <v>71.711500000000001</v>
    <v>66.966499999999996</v>
    <v>58.140500000000003</v>
    <v>67.433000000000007</v>
    <v>71.445999999999998</v>
    <v>70.680499999999995</v>
    <v>74.147999999999996</v>
    <v>81.709000000000003</v>
    <v>73.48</v>
    <v>81.0505</v>
    <v>88.037000000000006</v>
    <v>87.593999999999994</v>
    <v>91.787000000000006</v>
    <v>101.843</v>
    <v>103.4315</v>
    <v>120.506</v>
    <v>120.578</v>
    <v>125.316</v>
    <v>135.221</v>
    <v>145.46199999999999</v>
    <v>133.2655</v>
    <v>148.2705</v>
    <v>142.452</v>
    <v>144.67949999999999</v>
    <v>135.6985</v>
    <v>134.89099999999999</v>
    <v>139.64949999999999</v>
    <v>114.9665</v>
    <v>114.039</v>
    <v>109.3725</v>
    <v>116.64</v>
    <v>109.15</v>
    <v>96.15</v>
    <v>94.66</v>
    <v>101.45</v>
    <v>88.73</v>
    <v>99.87</v>
    <v>90.3</v>
    <v>104</v>
    <v>108.22</v>
    <v>123.37</v>
    <v>120.97</v>
    <v>133.11000000000001</v>
    <v>137.35</v>
    <v>131.85</v>
    <v>125.3</v>
    <v>133.91999999999999</v>
    <v>140.93</v>
    <v>141.80000000000001</v>
    <v>139.78</v>
    <v>152.26</v>
    <v>164.64</v>
    <v>173.96</v>
    <v>183.42</v>
    <v>173.15</v>
    <v>165.11</v>
    <v>167.19</v>
    <v>172.69</v>
    <v>170.49</v>
    <v>186.53</v>
  </a>
  <a r="1" c="251">
    <v>16.41</v>
    <v>16.45</v>
    <v>16.649999999999999</v>
    <v>16.52</v>
    <v>16.46</v>
    <v>16.61</v>
    <v>16.399999999999999</v>
    <v>16.489999999999998</v>
    <v>16.55</v>
    <v>16.57</v>
    <v>16.579999999999998</v>
    <v>16.739999999999998</v>
    <v>16.78</v>
    <v>17.25</v>
    <v>17.23</v>
    <v>17.149999999999999</v>
    <v>17.47</v>
    <v>17.32</v>
    <v>16.95</v>
    <v>16.87</v>
    <v>16.23</v>
    <v>16.48</v>
    <v>16.440000000000001</v>
    <v>16.41</v>
    <v>16.399999999999999</v>
    <v>16.670000000000002</v>
    <v>16.8</v>
    <v>17.190000000000001</v>
    <v>16.68</v>
    <v>17.18</v>
    <v>17.29</v>
    <v>17.25</v>
    <v>17.53</v>
    <v>17.690000000000001</v>
    <v>18.04</v>
    <v>17.829999999999998</v>
    <v>17.73</v>
    <v>17.61</v>
    <v>17.329999999999998</v>
    <v>16.82</v>
    <v>16.84</v>
    <v>17.02</v>
    <v>16.899999999999999</v>
    <v>16.91</v>
    <v>17.09</v>
    <v>16.97</v>
    <v>16.91</v>
    <v>17</v>
    <v>16.59</v>
    <v>16.8</v>
    <v>16.600000000000001</v>
    <v>16.829999999999998</v>
    <v>16.96</v>
    <v>16.93</v>
    <v>16.98</v>
    <v>16.8</v>
    <v>17.170000000000002</v>
    <v>17.18</v>
    <v>17.05</v>
    <v>17.2</v>
    <v>17.329999999999998</v>
    <v>17.2</v>
    <v>17.190000000000001</v>
    <v>17.010000000000002</v>
    <v>17.05</v>
    <v>17.3</v>
    <v>17.170000000000002</v>
    <v>17.21</v>
    <v>17.16</v>
    <v>16.98</v>
    <v>17.12</v>
    <v>17.18</v>
    <v>17.55</v>
    <v>17.600000000000001</v>
    <v>17.5</v>
    <v>17.52</v>
    <v>17.61</v>
    <v>17.57</v>
    <v>17.420000000000002</v>
    <v>17.25</v>
    <v>16.899999999999999</v>
    <v>16.73</v>
    <v>16.420000000000002</v>
    <v>16.309999999999999</v>
    <v>16.239999999999998</v>
    <v>16.09</v>
    <v>16.12</v>
    <v>16.329999999999998</v>
    <v>16.510000000000002</v>
    <v>16.309999999999999</v>
    <v>16.5</v>
    <v>16.809999999999999</v>
    <v>16.579999999999998</v>
    <v>16.75</v>
    <v>17.02</v>
    <v>16.89</v>
    <v>16.920000000000002</v>
    <v>16.82</v>
    <v>16.850000000000001</v>
    <v>16.989999999999998</v>
    <v>17.079999999999998</v>
    <v>17.11</v>
    <v>17.18</v>
    <v>17.170000000000002</v>
    <v>17.260000000000002</v>
    <v>17.3</v>
    <v>17.329999999999998</v>
    <v>17.3</v>
    <v>17.399999999999999</v>
    <v>17.52</v>
    <v>17.27</v>
    <v>17.5</v>
    <v>17.47</v>
    <v>17.5</v>
    <v>17.27</v>
    <v>17.12</v>
    <v>17.62</v>
    <v>18.22</v>
    <v>18.010000000000002</v>
    <v>18.350000000000001</v>
    <v>18.3</v>
    <v>18.28</v>
    <v>18.100000000000001</v>
    <v>17.86</v>
    <v>17.86</v>
    <v>17.61</v>
    <v>17.670000000000002</v>
    <v>17.64</v>
    <v>17.670000000000002</v>
    <v>18.05</v>
    <v>18.11</v>
    <v>18.399999999999999</v>
    <v>18.649999999999999</v>
    <v>18.690000000000001</v>
    <v>18.760000000000002</v>
    <v>18.75</v>
    <v>19.11</v>
    <v>18.98</v>
    <v>18.82</v>
    <v>18.68</v>
    <v>18.77</v>
    <v>18.809999999999999</v>
    <v>18.8</v>
    <v>18.739999999999998</v>
    <v>18.86</v>
    <v>18.809999999999999</v>
    <v>18.579999999999998</v>
    <v>18.850000000000001</v>
    <v>19.16</v>
    <v>19.149999999999999</v>
    <v>19.12</v>
    <v>18.55</v>
    <v>18.21</v>
    <v>19.16</v>
    <v>19.190000000000001</v>
    <v>19.010000000000002</v>
    <v>18.899999999999999</v>
    <v>18.98</v>
    <v>19.25</v>
    <v>19.47</v>
    <v>19.37</v>
    <v>18.91</v>
    <v>19.190000000000001</v>
    <v>19.25</v>
    <v>19.399999999999999</v>
    <v>19.489999999999998</v>
    <v>19.43</v>
    <v>19.52</v>
    <v>19.63</v>
    <v>19.09</v>
    <v>19.34</v>
    <v>19.489999999999998</v>
    <v>19.489999999999998</v>
    <v>19.54</v>
    <v>19.510000000000002</v>
    <v>19.73</v>
    <v>19.760000000000002</v>
    <v>19.649999999999999</v>
    <v>19.82</v>
    <v>19.760000000000002</v>
    <v>19.899999999999999</v>
    <v>20.43</v>
    <v>20.57</v>
    <v>20.65</v>
    <v>20.97</v>
    <v>21.5</v>
    <v>21.71</v>
    <v>21.45</v>
    <v>21.59</v>
    <v>21.64</v>
    <v>22.27</v>
    <v>21.78</v>
    <v>21.73</v>
    <v>21.36</v>
    <v>21.54</v>
    <v>21.49</v>
    <v>21.59</v>
    <v>21.56</v>
    <v>21.65</v>
    <v>21.9</v>
    <v>22</v>
    <v>22.13</v>
    <v>22.19</v>
    <v>22.05</v>
    <v>21.91</v>
    <v>21.78</v>
    <v>21.86</v>
    <v>21.93</v>
    <v>21.22</v>
    <v>21.37</v>
    <v>21.26</v>
    <v>21.51</v>
    <v>21.71</v>
    <v>21.73</v>
    <v>21.85</v>
    <v>21.66</v>
    <v>21.5</v>
    <v>22.49</v>
    <v>22.2</v>
    <v>21.83</v>
    <v>22.11</v>
    <v>22.18</v>
    <v>22.02</v>
    <v>22.54</v>
    <v>22.12</v>
    <v>21.92</v>
    <v>22.05</v>
    <v>22.32</v>
    <v>22.04</v>
    <v>22.34</v>
    <v>22.31</v>
    <v>22.15</v>
    <v>22.3</v>
    <v>22.25</v>
    <v>22.68</v>
    <v>22.99</v>
    <v>22.73</v>
    <v>22.83</v>
    <v>22.98</v>
    <v>23.18</v>
    <v>23.1</v>
    <v>23.09</v>
    <v>23.27</v>
    <v>23.16</v>
    <v>22.7</v>
    <v>23.74</v>
    <v>23.53</v>
    <v>23.83</v>
    <v>23.88</v>
    <v>23.37</v>
    <v>23.51</v>
  </a>
  <a r="1" c="251">
    <v>59.42</v>
    <v>59.93</v>
    <v>59.04</v>
    <v>58.6</v>
    <v>59.02</v>
    <v>58.83</v>
    <v>57.61</v>
    <v>57.99</v>
    <v>58.32</v>
    <v>58.56</v>
    <v>58.71</v>
    <v>58.75</v>
    <v>58.93</v>
    <v>59.82</v>
    <v>59.96</v>
    <v>59.76</v>
    <v>59.67</v>
    <v>60.11</v>
    <v>60</v>
    <v>60.2</v>
    <v>59.81</v>
    <v>60.39</v>
    <v>59.99</v>
    <v>59.99</v>
    <v>60.16</v>
    <v>59.83</v>
    <v>59.57</v>
    <v>59.85</v>
    <v>58.91</v>
    <v>59.16</v>
    <v>59.37</v>
    <v>59.73</v>
    <v>59.9</v>
    <v>59.49</v>
    <v>60.98</v>
    <v>60.54</v>
    <v>60.04</v>
    <v>59.94</v>
    <v>59.99</v>
    <v>59.83</v>
    <v>59.56</v>
    <v>59.7</v>
    <v>59.35</v>
    <v>59.29</v>
    <v>59.4</v>
    <v>59.39</v>
    <v>60.7</v>
    <v>61.24</v>
    <v>61.15</v>
    <v>61.2</v>
    <v>60.71</v>
    <v>60.34</v>
    <v>60.4</v>
    <v>60.02</v>
    <v>59.53</v>
    <v>59.81</v>
    <v>59.52</v>
    <v>59.55</v>
    <v>59.44</v>
    <v>59.52</v>
    <v>60.24</v>
    <v>60.5</v>
    <v>61.12</v>
    <v>60.5</v>
    <v>59.88</v>
    <v>60.13</v>
    <v>60.23</v>
    <v>60.75</v>
    <v>60.47</v>
    <v>60.49</v>
    <v>60.4</v>
    <v>60.54</v>
    <v>61.03</v>
    <v>61.18</v>
    <v>60.68</v>
    <v>60.15</v>
    <v>59.83</v>
    <v>59.3</v>
    <v>59.51</v>
    <v>59.27</v>
    <v>59.72</v>
    <v>58.92</v>
    <v>59.05</v>
    <v>58.28</v>
    <v>58.14</v>
    <v>58.06</v>
    <v>58.51</v>
    <v>58.91</v>
    <v>60.17</v>
    <v>60.55</v>
    <v>60.64</v>
    <v>61.55</v>
    <v>61.74</v>
    <v>61.74</v>
    <v>62.04</v>
    <v>61.77</v>
    <v>61.93</v>
    <v>61.99</v>
    <v>62.17</v>
    <v>62.35</v>
    <v>62.62</v>
    <v>62.85</v>
    <v>62.88</v>
    <v>63.26</v>
    <v>63.58</v>
    <v>63.1</v>
    <v>63.13</v>
    <v>63.32</v>
    <v>63.03</v>
    <v>62.57</v>
    <v>62.91</v>
    <v>63</v>
    <v>62.09</v>
    <v>62</v>
    <v>61.82</v>
    <v>61.7</v>
    <v>61.97</v>
    <v>62.93</v>
    <v>62.93</v>
    <v>63.94</v>
    <v>63.92</v>
    <v>64.150000000000006</v>
    <v>63.91</v>
    <v>63.59</v>
    <v>63.55</v>
    <v>62.88</v>
    <v>62.99</v>
    <v>62.55</v>
    <v>62.62</v>
    <v>62.63</v>
    <v>62.18</v>
    <v>62.77</v>
    <v>63.97</v>
    <v>63.84</v>
    <v>64.05</v>
    <v>63.91</v>
    <v>63.65</v>
    <v>63.28</v>
    <v>63.15</v>
    <v>63.33</v>
    <v>63.76</v>
    <v>62.96</v>
    <v>62.69</v>
    <v>62.83</v>
    <v>63.1</v>
    <v>63.7</v>
    <v>63.41</v>
    <v>64.27</v>
    <v>65.209999999999994</v>
    <v>65.19</v>
    <v>65.290000000000006</v>
    <v>64.77</v>
    <v>64.959999999999994</v>
    <v>65.81</v>
    <v>66.069999999999993</v>
    <v>67.05</v>
    <v>66.83</v>
    <v>67.680000000000007</v>
    <v>66.739999999999995</v>
    <v>67.959999999999994</v>
    <v>69.33</v>
    <v>68.099999999999994</v>
    <v>68.05</v>
    <v>68.459999999999994</v>
    <v>68.73</v>
    <v>68.680000000000007</v>
    <v>68.17</v>
    <v>68.459999999999994</v>
    <v>68.58</v>
    <v>68.650000000000006</v>
    <v>69.180000000000007</v>
    <v>68.98</v>
    <v>69.38</v>
    <v>69.569999999999993</v>
    <v>69.33</v>
    <v>69.790000000000006</v>
    <v>70.84</v>
    <v>71.5</v>
    <v>71.75</v>
    <v>72.05</v>
    <v>72.47</v>
    <v>73.010000000000005</v>
    <v>72.56</v>
    <v>71.17</v>
    <v>71.14</v>
    <v>71.849999999999994</v>
    <v>71.55</v>
    <v>71.08</v>
    <v>71.23</v>
    <v>71.41</v>
    <v>72.099999999999994</v>
    <v>71.8</v>
    <v>71.75</v>
    <v>70.62</v>
    <v>71.64</v>
    <v>71.73</v>
    <v>71.33</v>
    <v>71.45</v>
    <v>71.400000000000006</v>
    <v>71.790000000000006</v>
    <v>71.86</v>
    <v>71.709999999999994</v>
    <v>71.010000000000005</v>
    <v>70.52</v>
    <v>70.17</v>
    <v>69.010000000000005</v>
    <v>69.180000000000007</v>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a>
  <a r="1" c="60">
    <v>305.52</v>
    <v>281.14</v>
    <v>285.13</v>
    <v>303</v>
    <v>308.47000000000003</v>
    <v>303.20999999999998</v>
    <v>325.52999999999997</v>
    <v>347.66</v>
    <v>355</v>
    <v>357.62</v>
    <v>391.77</v>
    <v>376.78</v>
    <v>352.43</v>
    <v>331</v>
    <v>352.48</v>
    <v>372.09</v>
    <v>378.27</v>
    <v>395.67</v>
    <v>429.72</v>
    <v>455.49</v>
    <v>449.35</v>
    <v>491.54</v>
    <v>539.38</v>
    <v>567.70000000000005</v>
    <v>505.13</v>
    <v>519.25</v>
    <v>575.85</v>
    <v>531.72</v>
    <v>466.22</v>
    <v>479.28</v>
    <v>541.29999999999995</v>
    <v>522.1</v>
    <v>472.27</v>
    <v>501.5</v>
    <v>539.25</v>
    <v>456.5</v>
    <v>511.14</v>
    <v>484.18</v>
    <v>496.87</v>
    <v>503.22</v>
    <v>511.56</v>
    <v>538.38</v>
    <v>560.66999999999996</v>
    <v>549.28</v>
    <v>564.96</v>
    <v>552.44000000000005</v>
    <v>592.74</v>
    <v>660.08</v>
    <v>694.88</v>
    <v>743.89</v>
    <v>732.63</v>
    <v>722.9</v>
    <v>809.89</v>
    <v>849.99</v>
    <v>822</v>
    <v>892.38</v>
    <v>886.52</v>
    <v>874.18</v>
    <v>971.88</v>
    <v>993.4</v>
  </a>
  <a r="1" c="60">
    <v>132.36000000000001</v>
    <v>116.11</v>
    <v>90.03</v>
    <v>95.76</v>
    <v>97.31</v>
    <v>94.06</v>
    <v>96.64</v>
    <v>100.19</v>
    <v>96.27</v>
    <v>98.04</v>
    <v>117.88</v>
    <v>127.07</v>
    <v>128.66999999999999</v>
    <v>147.16999999999999</v>
    <v>152.22999999999999</v>
    <v>153.81</v>
    <v>164.24</v>
    <v>155.54</v>
    <v>151.78</v>
    <v>159.94999999999999</v>
    <v>163.69</v>
    <v>169.89</v>
    <v>158.83000000000001</v>
    <v>158.35</v>
    <v>148.6</v>
    <v>141.80000000000001</v>
    <v>136.32</v>
    <v>119.36</v>
    <v>132.22999999999999</v>
    <v>112.61</v>
    <v>115.36</v>
    <v>113.73</v>
    <v>104.5</v>
    <v>125.88</v>
    <v>138.18</v>
    <v>134.1</v>
    <v>139.96</v>
    <v>143.35</v>
    <v>130.31</v>
    <v>138.24</v>
    <v>135.71</v>
    <v>145.44</v>
    <v>157.96</v>
    <v>146.33000000000001</v>
    <v>145.02000000000001</v>
    <v>139.06</v>
    <v>156.08000000000001</v>
    <v>170.1</v>
    <v>174.36</v>
    <v>186.06</v>
    <v>200.3</v>
    <v>191.74</v>
    <v>202.63</v>
    <v>202.26</v>
    <v>212.8</v>
    <v>224.8</v>
    <v>210.86</v>
    <v>221.92</v>
    <v>249.72</v>
    <v>242.86</v>
  </a>
  <a r="1" c="60">
    <v>38.162999999999997</v>
    <v>35.893000000000001</v>
    <v>37.872999999999998</v>
    <v>40.516300000000001</v>
    <v>41.352899999999998</v>
    <v>39.926299999999998</v>
    <v>43.132899999999999</v>
    <v>46.282899999999998</v>
    <v>46.636200000000002</v>
    <v>46.249499999999998</v>
    <v>50.929499999999997</v>
    <v>48.049500000000002</v>
    <v>46.829500000000003</v>
    <v>43.306199999999997</v>
    <v>45.276200000000003</v>
    <v>46.636200000000002</v>
    <v>47.3429</v>
    <v>47.0062</v>
    <v>47.516199999999998</v>
    <v>49.366199999999999</v>
    <v>46.459499999999998</v>
    <v>49.806199999999997</v>
    <v>46.876199999999997</v>
    <v>48.229500000000002</v>
    <v>46.602899999999998</v>
    <v>45.052900000000001</v>
    <v>49.639499999999998</v>
    <v>50.996200000000002</v>
    <v>42.876199999999997</v>
    <v>40.526299999999999</v>
    <v>44.016199999999998</v>
    <v>44.182899999999997</v>
    <v>43.232900000000001</v>
    <v>47.442900000000002</v>
    <v>50.806199999999997</v>
    <v>47.262900000000002</v>
    <v>47.956200000000003</v>
    <v>47.376199999999997</v>
    <v>49.149500000000003</v>
    <v>50.322800000000001</v>
    <v>48.956200000000003</v>
    <v>52.392800000000001</v>
    <v>53.286099999999998</v>
    <v>54.202800000000003</v>
    <v>53.3095</v>
    <v>54.469499999999996</v>
    <v>51.896099999999997</v>
    <v>52.549500000000002</v>
    <v>55.082799999999999</v>
    <v>58.61</v>
    <v>60.17</v>
    <v>59.35</v>
    <v>65.760000000000005</v>
    <v>67.709999999999994</v>
    <v>68.64</v>
    <v>77.23</v>
    <v>80.75</v>
    <v>81.95</v>
    <v>92.5</v>
    <v>94.55</v>
  </a>
  <a r="1" c="251">
    <v>208.7</v>
    <v>215.45</v>
    <v>225.54</v>
    <v>225.59</v>
    <v>224.06</v>
    <v>225.42</v>
    <v>222.01</v>
    <v>223.55</v>
    <v>223</v>
    <v>222.82</v>
    <v>222.89</v>
    <v>222.9</v>
    <v>222.55</v>
    <v>218.65</v>
    <v>212.27</v>
    <v>211.22</v>
    <v>212.51</v>
    <v>217.14</v>
    <v>217.01</v>
    <v>220.21</v>
    <v>220.16</v>
    <v>218.91</v>
    <v>220.43</v>
    <v>218.05</v>
    <v>218.23</v>
    <v>220.01</v>
    <v>219.86</v>
    <v>214.47</v>
    <v>210.55</v>
    <v>212.08</v>
    <v>211.98</v>
    <v>211.84</v>
    <v>214.52</v>
    <v>212.84</v>
    <v>220.23</v>
    <v>219.49</v>
    <v>218.01</v>
    <v>218.12</v>
    <v>221.69</v>
    <v>220.39</v>
    <v>222.26</v>
    <v>229.86</v>
    <v>225.43</v>
    <v>226.93</v>
    <v>228.33</v>
    <v>226.85</v>
    <v>225.51</v>
    <v>227.79</v>
    <v>230.51</v>
    <v>232.56</v>
    <v>231.32</v>
    <v>235.39</v>
    <v>238.8</v>
    <v>240.67</v>
    <v>244.69</v>
    <v>242.1</v>
    <v>240.82</v>
    <v>241.12</v>
    <v>241.72</v>
    <v>241.95</v>
    <v>240.96</v>
    <v>243.26</v>
    <v>247.41</v>
    <v>244.63</v>
    <v>244.73</v>
    <v>243.48</v>
    <v>248.02</v>
    <v>251.96</v>
    <v>261</v>
    <v>258.5</v>
    <v>254</v>
    <v>251.42</v>
    <v>253.33</v>
    <v>254.73</v>
    <v>249.28</v>
    <v>244.45</v>
    <v>240.7</v>
    <v>238.01</v>
    <v>239.32</v>
    <v>242.59</v>
    <v>244.39</v>
    <v>237.16</v>
    <v>235.44</v>
    <v>232.05</v>
    <v>230.01</v>
    <v>228.35</v>
    <v>228.86</v>
    <v>228.79</v>
    <v>230.24</v>
    <v>231.23</v>
    <v>233.56</v>
    <v>230.29</v>
    <v>229.96</v>
    <v>229.87</v>
    <v>230.94</v>
    <v>227.99</v>
    <v>227.52</v>
    <v>229.58</v>
    <v>232.13</v>
    <v>231.7</v>
    <v>231.46</v>
    <v>232.07</v>
    <v>236.13</v>
    <v>235.03</v>
    <v>232.98</v>
    <v>231.58</v>
    <v>236.08</v>
    <v>232.26</v>
    <v>231.11</v>
    <v>229.17</v>
    <v>224.86</v>
    <v>221.13</v>
    <v>217.48</v>
    <v>215.21</v>
    <v>215.37</v>
    <v>214.27</v>
    <v>215.46</v>
    <v>221.29</v>
    <v>216.73</v>
    <v>216.53</v>
    <v>219.47</v>
    <v>218.45</v>
    <v>216.67</v>
    <v>218.1</v>
    <v>218.35</v>
    <v>225.02</v>
    <v>226.86</v>
    <v>223.35</v>
    <v>226.77</v>
    <v>227.77</v>
    <v>227.53</v>
    <v>228.59</v>
    <v>228.39</v>
    <v>217.25</v>
    <v>218.78</v>
    <v>219.8</v>
    <v>220.46</v>
    <v>213.56</v>
    <v>213.7</v>
    <v>213.3</v>
    <v>213.89</v>
    <v>217.15</v>
    <v>216.33</v>
    <v>220.74</v>
    <v>229.75</v>
    <v>234.08</v>
    <v>232.17</v>
    <v>240.97</v>
    <v>243.04</v>
    <v>239.37</v>
    <v>238.52</v>
    <v>240.27</v>
    <v>238.31</v>
    <v>231.67</v>
    <v>234.77</v>
    <v>238.87</v>
    <v>239.8</v>
    <v>241.4</v>
    <v>245.51</v>
    <v>241.36</v>
    <v>240.42</v>
    <v>237.02</v>
    <v>240.65</v>
    <v>231.59</v>
    <v>236.33</v>
    <v>235.83</v>
    <v>231.07</v>
    <v>236.19</v>
    <v>237.64</v>
    <v>240.06</v>
    <v>241.15</v>
    <v>243.21</v>
    <v>240.33</v>
    <v>242.37</v>
    <v>240.31</v>
    <v>250.07</v>
    <v>250.5</v>
    <v>248.57</v>
    <v>248.94</v>
    <v>246.77</v>
    <v>248.5</v>
    <v>245.46</v>
    <v>245.45</v>
    <v>244.11</v>
    <v>243.81</v>
    <v>244.73</v>
    <v>247.38</v>
    <v>247.38</v>
    <v>252.05</v>
    <v>255.41</v>
    <v>256.64</v>
    <v>256.72000000000003</v>
    <v>256.63</v>
    <v>261</v>
    <v>260.14</v>
    <v>262.29000000000002</v>
    <v>266.04000000000002</v>
    <v>264.97000000000003</v>
    <v>265.61</v>
    <v>267.14</v>
    <v>270.85000000000002</v>
    <v>272.64</v>
    <v>271.86</v>
    <v>270.20999999999998</v>
    <v>267.76</v>
    <v>268.54000000000002</v>
    <v>273.27</v>
    <v>277.18</v>
    <v>273.20999999999998</v>
    <v>275.76</v>
    <v>280.73</v>
    <v>281.83</v>
    <v>284.05</v>
    <v>281.31</v>
    <v>281.64</v>
    <v>276.83999999999997</v>
    <v>272.22000000000003</v>
    <v>270.11</v>
    <v>271.36</v>
    <v>267.64</v>
    <v>267.97000000000003</v>
    <v>262.97000000000003</v>
    <v>261.39</v>
    <v>261.83</v>
    <v>261.94</v>
    <v>264.98</v>
    <v>269.18</v>
    <v>261.73</v>
    <v>266.3</v>
    <v>271.10000000000002</v>
    <v>274.51</v>
    <v>269.89999999999998</v>
    <v>272.32</v>
    <v>270.35000000000002</v>
    <v>269.39999999999998</v>
    <v>271.77</v>
    <v>259.26</v>
    <v>263.02999999999997</v>
    <v>265.22000000000003</v>
    <v>264.68</v>
    <v>275.32</v>
    <v>274.47000000000003</v>
    <v>273.19</v>
    <v>272.43</v>
    <v>272.05</v>
    <v>274.39</v>
    <v>272.27</v>
    <v>270.07</v>
    <v>273.43</v>
    <v>274.14999999999998</v>
    <v>270.11</v>
  </a>
  <a r="1" c="60">
    <v>32.83</v>
    <v>28.5</v>
    <v>21.23</v>
    <v>24.05</v>
    <v>24.12</v>
    <v>23.75</v>
    <v>24.88</v>
    <v>25.74</v>
    <v>24.09</v>
    <v>23.7</v>
    <v>28.16</v>
    <v>30.31</v>
    <v>29.65</v>
    <v>34.71</v>
    <v>38.69</v>
    <v>40.53</v>
    <v>42.39</v>
    <v>41.23</v>
    <v>38.36</v>
    <v>41.75</v>
    <v>42.45</v>
    <v>47.78</v>
    <v>44.47</v>
    <v>44.49</v>
    <v>46.14</v>
    <v>44.2</v>
    <v>41.22</v>
    <v>35.68</v>
    <v>37.200000000000003</v>
    <v>31.13</v>
    <v>33.81</v>
    <v>33.61</v>
    <v>30.2</v>
    <v>36.04</v>
    <v>37.85</v>
    <v>33.119999999999997</v>
    <v>35.479999999999997</v>
    <v>34.299999999999997</v>
    <v>28.6</v>
    <v>29.28</v>
    <v>27.79</v>
    <v>28.69</v>
    <v>32</v>
    <v>28.67</v>
    <v>27.38</v>
    <v>26.34</v>
    <v>30.49</v>
    <v>33.67</v>
    <v>34.01</v>
    <v>34.520000000000003</v>
    <v>37.92</v>
    <v>37.01</v>
    <v>39.99</v>
    <v>39.770000000000003</v>
    <v>40.31</v>
    <v>40.75</v>
    <v>39.68</v>
    <v>41.82</v>
    <v>47.51</v>
    <v>45.75</v>
  </a>
  <a r="1" c="251">
    <v>633.66</v>
    <v>624.26</v>
    <v>584.64</v>
    <v>584.67999999999995</v>
    <v>599.13</v>
    <v>604.64</v>
    <v>596.05999999999995</v>
    <v>600.14</v>
    <v>598.75</v>
    <v>598.26</v>
    <v>596.08000000000004</v>
    <v>595.52</v>
    <v>596.6</v>
    <v>580.07000000000005</v>
    <v>571.79</v>
    <v>567.04999999999995</v>
    <v>564.6</v>
    <v>580.54999999999995</v>
    <v>586.20000000000005</v>
    <v>591.03</v>
    <v>597.49</v>
    <v>596.54</v>
    <v>597.67999999999995</v>
    <v>596.1</v>
    <v>593.70000000000005</v>
    <v>611.54999999999995</v>
    <v>603.59</v>
    <v>597.17999999999995</v>
    <v>606.48</v>
    <v>622.58000000000004</v>
    <v>613.92999999999995</v>
    <v>630.23</v>
    <v>627.96</v>
    <v>617.78</v>
    <v>627.91</v>
    <v>634.76</v>
    <v>630.5</v>
    <v>607.14</v>
    <v>615.85</v>
    <v>615.86</v>
    <v>627.21</v>
    <v>611.84</v>
    <v>601.89</v>
    <v>604.66</v>
    <v>590.44000000000005</v>
    <v>546.66</v>
    <v>541.91</v>
    <v>538.52</v>
    <v>537.57000000000005</v>
    <v>553.44000000000005</v>
    <v>560.48</v>
    <v>552.49</v>
    <v>551.82000000000005</v>
    <v>560.28</v>
    <v>570.92999999999995</v>
    <v>567.94000000000005</v>
    <v>544.84</v>
    <v>543.09</v>
    <v>556.04</v>
    <v>551.69000000000005</v>
    <v>560.41999999999996</v>
    <v>579.14</v>
    <v>573.54999999999995</v>
    <v>570.45000000000005</v>
    <v>492.46</v>
    <v>513.86</v>
    <v>521.19000000000005</v>
    <v>519.14</v>
    <v>511.25</v>
    <v>499.52</v>
    <v>507.23</v>
    <v>507.6</v>
    <v>504.4</v>
    <v>504.6</v>
    <v>502.09</v>
    <v>499.21</v>
    <v>497.01</v>
    <v>487.11</v>
    <v>485.12</v>
    <v>484.28</v>
    <v>492.55</v>
    <v>487.22</v>
    <v>484.28</v>
    <v>474.09</v>
    <v>470.1</v>
    <v>476.22</v>
    <v>474.45</v>
    <v>473.18</v>
    <v>465.02</v>
    <v>466.89</v>
    <v>472.9</v>
    <v>477.12</v>
    <v>473.44</v>
    <v>477.56</v>
    <v>473.07</v>
    <v>462.83</v>
    <v>469.39</v>
    <v>476.57</v>
    <v>486.18</v>
    <v>493.59</v>
    <v>492.27</v>
    <v>488.1</v>
    <v>482.65</v>
    <v>482.29</v>
    <v>483.11</v>
    <v>475.95</v>
    <v>485.35</v>
    <v>482.88</v>
    <v>483.43</v>
    <v>484.69</v>
    <v>481.85</v>
    <v>483.93</v>
    <v>483.31</v>
    <v>475.43</v>
    <v>478.43</v>
    <v>477.6</v>
    <v>445.87</v>
    <v>444.76</v>
    <v>439.02</v>
    <v>448.37</v>
    <v>455.8</v>
    <v>458.13</v>
    <v>465.43</v>
    <v>459.94</v>
    <v>462.69</v>
    <v>459.87</v>
    <v>458.74</v>
    <v>525.30999999999995</v>
    <v>518.74</v>
    <v>522.25</v>
    <v>522.95000000000005</v>
    <v>533.44000000000005</v>
    <v>524.16999999999996</v>
    <v>526.88</v>
    <v>528.66</v>
    <v>546.76</v>
    <v>555.54</v>
    <v>560.01</v>
    <v>567.71</v>
    <v>570.15</v>
    <v>578.34</v>
    <v>575.4</v>
    <v>566.02</v>
    <v>564.54999999999995</v>
    <v>557.63</v>
    <v>559.04999999999995</v>
    <v>565.71</v>
    <v>566.54</v>
    <v>563.09</v>
    <v>556.85</v>
    <v>551</v>
    <v>554.82000000000005</v>
    <v>546.01</v>
    <v>531.04</v>
    <v>532.15</v>
    <v>542.44000000000005</v>
    <v>536.61</v>
    <v>538.71</v>
    <v>551.65</v>
    <v>546.41</v>
    <v>526.16999999999996</v>
    <v>509.32</v>
    <v>514.20000000000005</v>
    <v>513.62</v>
    <v>530.24</v>
    <v>536.29999999999995</v>
    <v>530.92999999999995</v>
    <v>535.22</v>
    <v>539.79</v>
    <v>554.16</v>
    <v>553.46</v>
    <v>563.12</v>
    <v>562.25</v>
    <v>565.79</v>
    <v>557.44000000000005</v>
    <v>558.29999999999995</v>
    <v>559.44000000000005</v>
    <v>567.82000000000005</v>
    <v>560.54</v>
    <v>569.63</v>
    <v>574.41</v>
    <v>571.04</v>
    <v>575.25</v>
    <v>567.92999999999995</v>
    <v>563.41</v>
    <v>569.88</v>
    <v>574.48</v>
    <v>580.38</v>
    <v>586.54999999999995</v>
    <v>536.87</v>
    <v>521.5</v>
    <v>515.03</v>
    <v>508.13</v>
    <v>526.44000000000005</v>
    <v>522.29999999999995</v>
    <v>527.87</v>
    <v>524.07000000000005</v>
    <v>517.9</v>
    <v>515.38</v>
    <v>515.48</v>
    <v>517.78</v>
    <v>502.8</v>
    <v>505.81</v>
    <v>503.8</v>
    <v>507.22</v>
    <v>487.3</v>
    <v>496.24</v>
    <v>494.08</v>
    <v>503.57</v>
    <v>495.42</v>
    <v>509.65</v>
    <v>508.03</v>
    <v>502.54</v>
    <v>496.83</v>
    <v>494.9</v>
    <v>497.71</v>
    <v>493.11</v>
    <v>485.03</v>
    <v>482.87</v>
    <v>483.72</v>
    <v>481.04</v>
    <v>485.39</v>
    <v>486.68</v>
    <v>478.08</v>
    <v>482.8</v>
    <v>481.35</v>
    <v>486.42</v>
    <v>504.83</v>
    <v>500.92</v>
    <v>494.68</v>
    <v>504.48</v>
    <v>526.41999999999996</v>
    <v>532.5</v>
    <v>529.87</v>
    <v>503.37</v>
    <v>499.51</v>
    <v>499.61</v>
    <v>499.5</v>
    <v>504.44</v>
    <v>512.15</v>
    <v>518.73</v>
    <v>525.29999999999995</v>
    <v>513.67999999999995</v>
    <v>515.92999999999995</v>
    <v>516.20000000000005</v>
    <v>516.26</v>
    <v>536.49</v>
    <v>538.22</v>
    <v>552.96</v>
    <v>547.92999999999995</v>
    <v>547.04999999999995</v>
  </a>
  <a r="1" c="60">
    <v>58.4</v>
    <v>53.49</v>
    <v>44.25</v>
    <v>45.89</v>
    <v>46.68</v>
    <v>44.68</v>
    <v>47.24</v>
    <v>49.53</v>
    <v>49.37</v>
    <v>48.06</v>
    <v>51.6</v>
    <v>54.84</v>
    <v>48.15</v>
    <v>48.99</v>
    <v>52.71</v>
    <v>53.98</v>
    <v>55.29</v>
    <v>54.11</v>
    <v>57.03</v>
    <v>56.31</v>
    <v>52.47</v>
    <v>56.37</v>
    <v>52.45</v>
    <v>59.21</v>
    <v>61.01</v>
    <v>62.24</v>
    <v>62</v>
    <v>64.61</v>
    <v>63.38</v>
    <v>62.91</v>
    <v>64.17</v>
    <v>61.71</v>
    <v>56.02</v>
    <v>59.85</v>
    <v>63.61</v>
    <v>63.61</v>
    <v>61.32</v>
    <v>59.51</v>
    <v>62.03</v>
    <v>64.150000000000006</v>
    <v>59.66</v>
    <v>60.22</v>
    <v>61.93</v>
    <v>59.83</v>
    <v>55.98</v>
    <v>56.49</v>
    <v>58.44</v>
    <v>58.93</v>
    <v>59.49</v>
    <v>60.02</v>
    <v>61.18</v>
    <v>61.77</v>
    <v>62.93</v>
    <v>63.65</v>
    <v>66.739999999999995</v>
    <v>72.47</v>
    <v>71.86</v>
    <v>65.31</v>
    <v>64.08</v>
    <v>62.91</v>
  </a>
  <a r="1" c="60">
    <v>46.94</v>
    <v>40.85</v>
    <v>28.7</v>
    <v>29.05</v>
    <v>26.47</v>
    <v>25.6</v>
    <v>24.26</v>
    <v>24.15</v>
    <v>23.51</v>
    <v>21.45</v>
    <v>27.35</v>
    <v>30.18</v>
    <v>29.88</v>
    <v>36.17</v>
    <v>39.07</v>
    <v>45.05</v>
    <v>46.72</v>
    <v>45.29</v>
    <v>45.94</v>
    <v>45.7</v>
    <v>46.41</v>
    <v>51.16</v>
    <v>47.78</v>
    <v>47.98</v>
    <v>53.8</v>
    <v>53.37</v>
    <v>48.46</v>
    <v>43.63</v>
    <v>45.77</v>
    <v>39.17</v>
    <v>43.87</v>
    <v>43.71</v>
    <v>40.22</v>
    <v>45.99</v>
    <v>47.95</v>
    <v>41.29</v>
    <v>46.87</v>
    <v>46.77</v>
    <v>37.380000000000003</v>
    <v>39.75</v>
    <v>39.81</v>
    <v>42.68</v>
    <v>46.16</v>
    <v>41.29</v>
    <v>40.86</v>
    <v>39.770000000000003</v>
    <v>44.59</v>
    <v>49.22</v>
    <v>50.18</v>
    <v>55.59</v>
    <v>57.96</v>
    <v>59.32</v>
    <v>59.92</v>
    <v>59.39</v>
    <v>59.34</v>
    <v>58.47</v>
    <v>56.49</v>
    <v>64.92</v>
    <v>76.17</v>
    <v>72.05</v>
  </a>
  <a r="1" c="251">
    <v>50.452800000000003</v>
    <v>51.349499999999999</v>
    <v>50.722799999999999</v>
    <v>50.912799999999997</v>
    <v>51.656199999999998</v>
    <v>51.842799999999997</v>
    <v>51.236199999999997</v>
    <v>51.599499999999999</v>
    <v>52.216099999999997</v>
    <v>52.136099999999999</v>
    <v>52.626100000000001</v>
    <v>52.522799999999997</v>
    <v>52.549500000000002</v>
    <v>53.0961</v>
    <v>53.099499999999999</v>
    <v>52.586100000000002</v>
    <v>52.2361</v>
    <v>52.749499999999998</v>
    <v>53.102800000000002</v>
    <v>53.762799999999999</v>
    <v>53.702800000000003</v>
    <v>53.772799999999997</v>
    <v>53.942799999999998</v>
    <v>53.689500000000002</v>
    <v>54.412799999999997</v>
    <v>54.126100000000001</v>
    <v>54.1295</v>
    <v>54.266100000000002</v>
    <v>53.499499999999998</v>
    <v>54.279499999999999</v>
    <v>54.756100000000004</v>
    <v>55.012799999999999</v>
    <v>55.196100000000001</v>
    <v>55.082799999999999</v>
    <v>56.102800000000002</v>
    <v>56.522799999999997</v>
    <v>56.2194</v>
    <v>56.602800000000002</v>
    <v>56.459400000000002</v>
    <v>56.456099999999999</v>
    <v>56.426099999999998</v>
    <v>56.766100000000002</v>
    <v>56.379399999999997</v>
    <v>56.199399999999997</v>
    <v>56.429400000000001</v>
    <v>56.786099999999998</v>
    <v>58.619399999999999</v>
    <v>57.8994</v>
    <v>58.4694</v>
    <v>58.519399999999997</v>
    <v>59.6</v>
    <v>59.59</v>
    <v>59.62</v>
    <v>58.61</v>
    <v>58.76</v>
    <v>59.3</v>
    <v>60.04</v>
    <v>60.57</v>
    <v>60.36</v>
    <v>60.12</v>
    <v>60.66</v>
    <v>61.41</v>
    <v>61.28</v>
    <v>61.02</v>
    <v>60.68</v>
    <v>60.86</v>
    <v>60.87</v>
    <v>61.25</v>
    <v>61.45</v>
    <v>60.87</v>
    <v>60.57</v>
    <v>60.51</v>
    <v>60.72</v>
    <v>60.17</v>
    <v>60</v>
    <v>59.16</v>
    <v>59.43</v>
    <v>59.5</v>
    <v>59.85</v>
    <v>59.78</v>
    <v>59.79</v>
    <v>60.62</v>
    <v>60.09</v>
    <v>60.14</v>
    <v>59.93</v>
    <v>59.84</v>
    <v>59.65</v>
    <v>59.26</v>
    <v>59.53</v>
    <v>60.14</v>
    <v>59.09</v>
    <v>59.87</v>
    <v>60.21</v>
    <v>60.16</v>
    <v>60.24</v>
    <v>59.35</v>
    <v>58.85</v>
    <v>59.71</v>
    <v>59.82</v>
    <v>59.87</v>
    <v>60.62</v>
    <v>60.3</v>
    <v>60.44</v>
    <v>60.48</v>
    <v>60.41</v>
    <v>59.86</v>
    <v>59.83</v>
    <v>64.010000000000005</v>
    <v>64.650000000000006</v>
    <v>64.180000000000007</v>
    <v>65.150000000000006</v>
    <v>65.25</v>
    <v>64.84</v>
    <v>65.38</v>
    <v>65.040000000000006</v>
    <v>64.92</v>
    <v>64.89</v>
    <v>65.760000000000005</v>
    <v>65.819999999999993</v>
    <v>66.599999999999994</v>
    <v>67.09</v>
    <v>67.150000000000006</v>
    <v>65.88</v>
    <v>66.959999999999994</v>
    <v>66.73</v>
    <v>66.31</v>
    <v>66.7</v>
    <v>67.02</v>
    <v>67.42</v>
    <v>67.599999999999994</v>
    <v>68.010000000000005</v>
    <v>67.91</v>
    <v>68.900000000000006</v>
    <v>67.42</v>
    <v>68.290000000000006</v>
    <v>67.88</v>
    <v>67.709999999999994</v>
    <v>67.48</v>
    <v>68.069999999999993</v>
    <v>68.239999999999995</v>
    <v>70.040000000000006</v>
    <v>69.680000000000007</v>
    <v>69.900000000000006</v>
    <v>70.41</v>
    <v>69.8</v>
    <v>69.239999999999995</v>
    <v>69.61</v>
    <v>69.989999999999995</v>
    <v>71.03</v>
    <v>70.819999999999993</v>
    <v>70.75</v>
    <v>70.38</v>
    <v>70.650000000000006</v>
    <v>70.599999999999994</v>
    <v>70.02</v>
    <v>69.78</v>
    <v>69.62</v>
    <v>69.19</v>
    <v>68.64</v>
    <v>69.790000000000006</v>
    <v>68.459999999999994</v>
    <v>67.59</v>
    <v>67.739999999999995</v>
    <v>66.91</v>
    <v>67.66</v>
    <v>67.95</v>
    <v>68.7</v>
    <v>68.13</v>
    <v>68.66</v>
    <v>73.180000000000007</v>
    <v>73.45</v>
    <v>73.72</v>
    <v>74.540000000000006</v>
    <v>75.239999999999995</v>
    <v>75.58</v>
    <v>75.7</v>
    <v>76.03</v>
    <v>76.13</v>
    <v>76.08</v>
    <v>76.42</v>
    <v>77.23</v>
    <v>77.17</v>
    <v>77.239999999999995</v>
    <v>76.959999999999994</v>
    <v>76.64</v>
    <v>77.34</v>
    <v>78.81</v>
    <v>78.84</v>
    <v>79.66</v>
    <v>80.599999999999994</v>
    <v>80.56</v>
    <v>78.599999999999994</v>
    <v>79.03</v>
    <v>78.040000000000006</v>
    <v>79.06</v>
    <v>80.33</v>
    <v>80.67</v>
    <v>81.400000000000006</v>
    <v>79.92</v>
    <v>79.78</v>
    <v>80.75</v>
    <v>81.27</v>
    <v>80.430000000000007</v>
    <v>80.430000000000007</v>
    <v>80.94</v>
    <v>79.099999999999994</v>
    <v>79.709999999999994</v>
    <v>80.400000000000006</v>
    <v>79.61</v>
    <v>80.099999999999994</v>
    <v>80.290000000000006</v>
    <v>81.650000000000006</v>
    <v>81.22</v>
    <v>80.89</v>
    <v>81.31</v>
    <v>80.81</v>
    <v>82.02</v>
    <v>83.27</v>
    <v>83.04</v>
    <v>82.51</v>
    <v>82.75</v>
    <v>81.7</v>
    <v>81.39</v>
    <v>81.95</v>
    <v>82.19</v>
    <v>82.45</v>
    <v>83.68</v>
    <v>83.44</v>
    <v>83.85</v>
    <v>84.83</v>
    <v>84.21</v>
    <v>84.99</v>
    <v>85.5</v>
    <v>84.47</v>
    <v>84.25</v>
    <v>84.08</v>
    <v>86.6</v>
    <v>87.18</v>
    <v>88.39</v>
    <v>90.44</v>
    <v>89.5</v>
    <v>91.31</v>
    <v>91.88</v>
    <v>92.5</v>
    <v>92.64</v>
    <v>93.51</v>
    <v>94.45</v>
    <v>95.3</v>
    <v>95.7</v>
    <v>93.83</v>
    <v>94.55</v>
  </a>
  <a r="1" c="60">
    <v>272.45</v>
    <v>254.96</v>
    <v>249.38</v>
    <v>292.47000000000003</v>
    <v>304.85000000000002</v>
    <v>294.95</v>
    <v>302.77999999999997</v>
    <v>312.55</v>
    <v>311.77</v>
    <v>305.14</v>
    <v>336.34</v>
    <v>350.68</v>
    <v>333.58</v>
    <v>332.22</v>
    <v>372.07</v>
    <v>398.8</v>
    <v>411.92</v>
    <v>400.44</v>
    <v>412.22</v>
    <v>416.27</v>
    <v>390.74</v>
    <v>460.47</v>
    <v>444.22</v>
    <v>502.14</v>
    <v>472.57</v>
    <v>475.87</v>
    <v>509.97</v>
    <v>508.55</v>
    <v>496.78</v>
    <v>513.63</v>
    <v>542.34</v>
    <v>519.33000000000004</v>
    <v>505.04</v>
    <v>555.15</v>
    <v>547.76</v>
    <v>530.17999999999995</v>
    <v>499.19</v>
    <v>475.94</v>
    <v>472.59</v>
    <v>492.09</v>
    <v>487.24</v>
    <v>480.64</v>
    <v>506.37</v>
    <v>476.58</v>
    <v>504.19</v>
    <v>535.55999999999995</v>
    <v>552.97</v>
    <v>526.47</v>
    <v>511.74</v>
    <v>493.6</v>
    <v>494.7</v>
    <v>483.7</v>
    <v>495.37</v>
    <v>509.26</v>
    <v>576.16</v>
    <v>590.20000000000005</v>
    <v>584.67999999999995</v>
    <v>564.5</v>
    <v>610.20000000000005</v>
    <v>565.19000000000005</v>
  </a>
  <a r="1" c="60">
    <v>315.94</v>
    <v>290.25</v>
    <v>241.56</v>
    <v>274.97000000000003</v>
    <v>300.89</v>
    <v>295.7</v>
    <v>308.52999999999997</v>
    <v>358.19</v>
    <v>338.17</v>
    <v>288.64</v>
    <v>336.51</v>
    <v>356.94</v>
    <v>316.29000000000002</v>
    <v>353.85</v>
    <v>356.05</v>
    <v>382.06</v>
    <v>360.58</v>
    <v>365.09</v>
    <v>385.94</v>
    <v>346.23</v>
    <v>347.68</v>
    <v>335.52</v>
    <v>314.92</v>
    <v>359.32</v>
    <v>386.38</v>
    <v>360.82</v>
    <v>357.38</v>
    <v>363.38</v>
    <v>357.87</v>
    <v>315.48</v>
    <v>353.79</v>
    <v>324.37</v>
    <v>284.33999999999997</v>
    <v>328.18</v>
    <v>356.4</v>
    <v>347.73</v>
    <v>370.6</v>
    <v>355.29</v>
    <v>363.41</v>
    <v>380.03</v>
    <v>365.02</v>
    <v>393.3</v>
    <v>394.28</v>
    <v>412.64</v>
    <v>395.91</v>
    <v>376.35</v>
    <v>413.83</v>
    <v>426.51</v>
    <v>449.23</v>
    <v>474.76</v>
    <v>481.57</v>
    <v>451.2</v>
    <v>447.07</v>
    <v>441.16</v>
    <v>463.71</v>
    <v>483.34</v>
    <v>493.8</v>
    <v>499.59</v>
    <v>532.94000000000005</v>
    <v>529.01</v>
  </a>
  <a r="1" c="60">
    <v>74.41</v>
    <v>63.46</v>
    <v>42.12</v>
    <v>48.56</v>
    <v>47.91</v>
    <v>51.1</v>
    <v>50.01</v>
    <v>51.12</v>
    <v>43.11</v>
    <v>41.42</v>
    <v>55.07</v>
    <v>61.66</v>
    <v>57.99</v>
    <v>65.88</v>
    <v>72.75</v>
    <v>71.239999999999995</v>
    <v>78.709999999999994</v>
    <v>70.75</v>
    <v>67.62</v>
    <v>71.91</v>
    <v>70.180000000000007</v>
    <v>69.16</v>
    <v>63.7</v>
    <v>60.39</v>
    <v>65.12</v>
    <v>59.23</v>
    <v>53.4</v>
    <v>48.21</v>
    <v>53.41</v>
    <v>45.99</v>
    <v>51.9</v>
    <v>48.81</v>
    <v>41.67</v>
    <v>45.86</v>
    <v>48.41</v>
    <v>45.23</v>
    <v>52.22</v>
    <v>50.69</v>
    <v>46.89</v>
    <v>47.07</v>
    <v>44.32</v>
    <v>46.04</v>
    <v>47.66</v>
    <v>41.29</v>
    <v>41.13</v>
    <v>39.49</v>
    <v>46.1</v>
    <v>51.44</v>
    <v>56.17</v>
    <v>55.49</v>
    <v>63.24</v>
    <v>61.33</v>
    <v>62.31</v>
    <v>63.46</v>
    <v>64.88</v>
    <v>62.64</v>
    <v>62.6</v>
    <v>64.17</v>
    <v>70.87</v>
    <v>72.5</v>
  </a>
  <a r="1" c="60">
    <v>28.4099</v>
    <v>26.5974</v>
    <v>22.013500000000001</v>
    <v>23.010300000000001</v>
    <v>23.3049</v>
    <v>22.8291</v>
    <v>22.338200000000001</v>
    <v>22.511900000000001</v>
    <v>21.530200000000001</v>
    <v>20.405000000000001</v>
    <v>21.711400000000001</v>
    <v>21.719000000000001</v>
    <v>21.620799999999999</v>
    <v>21.062000000000001</v>
    <v>22.859300000000001</v>
    <v>23.720199999999998</v>
    <v>22.224900000000002</v>
    <v>21.734100000000002</v>
    <v>21.1828</v>
    <v>20.707000000000001</v>
    <v>20.397400000000001</v>
    <v>19.075800000000001</v>
    <v>17.2408</v>
    <v>18.577400000000001</v>
    <v>19.257100000000001</v>
    <v>17.8902</v>
    <v>17.844899999999999</v>
    <v>18.86</v>
    <v>21.29</v>
    <v>20.96</v>
    <v>18.78</v>
    <v>17.54</v>
    <v>15.34</v>
    <v>18.23</v>
    <v>19.28</v>
    <v>18.41</v>
    <v>20.37</v>
    <v>18.91</v>
    <v>19.25</v>
    <v>17.670000000000002</v>
    <v>15.73</v>
    <v>15.95</v>
    <v>14.52</v>
    <v>14.79</v>
    <v>15.02</v>
    <v>15.4</v>
    <v>16.57</v>
    <v>16.78</v>
    <v>17.690000000000001</v>
    <v>16.93</v>
    <v>17.600000000000001</v>
    <v>16.89</v>
    <v>18.22</v>
    <v>19.11</v>
    <v>19.25</v>
    <v>19.899999999999999</v>
    <v>22</v>
    <v>22.54</v>
    <v>23.16</v>
    <v>23.51</v>
  </a>
  <a r="1" c="60">
    <v>201.91</v>
    <v>192.47</v>
    <v>166.8</v>
    <v>204.71</v>
    <v>225.09</v>
    <v>227.07</v>
    <v>253.67</v>
    <v>293.2</v>
    <v>261.89999999999998</v>
    <v>263.11</v>
    <v>276.97000000000003</v>
    <v>273.16000000000003</v>
    <v>258.33</v>
    <v>257.62</v>
    <v>294.52999999999997</v>
    <v>325.08</v>
    <v>328.73</v>
    <v>347.71</v>
    <v>356.3</v>
    <v>379.38</v>
    <v>339.39</v>
    <v>323.57</v>
    <v>324.45999999999998</v>
    <v>336.35</v>
    <v>313.26</v>
    <v>211.03</v>
    <v>222.36</v>
    <v>200.47</v>
    <v>193.64</v>
    <v>161.25</v>
    <v>159.1</v>
    <v>162.93</v>
    <v>135.68</v>
    <v>93.16</v>
    <v>118.1</v>
    <v>120.34</v>
    <v>148.97</v>
    <v>174.94</v>
    <v>211.94</v>
    <v>240.32</v>
    <v>264.72000000000003</v>
    <v>286.98</v>
    <v>318.60000000000002</v>
    <v>295.89</v>
    <v>300.20999999999998</v>
    <v>301.27</v>
    <v>327.14999999999998</v>
    <v>353.96</v>
    <v>390.14</v>
    <v>490.13</v>
    <v>485.58</v>
    <v>430.17</v>
    <v>466.83</v>
    <v>504.22</v>
    <v>474.83</v>
    <v>521.30999999999995</v>
    <v>572.44000000000005</v>
    <v>567.58000000000004</v>
    <v>574.32000000000005</v>
    <v>619.32000000000005</v>
  </a>
  <a r="1" c="251">
    <v>49.33</v>
    <v>49.69</v>
    <v>49.44</v>
    <v>49.87</v>
    <v>50.24</v>
    <v>50.18</v>
    <v>49.8</v>
    <v>49.7</v>
    <v>50.09</v>
    <v>50.28</v>
    <v>50.44</v>
    <v>50.48</v>
    <v>50.52</v>
    <v>50.51</v>
    <v>50.51</v>
    <v>50.08</v>
    <v>50.09</v>
    <v>50.46</v>
    <v>49.91</v>
    <v>50.24</v>
    <v>50.44</v>
    <v>50.34</v>
    <v>50.59</v>
    <v>50.3</v>
    <v>50.75</v>
    <v>51.27</v>
    <v>51.57</v>
    <v>51.76</v>
    <v>51.31</v>
    <v>52.33</v>
    <v>52.14</v>
    <v>52.29</v>
    <v>52.24</v>
    <v>50.18</v>
    <v>50.18</v>
    <v>50.18</v>
    <v>49.51</v>
    <v>49.98</v>
    <v>49.77</v>
    <v>49.95</v>
    <v>50.13</v>
    <v>49.99</v>
    <v>49.64</v>
    <v>50.28</v>
    <v>49.06</v>
    <v>48.44</v>
    <v>48.28</v>
    <v>48.48</v>
    <v>48.57</v>
    <v>48.86</v>
    <v>48.4</v>
    <v>48.31</v>
    <v>48.06</v>
    <v>48.37</v>
    <v>48.4</v>
    <v>49.13</v>
    <v>48.95</v>
    <v>49.17</v>
    <v>48.9</v>
    <v>49.5</v>
    <v>50.22</v>
    <v>50.07</v>
    <v>50.11</v>
    <v>49.79</v>
    <v>48.93</v>
    <v>49.27</v>
    <v>49.14</v>
    <v>49.55</v>
    <v>49.88</v>
    <v>49.78</v>
    <v>49.68</v>
    <v>49.55</v>
    <v>49.77</v>
    <v>49.91</v>
    <v>50.04</v>
    <v>49.36</v>
    <v>48.74</v>
    <v>48.11</v>
    <v>48.55</v>
    <v>48.24</v>
    <v>50.01</v>
    <v>49.21</v>
    <v>49.53</v>
    <v>48.49</v>
    <v>48.24</v>
    <v>47.92</v>
    <v>47.79</v>
    <v>48.11</v>
    <v>48.32</v>
    <v>48.14</v>
    <v>48.32</v>
    <v>48.35</v>
    <v>48.1</v>
    <v>47.86</v>
    <v>47.78</v>
    <v>46.98</v>
    <v>46.84</v>
    <v>46.79</v>
    <v>47.12</v>
    <v>47.11</v>
    <v>47.28</v>
    <v>48</v>
    <v>47.79</v>
    <v>48.06</v>
    <v>48.68</v>
    <v>48.95</v>
    <v>49.67</v>
    <v>48.34</v>
    <v>48.17</v>
    <v>47.13</v>
    <v>46.94</v>
    <v>47.43</v>
    <v>46.6</v>
    <v>46.42</v>
    <v>46.28</v>
    <v>46.08</v>
    <v>46.12</v>
    <v>46.5</v>
    <v>46.65</v>
    <v>47.42</v>
    <v>46.02</v>
    <v>46.23</v>
    <v>45.84</v>
    <v>45.85</v>
    <v>45.77</v>
    <v>45.62</v>
    <v>45.52</v>
    <v>45.68</v>
    <v>45.69</v>
    <v>45.97</v>
    <v>46.72</v>
    <v>47.29</v>
    <v>47.28</v>
    <v>47.38</v>
    <v>46.86</v>
    <v>47.45</v>
    <v>47.51</v>
    <v>47.52</v>
    <v>47.28</v>
    <v>47.09</v>
    <v>46.65</v>
    <v>46.06</v>
    <v>45.8</v>
    <v>46.27</v>
    <v>46.76</v>
    <v>47.38</v>
    <v>47.4</v>
    <v>47.42</v>
    <v>48.52</v>
    <v>48.04</v>
    <v>47.32</v>
    <v>46.82</v>
    <v>46.36</v>
    <v>46.85</v>
    <v>47.24</v>
    <v>47.88</v>
    <v>47.99</v>
    <v>48.14</v>
    <v>48.45</v>
    <v>47.39</v>
    <v>46.66</v>
    <v>44.74</v>
    <v>45.16</v>
    <v>45.12</v>
    <v>45.83</v>
    <v>45.47</v>
    <v>44.86</v>
    <v>45.37</v>
    <v>45.44</v>
    <v>48.53</v>
    <v>49.46</v>
    <v>49.98</v>
    <v>50.24</v>
    <v>50.45</v>
    <v>50.22</v>
    <v>50.74</v>
    <v>50.79</v>
    <v>50.71</v>
    <v>49.85</v>
    <v>50.39</v>
    <v>50.54</v>
    <v>50.06</v>
    <v>49.7</v>
    <v>49.13</v>
    <v>48.5</v>
    <v>48.7</v>
    <v>48.79</v>
    <v>49.11</v>
    <v>49.61</v>
    <v>49.8</v>
    <v>51.03</v>
    <v>50.61</v>
    <v>50.57</v>
    <v>51.44</v>
    <v>51.97</v>
    <v>52.19</v>
    <v>52.52</v>
    <v>52.65</v>
    <v>52.85</v>
    <v>53.02</v>
    <v>53.22</v>
    <v>52.74</v>
    <v>52.62</v>
    <v>52.43</v>
    <v>52.75</v>
    <v>52.51</v>
    <v>52.73</v>
    <v>53.56</v>
    <v>53.54</v>
    <v>54.25</v>
    <v>54.27</v>
    <v>54.08</v>
    <v>56.38</v>
    <v>56.4</v>
    <v>56.76</v>
    <v>56.59</v>
    <v>56.6</v>
    <v>56.28</v>
    <v>55.96</v>
    <v>55.74</v>
    <v>55.28</v>
    <v>55.68</v>
    <v>55.59</v>
    <v>54.77</v>
    <v>55.5</v>
    <v>55.83</v>
    <v>56.16</v>
    <v>57.87</v>
    <v>58.08</v>
    <v>58.06</v>
    <v>58.63</v>
    <v>58.71</v>
    <v>59.18</v>
    <v>57.92</v>
    <v>57.46</v>
    <v>57.31</v>
    <v>57.01</v>
    <v>57.5</v>
    <v>57.56</v>
    <v>58.55</v>
    <v>58.74</v>
    <v>59.59</v>
    <v>59.29</v>
    <v>59.21</v>
    <v>59.43</v>
    <v>59.48</v>
    <v>59.62</v>
    <v>60.02</v>
    <v>59.89</v>
    <v>58.95</v>
    <v>58.72</v>
  </a>
  <a r="1" c="251">
    <v>98.05</v>
    <v>98.92</v>
    <v>101.58</v>
    <v>100.9</v>
    <v>101.65</v>
    <v>102.99</v>
    <v>101.27</v>
    <v>101.73</v>
    <v>101.91</v>
    <v>102.14</v>
    <v>101.66</v>
    <v>100.19</v>
    <v>99.98</v>
    <v>102.36</v>
    <v>103.22</v>
    <v>102.32</v>
    <v>102.63</v>
    <v>100.92</v>
    <v>99.67</v>
    <v>98.69</v>
    <v>98.67</v>
    <v>99.95</v>
    <v>97.69</v>
    <v>96.98</v>
    <v>96.8</v>
    <v>96.95</v>
    <v>96.82</v>
    <v>97.91</v>
    <v>99.6</v>
    <v>102.13</v>
    <v>103</v>
    <v>103.13</v>
    <v>104.85</v>
    <v>102.81</v>
    <v>102.39</v>
    <v>101.97</v>
    <v>101.55</v>
    <v>102.25</v>
    <v>102.22</v>
    <v>103.97</v>
    <v>101.77</v>
    <v>103.17</v>
    <v>101.34</v>
    <v>100.84</v>
    <v>103.73</v>
    <v>103.73</v>
    <v>102.75</v>
    <v>104.85</v>
    <v>104.76</v>
    <v>103.84</v>
    <v>104.25</v>
    <v>104.03</v>
    <v>104.32</v>
    <v>104.52</v>
    <v>105.84</v>
    <v>104.36</v>
    <v>105.64</v>
    <v>106.77</v>
    <v>107.37</v>
    <v>108.38</v>
    <v>109.02</v>
    <v>108.32</v>
    <v>109.53</v>
    <v>111.47</v>
    <v>111.27</v>
    <v>112.3</v>
    <v>113.09</v>
    <v>112.99</v>
    <v>113.49</v>
    <v>113.49</v>
    <v>114.65</v>
    <v>113.79</v>
    <v>114.97</v>
    <v>116.24</v>
    <v>116.99</v>
    <v>119.28</v>
    <v>119.3</v>
    <v>119.72</v>
    <v>121.37</v>
    <v>120.55</v>
    <v>121.18</v>
    <v>122.2</v>
    <v>121.79</v>
    <v>120.37</v>
    <v>119.68</v>
    <v>118.69</v>
    <v>118.63</v>
    <v>118.52</v>
    <v>119.88</v>
    <v>120.56</v>
    <v>121.03</v>
    <v>121.05</v>
    <v>121.33</v>
    <v>117.96</v>
    <v>119.64</v>
    <v>118.27</v>
    <v>116.03</v>
    <v>116.24</v>
    <v>116</v>
    <v>116.75</v>
    <v>116.17</v>
    <v>116.15</v>
    <v>118.44</v>
    <v>117.96</v>
    <v>117.91</v>
    <v>117.67</v>
    <v>118.58</v>
    <v>117.87</v>
    <v>119.64</v>
    <v>118.67</v>
    <v>117.85</v>
    <v>115.48</v>
    <v>113.51</v>
    <v>113.42</v>
    <v>114.86</v>
    <v>113.63</v>
    <v>113.99</v>
    <v>117.26</v>
    <v>114.45</v>
    <v>112.67</v>
    <v>113.12</v>
    <v>113.97</v>
    <v>112.75</v>
    <v>113.08</v>
    <v>112.17</v>
    <v>110.93</v>
    <v>110.04</v>
    <v>109.11</v>
    <v>108.36</v>
    <v>109.38</v>
    <v>111.74</v>
    <v>110.76</v>
    <v>114.05</v>
    <v>114.37</v>
    <v>114.41</v>
    <v>114.9</v>
    <v>115.12</v>
    <v>114.96</v>
    <v>114.18</v>
    <v>114.76</v>
    <v>113.37</v>
    <v>112.18</v>
    <v>110.94</v>
    <v>111.92</v>
    <v>113.25</v>
    <v>113.27</v>
    <v>115.21</v>
    <v>116.04</v>
    <v>117.64</v>
    <v>118.8</v>
    <v>116.07</v>
    <v>115.27</v>
    <v>113.41</v>
    <v>115.01</v>
    <v>117.43</v>
    <v>117.33</v>
    <v>116.1</v>
    <v>118.17</v>
    <v>118.59</v>
    <v>116.95</v>
    <v>116.88</v>
    <v>114.77</v>
    <v>114.16</v>
    <v>115.68</v>
    <v>117.89</v>
    <v>118.85</v>
    <v>119</v>
    <v>117.86</v>
    <v>118.95</v>
    <v>118.73</v>
    <v>118.17</v>
    <v>118.53</v>
    <v>114.58</v>
    <v>113.85</v>
    <v>114.73</v>
    <v>116.32</v>
    <v>118.81</v>
    <v>117.68</v>
    <v>116.52</v>
    <v>118.13</v>
    <v>117.94</v>
    <v>115.47</v>
    <v>114.06</v>
    <v>113.17</v>
    <v>112.64</v>
    <v>115.01</v>
    <v>110.82</v>
    <v>109.72</v>
    <v>111.23</v>
    <v>111.15</v>
    <v>112.71</v>
    <v>114.18</v>
    <v>114.58</v>
    <v>116</v>
    <v>115.27</v>
    <v>117.36</v>
    <v>117.05</v>
    <v>114.77</v>
    <v>112.8</v>
    <v>115.82</v>
    <v>117.22</v>
    <v>119.93</v>
    <v>121.52</v>
    <v>122.58</v>
    <v>124.83</v>
    <v>125.37</v>
    <v>122.04</v>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a>
  <a r="1" c="60">
    <v>52.26</v>
    <v>45.03</v>
    <v>34</v>
    <v>39.43</v>
    <v>44.2</v>
    <v>48.3</v>
    <v>48.88</v>
    <v>52.26</v>
    <v>48.35</v>
    <v>48.15</v>
    <v>61.83</v>
    <v>68.53</v>
    <v>67.05</v>
    <v>76.87</v>
    <v>77.66</v>
    <v>82.55</v>
    <v>90.95</v>
    <v>91.69</v>
    <v>95.98</v>
    <v>104.43</v>
    <v>97.31</v>
    <v>102.78</v>
    <v>94.82</v>
    <v>98.16</v>
    <v>102.54</v>
    <v>90.74</v>
    <v>87.4</v>
    <v>80.59</v>
    <v>86.14</v>
    <v>76.06</v>
    <v>84.3</v>
    <v>85.22</v>
    <v>79.010000000000005</v>
    <v>82.17</v>
    <v>93.07</v>
    <v>85.02</v>
    <v>97.33</v>
    <v>96.5</v>
    <v>87.8</v>
    <v>89.97</v>
    <v>81.760000000000005</v>
    <v>85.4</v>
    <v>91.56</v>
    <v>85.15</v>
    <v>81.67</v>
    <v>70.819999999999993</v>
    <v>79.34</v>
    <v>93.25</v>
    <v>87.24</v>
    <v>86.04</v>
    <v>94.16</v>
    <v>90.84</v>
    <v>97.84</v>
    <v>97.19</v>
    <v>103.21</v>
    <v>103.61</v>
    <v>104.24</v>
    <v>116.25</v>
    <v>131.61000000000001</v>
    <v>126.79</v>
  </a>
  <a r="1" c="60">
    <v>228.1</v>
    <v>217.84</v>
    <v>186.71</v>
    <v>219.83</v>
    <v>248.48</v>
    <v>250.51</v>
    <v>265.49</v>
    <v>285.04000000000002</v>
    <v>277.70999999999998</v>
    <v>266.70999999999998</v>
    <v>277.41000000000003</v>
    <v>265.62</v>
    <v>270.82</v>
    <v>258.33999999999997</v>
    <v>305.25</v>
    <v>323.67</v>
    <v>318.91000000000003</v>
    <v>318.89</v>
    <v>328.19</v>
    <v>326.18</v>
    <v>328.26</v>
    <v>371.74</v>
    <v>400.61</v>
    <v>415.01</v>
    <v>366.98</v>
    <v>315.83</v>
    <v>299.33</v>
    <v>300.39999999999998</v>
    <v>302.75</v>
    <v>274.27</v>
    <v>300.94</v>
    <v>288.42</v>
    <v>275.94</v>
    <v>296.13</v>
    <v>323.99</v>
    <v>315.86</v>
    <v>324.17</v>
    <v>296.54000000000002</v>
    <v>295.12</v>
    <v>300.54000000000002</v>
    <v>283.45</v>
    <v>310.64</v>
    <v>333.84</v>
    <v>330.3</v>
    <v>302.16000000000003</v>
    <v>284.69</v>
    <v>313.49</v>
    <v>346.55</v>
    <v>352.96</v>
    <v>380.61</v>
    <v>383.6</v>
    <v>334.22</v>
    <v>334.87</v>
    <v>344.24</v>
    <v>368.16</v>
    <v>368.5</v>
    <v>405.2</v>
    <v>393.75</v>
    <v>429.13</v>
    <v>422.59</v>
  </a>
  <a r="1" c="60">
    <v>198.97</v>
    <v>181.76</v>
    <v>161.12</v>
    <v>178.72</v>
    <v>195.24</v>
    <v>193.17</v>
    <v>190.4</v>
    <v>211.99</v>
    <v>199.97</v>
    <v>181.71</v>
    <v>210.35</v>
    <v>218.73</v>
    <v>193.25</v>
    <v>212.39</v>
    <v>211.73</v>
    <v>233.56</v>
    <v>227.3</v>
    <v>233.82</v>
    <v>246.39</v>
    <v>229.1</v>
    <v>222.75</v>
    <v>211.77</v>
    <v>193.77</v>
    <v>216.71</v>
    <v>226.17</v>
    <v>216.12</v>
    <v>221.77</v>
    <v>213.13</v>
    <v>212.17</v>
    <v>196.89</v>
    <v>212.11</v>
    <v>198.71</v>
    <v>177.65</v>
    <v>207.16</v>
    <v>217</v>
    <v>207.76</v>
    <v>230.21</v>
    <v>219.94</v>
    <v>225.46</v>
    <v>232.73</v>
    <v>221.03</v>
    <v>237.48</v>
    <v>237.73</v>
    <v>245.68</v>
    <v>230.01</v>
    <v>235.1</v>
    <v>256.68</v>
    <v>260.35000000000002</v>
    <v>273.26</v>
    <v>282.64</v>
    <v>279.08</v>
    <v>268.61</v>
    <v>272.45999999999998</v>
    <v>262.47000000000003</v>
    <v>265.67</v>
    <v>276.37</v>
    <v>274.95</v>
    <v>289.85000000000002</v>
    <v>315.08</v>
    <v>312.38</v>
  </a>
  <a r="1" c="60">
    <v>110.74</v>
    <v>103</v>
    <v>92.97</v>
    <v>109.74</v>
    <v>122.33</v>
    <v>119.93</v>
    <v>125.88</v>
    <v>151.21</v>
    <v>157.41999999999999</v>
    <v>152.22</v>
    <v>179.53</v>
    <v>176.53</v>
    <v>181.17</v>
    <v>183.44</v>
    <v>198.07</v>
    <v>207.26</v>
    <v>226.92</v>
    <v>241.74</v>
    <v>261.05</v>
    <v>246.98</v>
    <v>228.77</v>
    <v>259.62</v>
    <v>243.84</v>
    <v>231.44</v>
    <v>220.43</v>
    <v>199.77</v>
    <v>212.22</v>
    <v>228.65</v>
    <v>161.88</v>
    <v>141.22999999999999</v>
    <v>163.38</v>
    <v>160.34</v>
    <v>148.38999999999999</v>
    <v>164.25</v>
    <v>167.07</v>
    <v>149.04</v>
    <v>172.14</v>
    <v>168.5</v>
    <v>165.63</v>
    <v>157.75</v>
    <v>130.93</v>
    <v>131.9</v>
    <v>136.47</v>
    <v>126.55</v>
    <v>110.57</v>
    <v>110.79</v>
    <v>133.81</v>
    <v>142.41999999999999</v>
    <v>139.08000000000001</v>
    <v>152.91999999999999</v>
    <v>177.21</v>
    <v>160.97999999999999</v>
    <v>156.16</v>
    <v>148.04</v>
    <v>150.41</v>
    <v>153.62</v>
    <v>155.86000000000001</v>
    <v>150.04</v>
    <v>132.31</v>
    <v>135.05000000000001</v>
  </a>
  <a r="1" c="60">
    <v>35.301699999999997</v>
    <v>31.680499999999999</v>
    <v>30.941099999999999</v>
    <v>36.363399999999999</v>
    <v>36.202199999999998</v>
    <v>30.998000000000001</v>
    <v>36.4771</v>
    <v>35.823</v>
    <v>34.7898</v>
    <v>33.633299999999998</v>
    <v>38.31</v>
    <v>36.81</v>
    <v>35.9</v>
    <v>33.49</v>
    <v>36.229999999999997</v>
    <v>38.65</v>
    <v>38.729999999999997</v>
    <v>39.159999999999997</v>
    <v>42.81</v>
    <v>46.07</v>
    <v>43.01</v>
    <v>43.74</v>
    <v>53.73</v>
    <v>59.05</v>
    <v>52.69</v>
    <v>46.94</v>
    <v>51.77</v>
    <v>49.07</v>
    <v>53.04</v>
    <v>52.43</v>
    <v>50.51</v>
    <v>45.23</v>
    <v>43.76</v>
    <v>46.55</v>
    <v>50.13</v>
    <v>51.24</v>
    <v>44.16</v>
    <v>40.57</v>
    <v>40.799999999999997</v>
    <v>38.89</v>
    <v>38.020000000000003</v>
    <v>36.68</v>
    <v>36.06</v>
    <v>35.380000000000003</v>
    <v>33.17</v>
    <v>30.56</v>
    <v>30.47</v>
    <v>28.79</v>
    <v>27.08</v>
    <v>26.56</v>
    <v>27.75</v>
    <v>25.62</v>
    <v>28.66</v>
    <v>27.98</v>
    <v>30.54</v>
    <v>29.01</v>
    <v>28.94</v>
    <v>28.3</v>
    <v>26.21</v>
    <v>25.57</v>
  </a>
  <a r="1" c="60">
    <v>113.89</v>
    <v>107.99</v>
    <v>95.74</v>
    <v>123</v>
    <v>155.01</v>
    <v>174.23</v>
    <v>196.07</v>
    <v>204.14</v>
    <v>197.03</v>
    <v>186.13</v>
    <v>214.12</v>
    <v>234.2</v>
    <v>234.31</v>
    <v>259.85000000000002</v>
    <v>242.84</v>
    <v>262.29000000000002</v>
    <v>260.02</v>
    <v>291.48</v>
    <v>275.52999999999997</v>
    <v>288.66000000000003</v>
    <v>260.20999999999998</v>
    <v>232.59</v>
    <v>184.89</v>
    <v>188.58</v>
    <v>171.94</v>
    <v>111.93</v>
    <v>115.65</v>
    <v>87.93</v>
    <v>85.21</v>
    <v>69.84</v>
    <v>86.53</v>
    <v>93.44</v>
    <v>86.07</v>
    <v>83.58</v>
    <v>78.41</v>
    <v>71.22</v>
    <v>81.489999999999995</v>
    <v>73.599999999999994</v>
    <v>75.94</v>
    <v>76</v>
    <v>61.99</v>
    <v>66.73</v>
    <v>75.819999999999993</v>
    <v>62.51</v>
    <v>58.46</v>
    <v>51.8</v>
    <v>57.61</v>
    <v>61.41</v>
    <v>61.35</v>
    <v>60.34</v>
    <v>66.989999999999995</v>
    <v>67.92</v>
    <v>62.99</v>
    <v>58.03</v>
    <v>65.78</v>
    <v>72.430000000000007</v>
    <v>78.03</v>
    <v>79.3</v>
    <v>86.77</v>
    <v>88.76</v>
  </a>
  <a r="1" c="251">
    <v>147.47999999999999</v>
    <v>148.84</v>
    <v>147.41999999999999</v>
    <v>149.97</v>
    <v>154.07</v>
    <v>153.79</v>
    <v>152.12</v>
    <v>153.84</v>
    <v>153.41999999999999</v>
    <v>153.41</v>
    <v>153.34</v>
    <v>153.38</v>
    <v>151.94</v>
    <v>149.93</v>
    <v>148.47</v>
    <v>144.57</v>
    <v>145.24</v>
    <v>149.1</v>
    <v>151.37</v>
    <v>153.72999999999999</v>
    <v>155.18</v>
    <v>154.62</v>
    <v>153.16</v>
    <v>151.71</v>
    <v>153.5</v>
    <v>155.34</v>
    <v>154.78</v>
    <v>156.02000000000001</v>
    <v>156.87</v>
    <v>157.75</v>
    <v>159.12</v>
    <v>161.26</v>
    <v>159</v>
    <v>155.19999999999999</v>
    <v>159.28</v>
    <v>171.81</v>
    <v>170.31</v>
    <v>169.15</v>
    <v>170.53</v>
    <v>169.84</v>
    <v>174.45</v>
    <v>172.34</v>
    <v>168.64</v>
    <v>170.98</v>
    <v>169.8</v>
    <v>169.51</v>
    <v>167.08</v>
    <v>168.59</v>
    <v>174.58</v>
    <v>174.99</v>
    <v>174.73</v>
    <v>173.54</v>
    <v>173.16</v>
    <v>176.76</v>
    <v>178.22</v>
    <v>177.58</v>
    <v>174.12</v>
    <v>173.51</v>
    <v>176.82</v>
    <v>175.35</v>
    <v>171.96</v>
    <v>175.39</v>
    <v>176.55500000000001</v>
    <v>178.75</v>
    <v>174.42</v>
    <v>174.48</v>
    <v>175.9</v>
    <v>178.15</v>
    <v>178.15</v>
    <v>178.87</v>
    <v>179.71</v>
    <v>178.3</v>
    <v>179.83</v>
    <v>180.38</v>
    <v>180.97</v>
    <v>180.69</v>
    <v>182.41</v>
    <v>180</v>
    <v>185.07</v>
    <v>185.19</v>
    <v>185.67</v>
    <v>185.95</v>
    <v>189.05</v>
    <v>186.13</v>
    <v>183.62</v>
    <v>183.32</v>
    <v>181.28</v>
    <v>179.22</v>
    <v>174.63</v>
    <v>177.23</v>
    <v>179.54</v>
    <v>176.59</v>
    <v>173.67</v>
    <v>179.62</v>
    <v>180.96</v>
    <v>175</v>
    <v>179</v>
    <v>184.72</v>
    <v>186.21</v>
    <v>188.7</v>
    <v>188.76</v>
    <v>188</v>
    <v>189.5</v>
    <v>187.48</v>
    <v>186.57</v>
    <v>187.07</v>
    <v>185.99</v>
    <v>183.63</v>
    <v>184.7</v>
    <v>183.54</v>
    <v>183.15</v>
    <v>183.13</v>
    <v>181.05</v>
    <v>180.75</v>
    <v>182.15</v>
    <v>182.02</v>
    <v>179.32</v>
    <v>176.44</v>
    <v>178.34</v>
    <v>179.34</v>
    <v>181.28</v>
    <v>185</v>
    <v>184.3</v>
    <v>187.06</v>
    <v>187.23</v>
    <v>186.89</v>
    <v>183.83</v>
    <v>183.66</v>
    <v>184.06</v>
    <v>182.81</v>
    <v>186.1</v>
    <v>189.08</v>
    <v>185.57</v>
    <v>186.34</v>
    <v>193.61</v>
    <v>197.85</v>
    <v>193.25</v>
    <v>197.2</v>
    <v>200</v>
    <v>197.59</v>
    <v>200</v>
    <v>199.29</v>
    <v>199.34</v>
    <v>199.79</v>
    <v>195.05</v>
    <v>194.49</v>
    <v>192.72</v>
    <v>193.02</v>
    <v>187.93</v>
    <v>183.75</v>
    <v>183.13</v>
    <v>182.55</v>
    <v>186.41</v>
    <v>180.83</v>
    <v>179.85</v>
    <v>182.5</v>
    <v>183.2</v>
    <v>181.71</v>
    <v>186.98</v>
    <v>184.07</v>
    <v>167.9</v>
    <v>161.02000000000001</v>
    <v>161.93</v>
    <v>162.77000000000001</v>
    <v>165.8</v>
    <v>166.94</v>
    <v>166.8</v>
    <v>170.23</v>
    <v>170.1</v>
    <v>177.59</v>
    <v>177.06</v>
    <v>178.22</v>
    <v>178.88</v>
    <v>180.11</v>
    <v>176.13</v>
    <v>177.04</v>
    <v>175.5</v>
    <v>173.12</v>
    <v>170.8</v>
    <v>172.12</v>
    <v>178.5</v>
    <v>176.25</v>
    <v>173.33</v>
    <v>177.89</v>
    <v>171.39</v>
    <v>175.4</v>
    <v>179.55</v>
    <v>184.52</v>
    <v>187</v>
    <v>186.49</v>
    <v>184.89</v>
    <v>186.88</v>
    <v>186.43</v>
    <v>189.87</v>
    <v>191.6</v>
    <v>193.88</v>
    <v>193.96</v>
    <v>192.53</v>
    <v>191.16</v>
    <v>187.97</v>
    <v>186.33</v>
    <v>185.13</v>
    <v>184.76</v>
    <v>181.96</v>
    <v>186.51</v>
    <v>180.8</v>
    <v>182.72</v>
    <v>185.17</v>
    <v>186.65</v>
    <v>188.82</v>
    <v>187.54</v>
    <v>187.69</v>
    <v>186.89</v>
    <v>187.53</v>
    <v>188.99</v>
    <v>189.07</v>
    <v>189.7</v>
    <v>184.71</v>
    <v>186.38</v>
    <v>187.83</v>
    <v>188.39</v>
    <v>190.83</v>
    <v>192.73</v>
    <v>186.4</v>
    <v>197.93</v>
    <v>195.78</v>
    <v>199.5</v>
    <v>207.09</v>
    <v>210.05</v>
    <v>208.18</v>
    <v>206.84</v>
    <v>208.91</v>
    <v>214.1</v>
    <v>211.48</v>
    <v>202.61</v>
    <v>201.7</v>
    <v>204.61</v>
    <v>202.88</v>
    <v>198.38</v>
    <v>197.12</v>
    <v>201.45</v>
    <v>207.86</v>
    <v>205.74</v>
    <v>207.89</v>
    <v>210.71</v>
    <v>213.44</v>
    <v>218.16</v>
    <v>220.55</v>
    <v>227.03</v>
    <v>226.09</v>
    <v>225.04</v>
  </a>
  <a r="1" c="251">
    <v>100.81</v>
    <v>102.99</v>
    <v>100.31</v>
    <v>103.32</v>
    <v>105</v>
    <v>106.25</v>
    <v>104.15</v>
    <v>105.86</v>
    <v>106.2</v>
    <v>106.19</v>
    <v>105.94</v>
    <v>106.25</v>
    <v>105.43</v>
    <v>104.06</v>
    <v>102.46</v>
    <v>102.59</v>
    <v>102.73</v>
    <v>104.66</v>
    <v>103.63</v>
    <v>103.92</v>
    <v>104.77</v>
    <v>106.6</v>
    <v>106.57</v>
    <v>106.43</v>
    <v>108.7</v>
    <v>109.67</v>
    <v>110.1</v>
    <v>111.83</v>
    <v>114.31</v>
    <v>115</v>
    <v>114.64</v>
    <v>113.75</v>
    <v>114.16</v>
    <v>111.7</v>
    <v>115.53</v>
    <v>115.79</v>
    <v>116.39</v>
    <v>115.3</v>
    <v>117.27</v>
    <v>116.68</v>
    <v>116.64</v>
    <v>115.84</v>
    <v>113.68</v>
    <v>114.26</v>
    <v>112.78</v>
    <v>111.31</v>
    <v>108.45</v>
    <v>108.16</v>
    <v>111.01</v>
    <v>111.95</v>
    <v>110.97</v>
    <v>111.38</v>
    <v>111.68</v>
    <v>111.68</v>
    <v>113.78</v>
    <v>114.06</v>
    <v>110.94</v>
    <v>112.27</v>
    <v>114.54</v>
    <v>112.42</v>
    <v>114.13</v>
    <v>127.54</v>
    <v>125.52</v>
    <v>125.53</v>
    <v>125.54</v>
    <v>127.8</v>
    <v>129.19</v>
    <v>129.24</v>
    <v>129.01</v>
    <v>127.79</v>
    <v>126.08</v>
    <v>126.47</v>
    <v>125.27</v>
    <v>125.61</v>
    <v>125.48</v>
    <v>124.34</v>
    <v>126.24</v>
    <v>124.19</v>
    <v>124.9</v>
    <v>124.35</v>
    <v>123.23</v>
    <v>121.75</v>
    <v>123.24</v>
    <v>121.11</v>
    <v>119.88</v>
    <v>120.62</v>
    <v>118.67</v>
    <v>116</v>
    <v>114.88</v>
    <v>114.53</v>
    <v>115.09</v>
    <v>115.34</v>
    <v>114.89</v>
    <v>117.21</v>
    <v>116.49</v>
    <v>113.75</v>
    <v>114.63</v>
    <v>114.96</v>
    <v>115.8</v>
    <v>118.34</v>
    <v>117.93</v>
    <v>117.39</v>
    <v>116.64</v>
    <v>116.67</v>
    <v>116.37</v>
    <v>120.87</v>
    <v>121.63</v>
    <v>122.16</v>
    <v>123.5</v>
    <v>124.52</v>
    <v>124.63</v>
    <v>124.6</v>
    <v>124.09</v>
    <v>122.91</v>
    <v>124.49</v>
    <v>123.74</v>
    <v>117.09</v>
    <v>117.19</v>
    <v>119.28</v>
    <v>120.07</v>
    <v>122.63</v>
    <v>123.5</v>
    <v>125.92</v>
    <v>124.5</v>
    <v>123.88</v>
    <v>140.38</v>
    <v>139.85</v>
    <v>138.13</v>
    <v>141.31</v>
    <v>144.63999999999999</v>
    <v>142.91</v>
    <v>141.5</v>
    <v>139.88999999999999</v>
    <v>139.16999999999999</v>
    <v>138.22999999999999</v>
    <v>140.18</v>
    <v>141.19999999999999</v>
    <v>143.09</v>
    <v>143.28</v>
    <v>144.38</v>
    <v>144.83000000000001</v>
    <v>145.03</v>
    <v>140.68</v>
    <v>142.07</v>
    <v>142.76</v>
    <v>144.77000000000001</v>
    <v>143.07</v>
    <v>142.61000000000001</v>
    <v>139.26</v>
    <v>138.03</v>
    <v>138.56</v>
    <v>140.16999999999999</v>
    <v>143.11000000000001</v>
    <v>138.77000000000001</v>
    <v>137.82</v>
    <v>139.01</v>
    <v>138.31</v>
    <v>135.66999999999999</v>
    <v>139.44999999999999</v>
    <v>137.51</v>
    <v>133.28</v>
    <v>127.86</v>
    <v>128.21</v>
    <v>125.9</v>
    <v>128.96</v>
    <v>132.06</v>
    <v>132.58000000000001</v>
    <v>134.26</v>
    <v>135.6</v>
    <v>136.93</v>
    <v>137.47</v>
    <v>137.91999999999999</v>
    <v>139.16999999999999</v>
    <v>140.19999999999999</v>
    <v>138.08000000000001</v>
    <v>139.19</v>
    <v>138.9</v>
    <v>138.47999999999999</v>
    <v>137.88</v>
    <v>139.41999999999999</v>
    <v>141.29</v>
    <v>139.5</v>
    <v>140.75</v>
    <v>142.61000000000001</v>
    <v>141.81</v>
    <v>139.88999999999999</v>
    <v>155.88999999999999</v>
    <v>157.18</v>
    <v>161.38</v>
    <v>162.03</v>
    <v>170.33</v>
    <v>167.47</v>
    <v>164.53</v>
    <v>167.59</v>
    <v>168</v>
    <v>165.95</v>
    <v>165.8</v>
    <v>166.28</v>
    <v>168.1</v>
    <v>168.74</v>
    <v>170.4</v>
    <v>167.16</v>
    <v>167.71</v>
    <v>166.86</v>
    <v>170.86</v>
    <v>169.97</v>
    <v>174.37</v>
    <v>178.29</v>
    <v>175.41</v>
    <v>175.77</v>
    <v>176.12</v>
    <v>174.09</v>
    <v>174.77</v>
    <v>175.68</v>
    <v>174.69</v>
    <v>173.76</v>
    <v>175.31</v>
    <v>173.1</v>
    <v>174.38</v>
    <v>173.52</v>
    <v>172.42</v>
    <v>173.43</v>
    <v>174.56</v>
    <v>167.84</v>
    <v>170.02</v>
    <v>169.59</v>
    <v>171.78</v>
    <v>181.24</v>
    <v>186.37</v>
    <v>189.25</v>
    <v>189.13</v>
    <v>189.58</v>
    <v>189.63</v>
    <v>187.05</v>
    <v>183.74</v>
    <v>185.73</v>
    <v>188.9</v>
    <v>190.75</v>
    <v>192.43</v>
    <v>192.29</v>
    <v>187.99</v>
    <v>190.37</v>
    <v>182.7</v>
    <v>184.84</v>
    <v>181.41</v>
    <v>182.89</v>
    <v>188.19</v>
    <v>186.24</v>
    <v>191.69</v>
    <v>190.45</v>
    <v>177.74</v>
  </a>
  <a r="1" c="60">
    <v>84.83</v>
    <v>78.430000000000007</v>
    <v>65.739999999999995</v>
    <v>76.73</v>
    <v>77.989999999999995</v>
    <v>73.59</v>
    <v>76.53</v>
    <v>84.47</v>
    <v>85.92</v>
    <v>86.96</v>
    <v>98.02</v>
    <v>106.98</v>
    <v>96.81</v>
    <v>108.03</v>
    <v>109.27</v>
    <v>114.49</v>
    <v>113.88</v>
    <v>111.81</v>
    <v>121.43</v>
    <v>117.49</v>
    <v>110.31</v>
    <v>106.07</v>
    <v>109.64</v>
    <v>116.97</v>
    <v>98.32</v>
    <v>91.79</v>
    <v>90.97</v>
    <v>74.64</v>
    <v>78.5</v>
    <v>76.39</v>
    <v>84.78</v>
    <v>84.07</v>
    <v>84.26</v>
    <v>86.59</v>
    <v>102.2</v>
    <v>99.2</v>
    <v>109.14</v>
    <v>102.09</v>
    <v>104.13</v>
    <v>114.29</v>
    <v>97.64</v>
    <v>99.06</v>
    <v>101.57</v>
    <v>97.44</v>
    <v>91.27</v>
    <v>92.24</v>
    <v>99.3</v>
    <v>96.01</v>
    <v>93.03</v>
    <v>94.9</v>
    <v>91.39</v>
    <v>88.49</v>
    <v>80.22</v>
    <v>77.849999999999994</v>
    <v>77.95</v>
    <v>94.57</v>
    <v>97.49</v>
    <v>97.7</v>
    <v>102.46</v>
    <v>98.16</v>
  </a>
  <a r="1" c="60">
    <v>351.14</v>
    <v>345.12</v>
    <v>318.24</v>
    <v>353.64</v>
    <v>386.6</v>
    <v>435.31</v>
    <v>444.32</v>
    <v>513.39</v>
    <v>490.43</v>
    <v>447.1</v>
    <v>478.47</v>
    <v>500.12</v>
    <v>458.77</v>
    <v>459.67</v>
    <v>475.37</v>
    <v>508.34</v>
    <v>504.58</v>
    <v>585.64</v>
    <v>621.63</v>
    <v>663.7</v>
    <v>575.72</v>
    <v>650.36</v>
    <v>669.85</v>
    <v>567.05999999999995</v>
    <v>534.29999999999995</v>
    <v>467.68</v>
    <v>455.62</v>
    <v>395.95</v>
    <v>416.48</v>
    <v>366.06</v>
    <v>410.12</v>
    <v>373.44</v>
    <v>275.2</v>
    <v>318.5</v>
    <v>344.93</v>
    <v>336.53</v>
    <v>370.34</v>
    <v>323.95</v>
    <v>385.37</v>
    <v>377.56</v>
    <v>417.79</v>
    <v>488.99</v>
    <v>546.16999999999996</v>
    <v>559.34</v>
    <v>509.9</v>
    <v>532.05999999999995</v>
    <v>611.01</v>
    <v>596.6</v>
    <v>617.78</v>
    <v>560.28</v>
    <v>504.6</v>
    <v>462.83</v>
    <v>444.76</v>
    <v>555.54</v>
    <v>551.65</v>
    <v>574.41</v>
    <v>517.78</v>
    <v>478.08</v>
    <v>515.92999999999995</v>
    <v>552.96</v>
  </a>
  <a r="1" c="60">
    <v>5.9108000000000001</v>
    <v>6.7518000000000002</v>
    <v>6.59</v>
    <v>7.3070000000000004</v>
    <v>8.8755000000000006</v>
    <v>9.4977999999999998</v>
    <v>10.614800000000001</v>
    <v>13.374499999999999</v>
    <v>13.5305</v>
    <v>12.534000000000001</v>
    <v>13.4015</v>
    <v>13.055</v>
    <v>12.989800000000001</v>
    <v>13.714499999999999</v>
    <v>13.3483</v>
    <v>15.009499999999999</v>
    <v>16.244499999999999</v>
    <v>20.002500000000001</v>
    <v>19.498999999999999</v>
    <v>22.385000000000002</v>
    <v>20.716000000000001</v>
    <v>25.567</v>
    <v>32.676000000000002</v>
    <v>29.411000000000001</v>
    <v>24.486000000000001</v>
    <v>24.385000000000002</v>
    <v>27.286000000000001</v>
    <v>18.547000000000001</v>
    <v>18.672000000000001</v>
    <v>15.159000000000001</v>
    <v>18.163</v>
    <v>15.093999999999999</v>
    <v>12.138999999999999</v>
    <v>13.497</v>
    <v>16.922999999999998</v>
    <v>14.614000000000001</v>
    <v>19.536999999999999</v>
    <v>23.216000000000001</v>
    <v>27.777000000000001</v>
    <v>27.748999999999999</v>
    <v>37.834000000000003</v>
    <v>42.302</v>
    <v>46.728999999999999</v>
    <v>49.354999999999997</v>
    <v>43.499000000000002</v>
    <v>40.78</v>
    <v>46.77</v>
    <v>49.521999999999998</v>
    <v>61.527000000000001</v>
    <v>79.111999999999995</v>
    <v>90.355999999999995</v>
    <v>86.402000000000001</v>
    <v>109.633</v>
    <v>123.54</v>
    <v>117.02</v>
    <v>119.37</v>
    <v>121.44</v>
    <v>132.76</v>
    <v>138.25</v>
    <v>135.07</v>
  </a>
  <a r="1" c="251">
    <v>133.63999999999999</v>
    <v>133.97</v>
    <v>133.19999999999999</v>
    <v>133.84</v>
    <v>137.19</v>
    <v>138.1</v>
    <v>139.66</v>
    <v>141.80000000000001</v>
    <v>142.72</v>
    <v>142.82</v>
    <v>141.44</v>
    <v>141.28</v>
    <v>140.93</v>
    <v>139.56</v>
    <v>140.36000000000001</v>
    <v>138.04</v>
    <v>137.38999999999999</v>
    <v>140.53</v>
    <v>142.56</v>
    <v>143.80000000000001</v>
    <v>143.66999999999999</v>
    <v>144.24</v>
    <v>144.08000000000001</v>
    <v>142.88999999999999</v>
    <v>144.99</v>
    <v>147.97</v>
    <v>147.71</v>
    <v>148.68</v>
    <v>150.35</v>
    <v>153.63999999999999</v>
    <v>153.79</v>
    <v>154.84</v>
    <v>153.05000000000001</v>
    <v>141.80000000000001</v>
    <v>142.71</v>
    <v>143.54</v>
    <v>144.93</v>
    <v>145.41</v>
    <v>146.68</v>
    <v>147.22</v>
    <v>150.22</v>
    <v>148.72999999999999</v>
    <v>146.37</v>
    <v>147.13999999999999</v>
    <v>143.94</v>
    <v>141.76</v>
    <v>142.19999999999999</v>
    <v>143.84</v>
    <v>145.32</v>
    <v>145.29</v>
    <v>138.75</v>
    <v>140.1</v>
    <v>137.43</v>
    <v>139.78</v>
    <v>138.08000000000001</v>
    <v>134.19999999999999</v>
    <v>133.78</v>
    <v>132.56</v>
    <v>135.24</v>
    <v>136.29</v>
    <v>138.94</v>
    <v>139.62</v>
    <v>140.77000000000001</v>
    <v>144.34</v>
    <v>142.16999999999999</v>
    <v>148.47999999999999</v>
    <v>147.91999999999999</v>
    <v>149.68</v>
    <v>148.74</v>
    <v>151.77000000000001</v>
    <v>151.15</v>
    <v>151.69999999999999</v>
    <v>151.94</v>
    <v>152.26</v>
    <v>156.5</v>
    <v>155.87</v>
    <v>156.37</v>
    <v>151.94</v>
    <v>153.94</v>
    <v>156.13999999999999</v>
    <v>158.13999999999999</v>
    <v>157.66</v>
    <v>160.79</v>
    <v>159.19</v>
    <v>156.33000000000001</v>
    <v>156</v>
    <v>156.88</v>
    <v>157.46</v>
    <v>155.72</v>
    <v>157.94999999999999</v>
    <v>159.91999999999999</v>
    <v>161.1</v>
    <v>157.94999999999999</v>
    <v>173.69</v>
    <v>167.9</v>
    <v>164.64</v>
    <v>165.57</v>
    <v>168.46</v>
    <v>168.99</v>
    <v>169.83</v>
    <v>172.98</v>
    <v>171.16</v>
    <v>171.58</v>
    <v>170.29</v>
    <v>170.9</v>
    <v>171.93</v>
    <v>173.88</v>
    <v>175.43</v>
    <v>177.29</v>
    <v>178.46</v>
    <v>179.54</v>
    <v>178</v>
    <v>175.06</v>
    <v>176.33</v>
    <v>178.02</v>
    <v>177.4</v>
    <v>173.56</v>
    <v>173.96</v>
    <v>174.42</v>
    <v>175.13</v>
    <v>177.07</v>
    <v>178.35</v>
    <v>175.95</v>
    <v>176.63</v>
    <v>178.19</v>
    <v>179.56</v>
    <v>176.74</v>
    <v>178.37</v>
    <v>178.78</v>
    <v>176.45</v>
    <v>177.71</v>
    <v>180.26</v>
    <v>180.79</v>
    <v>185.58</v>
    <v>185.37</v>
    <v>186.86</v>
    <v>183.42</v>
    <v>184.49</v>
    <v>186.61</v>
    <v>187.39</v>
    <v>191.96</v>
    <v>190.48</v>
    <v>190.44</v>
    <v>192.66</v>
    <v>187.3</v>
    <v>186.78</v>
    <v>188.19</v>
    <v>185.5</v>
    <v>182.62</v>
    <v>179.22</v>
    <v>179.39</v>
    <v>183.35</v>
    <v>183.6</v>
    <v>174.37</v>
    <v>169.16</v>
    <v>168.68</v>
    <v>171.13</v>
    <v>171.86</v>
    <v>173.15</v>
    <v>172.45</v>
    <v>168.4</v>
    <v>160.63999999999999</v>
    <v>160.54</v>
    <v>160.75</v>
    <v>163.84</v>
    <v>165.39</v>
    <v>163.95</v>
    <v>165.93</v>
    <v>162.03</v>
    <v>163.16999999999999</v>
    <v>164.74</v>
    <v>168.4</v>
    <v>168.96</v>
    <v>167.63</v>
    <v>165.49</v>
    <v>167.43</v>
    <v>167.93</v>
    <v>166.38</v>
    <v>164.5</v>
    <v>163.4</v>
    <v>165.11</v>
    <v>158.61000000000001</v>
    <v>157.81</v>
    <v>158.6</v>
    <v>152.13</v>
    <v>149.54</v>
    <v>150.01</v>
    <v>152.15</v>
    <v>155.54</v>
    <v>158.37</v>
    <v>158.99</v>
    <v>160.28</v>
    <v>160.81</v>
    <v>163.24</v>
    <v>164.64</v>
    <v>163.07</v>
    <v>163.63999999999999</v>
    <v>162.99</v>
    <v>163.83000000000001</v>
    <v>165.29</v>
    <v>167.19</v>
    <v>168.42</v>
    <v>167.31</v>
    <v>167.21</v>
    <v>168.56</v>
    <v>164.39</v>
    <v>165.7</v>
    <v>163.06</v>
    <v>163.18</v>
    <v>164.52</v>
    <v>166.35</v>
    <v>166.9</v>
    <v>166.74</v>
    <v>164.51</v>
    <v>165.05</v>
    <v>165.8</v>
    <v>166.82</v>
    <v>164.48</v>
    <v>164.53</v>
    <v>166.99</v>
    <v>168.34</v>
    <v>171.14</v>
    <v>176.14</v>
    <v>172.69</v>
    <v>172.65</v>
    <v>170.68</v>
    <v>171.41</v>
    <v>178.33</v>
    <v>182.28</v>
    <v>179.86</v>
    <v>181.97</v>
    <v>183.32</v>
    <v>180.49</v>
    <v>177.35</v>
    <v>173.89</v>
    <v>176.8</v>
    <v>179.58</v>
    <v>177.33</v>
    <v>169.24</v>
    <v>166.57</v>
    <v>169.43</v>
    <v>170.62</v>
    <v>170.82</v>
    <v>170.49</v>
    <v>172.98</v>
    <v>173.02</v>
    <v>176.09</v>
    <v>174.31</v>
    <v>176.49</v>
    <v>177.1</v>
    <v>186.53</v>
  </a>
  <a r="1" c="60">
    <v>213.97</v>
    <v>194.17</v>
    <v>165.35</v>
    <v>187.56</v>
    <v>186.32</v>
    <v>184.47</v>
    <v>194.28</v>
    <v>213.52</v>
    <v>219.49</v>
    <v>213</v>
    <v>217.44</v>
    <v>214.58</v>
    <v>207.84</v>
    <v>206.14</v>
    <v>224.14</v>
    <v>236.08</v>
    <v>233.89</v>
    <v>230.99</v>
    <v>242.71</v>
    <v>237.46</v>
    <v>241.11</v>
    <v>245.55</v>
    <v>244.6</v>
    <v>268.07</v>
    <v>259.45</v>
    <v>244.77</v>
    <v>247.28</v>
    <v>249.16</v>
    <v>252.21</v>
    <v>246.88</v>
    <v>263.37</v>
    <v>252.28</v>
    <v>230.74</v>
    <v>272.66000000000003</v>
    <v>272.79000000000002</v>
    <v>263.52999999999997</v>
    <v>267.39999999999998</v>
    <v>263.91000000000003</v>
    <v>279.61</v>
    <v>295.75</v>
    <v>285.11</v>
    <v>298.41000000000003</v>
    <v>293.2</v>
    <v>281.14999999999998</v>
    <v>263.44</v>
    <v>262.17</v>
    <v>281.83999999999997</v>
    <v>296.51</v>
    <v>292.72000000000003</v>
    <v>292.27999999999997</v>
    <v>281.95</v>
    <v>273.04000000000002</v>
    <v>258.89</v>
    <v>254.84</v>
    <v>265.39999999999998</v>
    <v>288.66000000000003</v>
    <v>304.51</v>
    <v>292.11</v>
    <v>296.01</v>
    <v>300.70999999999998</v>
  </a>
  <a r="1" c="60">
    <v>345.09</v>
    <v>369.03</v>
    <v>375.5</v>
    <v>419.85</v>
    <v>419.73</v>
    <v>455.04</v>
    <v>488.88</v>
    <v>529.55999999999995</v>
    <v>500.03</v>
    <v>475.74</v>
    <v>490.7</v>
    <v>540.73</v>
    <v>532.39</v>
    <v>538.85</v>
    <v>521.66</v>
    <v>513.47</v>
    <v>502.81</v>
    <v>528.21</v>
    <v>517.57000000000005</v>
    <v>569.19000000000005</v>
    <v>610.34</v>
    <v>690.31</v>
    <v>641.9</v>
    <v>602.44000000000005</v>
    <v>427.14</v>
    <v>394.52</v>
    <v>374.59</v>
    <v>190.36</v>
    <v>197.44</v>
    <v>174.87</v>
    <v>224.9</v>
    <v>223.56</v>
    <v>235.44</v>
    <v>291.88</v>
    <v>305.52999999999997</v>
    <v>294.88</v>
    <v>353.86</v>
    <v>322.13</v>
    <v>345.48</v>
    <v>329.93</v>
    <v>395.23</v>
    <v>440.49</v>
    <v>438.97</v>
    <v>433.68</v>
    <v>377.6</v>
    <v>411.69</v>
    <v>473.97</v>
    <v>486.88</v>
    <v>564.11</v>
    <v>602.91999999999996</v>
    <v>607.33000000000004</v>
    <v>550.64</v>
    <v>641.62</v>
    <v>674.88</v>
    <v>628.35</v>
    <v>701.35</v>
    <v>709.27</v>
    <v>756.03</v>
    <v>886.81</v>
    <v>913.35</v>
  </a>
  <a r="1" c="60">
    <v>59.44</v>
    <v>54.16</v>
    <v>53.73</v>
    <v>57.45</v>
    <v>57.38</v>
    <v>55.13</v>
    <v>57.48</v>
    <v>59.27</v>
    <v>59.49</v>
    <v>56.99</v>
    <v>60.41</v>
    <v>58.75</v>
    <v>54.75</v>
    <v>55.3</v>
    <v>58.15</v>
    <v>57.79</v>
    <v>56.49</v>
    <v>56.03</v>
    <v>55.78</v>
    <v>55</v>
    <v>54.01</v>
    <v>52.99</v>
    <v>50.27</v>
    <v>51.96</v>
    <v>53.23</v>
    <v>53.67</v>
    <v>50.94</v>
    <v>46.3</v>
    <v>51.29</v>
    <v>50.75</v>
    <v>46.19</v>
    <v>41.81</v>
    <v>37.97</v>
    <v>37.369999999999997</v>
    <v>38.979999999999997</v>
    <v>39.4</v>
    <v>41.57</v>
    <v>38.81</v>
    <v>38.89</v>
    <v>38.83</v>
    <v>35.630000000000003</v>
    <v>37.19</v>
    <v>34.08</v>
    <v>34.979999999999997</v>
    <v>32.409999999999997</v>
    <v>35.130000000000003</v>
    <v>38.33</v>
    <v>37.700000000000003</v>
    <v>42.35</v>
    <v>40.020000000000003</v>
    <v>41.96</v>
    <v>39.49</v>
    <v>41.15</v>
    <v>41.24</v>
    <v>40.520000000000003</v>
    <v>41.78</v>
    <v>44.91</v>
    <v>42.13</v>
    <v>44.34</v>
    <v>42.3</v>
  </a>
  <a r="1" c="60">
    <v>224.43</v>
    <v>206.34</v>
    <v>182.83</v>
    <v>187.36</v>
    <v>185.58</v>
    <v>178.51</v>
    <v>195.78</v>
    <v>218.04</v>
    <v>212.94</v>
    <v>201.9</v>
    <v>228.91</v>
    <v>231.87</v>
    <v>227.87</v>
    <v>240.51</v>
    <v>255.47</v>
    <v>274.95</v>
    <v>289.44</v>
    <v>277.92</v>
    <v>278.29000000000002</v>
    <v>285.77</v>
    <v>272.94</v>
    <v>287.01</v>
    <v>276.69</v>
    <v>299</v>
    <v>313.02</v>
    <v>321.45</v>
    <v>352.91</v>
    <v>322.83</v>
    <v>315.98</v>
    <v>273.02</v>
    <v>300.60000000000002</v>
    <v>280.8</v>
    <v>267.02</v>
    <v>295.08999999999997</v>
    <v>318.60000000000002</v>
    <v>308.89999999999998</v>
    <v>311.52</v>
    <v>305.18</v>
    <v>308.77</v>
    <v>328.55</v>
    <v>321.08</v>
    <v>341</v>
    <v>351.96</v>
    <v>360.2</v>
    <v>350.3</v>
    <v>341.33</v>
    <v>360</v>
    <v>356.66</v>
    <v>383.74</v>
    <v>409.4</v>
    <v>420.52</v>
    <v>396.73</v>
    <v>414.4</v>
    <v>406.8</v>
    <v>438.5</v>
    <v>475.92</v>
    <v>460.26</v>
    <v>450.92</v>
    <v>483.02</v>
    <v>462.49</v>
  </a>
  <a r="1" c="60">
    <v>107.14</v>
    <v>93.34</v>
    <v>72.459999999999994</v>
    <v>92</v>
    <v>91.7</v>
    <v>89.23</v>
    <v>83.94</v>
    <v>83.93</v>
    <v>72</v>
    <v>69.5</v>
    <v>87.18</v>
    <v>84.45</v>
    <v>85.2</v>
    <v>100</v>
    <v>104.79</v>
    <v>103.07</v>
    <v>103.79</v>
    <v>104.74</v>
    <v>101.81</v>
    <v>96.77</v>
    <v>101.45</v>
    <v>114.49</v>
    <v>112.87</v>
    <v>117.35</v>
    <v>131.33000000000001</v>
    <v>144</v>
    <v>162.83000000000001</v>
    <v>156.66999999999999</v>
    <v>174.66</v>
    <v>144.78</v>
    <v>163.78</v>
    <v>158.06</v>
    <v>143.66999999999999</v>
    <v>180.9</v>
    <v>183.31</v>
    <v>179.49</v>
    <v>174.02</v>
    <v>160.77000000000001</v>
    <v>163.16</v>
    <v>168.58</v>
    <v>150.62</v>
    <v>157.35</v>
    <v>163.66</v>
    <v>161.1</v>
    <v>168.62</v>
    <v>145.72999999999999</v>
    <v>143.6</v>
    <v>149.16</v>
    <v>147.43</v>
    <v>152.01</v>
    <v>157.74</v>
    <v>161.27000000000001</v>
    <v>162.30000000000001</v>
    <v>156.41999999999999</v>
    <v>160.47</v>
    <v>147.94999999999999</v>
    <v>147.27000000000001</v>
    <v>148.82</v>
    <v>161.93</v>
    <v>157</v>
  </a>
  <a r="1" c="251">
    <v>40.450000000000003</v>
    <v>42.49</v>
    <v>45.33</v>
    <v>45.01</v>
    <v>44.05</v>
    <v>44.21</v>
    <v>42.46</v>
    <v>43.31</v>
    <v>43.51</v>
    <v>44.07</v>
    <v>43.94</v>
    <v>43.63</v>
    <v>43.28</v>
    <v>43.91</v>
    <v>42.75</v>
    <v>43.21</v>
    <v>43.81</v>
    <v>43.96</v>
    <v>43.46</v>
    <v>43.4</v>
    <v>42.82</v>
    <v>42.15</v>
    <v>41.38</v>
    <v>40.82</v>
    <v>40.15</v>
    <v>42.01</v>
    <v>41.78</v>
    <v>41.97</v>
    <v>42.48</v>
    <v>42.81</v>
    <v>42.64</v>
    <v>42.95</v>
    <v>43.34</v>
    <v>41.54</v>
    <v>40.89</v>
    <v>40.840000000000003</v>
    <v>40.1</v>
    <v>40.1</v>
    <v>39.909999999999997</v>
    <v>40.369999999999997</v>
    <v>40.18</v>
    <v>41.07</v>
    <v>39.93</v>
    <v>40.5</v>
    <v>41.55</v>
    <v>41.49</v>
    <v>41.14</v>
    <v>40.82</v>
    <v>41.35</v>
    <v>41.36</v>
    <v>40.840000000000003</v>
    <v>41.37</v>
    <v>41.22</v>
    <v>41.96</v>
    <v>41.42</v>
    <v>42.7</v>
    <v>43.25</v>
    <v>43.09</v>
    <v>43.34</v>
    <v>43.26</v>
    <v>43.52</v>
    <v>43.21</v>
    <v>43.47</v>
    <v>42.35</v>
    <v>42.08</v>
    <v>42.47</v>
    <v>42.22</v>
    <v>43.46</v>
    <v>44.45</v>
    <v>43.59</v>
    <v>43.55</v>
    <v>43.53</v>
    <v>44</v>
    <v>44.7</v>
    <v>43.95</v>
    <v>43.23</v>
    <v>43.11</v>
    <v>42.92</v>
    <v>43.03</v>
    <v>43.72</v>
    <v>43.94</v>
    <v>42.03</v>
    <v>41.92</v>
    <v>41.58</v>
    <v>41.44</v>
    <v>41</v>
    <v>39.520000000000003</v>
    <v>39.44</v>
    <v>40.450000000000003</v>
    <v>41.05</v>
    <v>40.97</v>
    <v>41.61</v>
    <v>40.99</v>
    <v>41.12</v>
    <v>41.29</v>
    <v>40.630000000000003</v>
    <v>41.05</v>
    <v>40.97</v>
    <v>41.41</v>
    <v>41.82</v>
    <v>41.58</v>
    <v>41.69</v>
    <v>41.54</v>
    <v>41.85</v>
    <v>41.49</v>
    <v>41.95</v>
    <v>42.22</v>
    <v>41.65</v>
    <v>41.43</v>
    <v>40.89</v>
    <v>41.18</v>
    <v>40.770000000000003</v>
    <v>40.020000000000003</v>
    <v>40.53</v>
    <v>39.770000000000003</v>
    <v>39.04</v>
    <v>39.380000000000003</v>
    <v>40.549999999999997</v>
    <v>39.729999999999997</v>
    <v>38.96</v>
    <v>39.08</v>
    <v>39.020000000000003</v>
    <v>39.020000000000003</v>
    <v>38.75</v>
    <v>38.450000000000003</v>
    <v>39.28</v>
    <v>39.26</v>
    <v>38.83</v>
    <v>39.090000000000003</v>
    <v>39.29</v>
    <v>39.28</v>
    <v>39.700000000000003</v>
    <v>40.549999999999997</v>
    <v>40.020000000000003</v>
    <v>39.71</v>
    <v>39.68</v>
    <v>39.700000000000003</v>
    <v>39.24</v>
    <v>39.97</v>
    <v>39.51</v>
    <v>39.04</v>
    <v>39.46</v>
    <v>39.869999999999997</v>
    <v>40.799999999999997</v>
    <v>41.93</v>
    <v>42.1</v>
    <v>42.35</v>
    <v>43.29</v>
    <v>45.26</v>
    <v>44.41</v>
    <v>44.76</v>
    <v>45.04</v>
    <v>45.55</v>
    <v>44.77</v>
    <v>45.09</v>
    <v>45.46</v>
    <v>45.37</v>
    <v>45.47</v>
    <v>44.88</v>
    <v>43.48</v>
    <v>42.35</v>
    <v>40.799999999999997</v>
    <v>41.67</v>
    <v>41.39</v>
    <v>41.76</v>
    <v>42.07</v>
    <v>41.47</v>
    <v>42.4</v>
    <v>42.34</v>
    <v>42.81</v>
    <v>43.19</v>
    <v>43.66</v>
    <v>43.74</v>
    <v>43.7</v>
    <v>44.19</v>
    <v>45.39</v>
    <v>45.62</v>
    <v>45.73</v>
    <v>46.13</v>
    <v>46.53</v>
    <v>47.23</v>
    <v>46.39</v>
    <v>46.06</v>
    <v>45.54</v>
    <v>44.49</v>
    <v>45.26</v>
    <v>45.03</v>
    <v>44.75</v>
    <v>43.85</v>
    <v>44.62</v>
    <v>44.69</v>
    <v>44.68</v>
    <v>45.18</v>
    <v>46.47</v>
    <v>46.01</v>
    <v>45.86</v>
    <v>45.64</v>
    <v>44.75</v>
    <v>45.3</v>
    <v>45.48</v>
    <v>45.73</v>
    <v>44.46</v>
    <v>44.25</v>
    <v>43.98</v>
    <v>44.7</v>
    <v>44.47</v>
    <v>44.26</v>
    <v>45.1</v>
    <v>44.94</v>
    <v>46.26</v>
    <v>47.12</v>
    <v>47</v>
    <v>49.21</v>
    <v>49.97</v>
    <v>49.16</v>
    <v>47.92</v>
    <v>48.03</v>
    <v>48.53</v>
    <v>48.45</v>
    <v>47.74</v>
    <v>48.59</v>
    <v>48.22</v>
    <v>48.68</v>
    <v>48.31</v>
    <v>47.84</v>
    <v>47.19</v>
    <v>47.61</v>
    <v>51.26</v>
    <v>49.56</v>
    <v>50.21</v>
    <v>51.04</v>
    <v>50.76</v>
    <v>51.17</v>
    <v>50.31</v>
    <v>49.9</v>
    <v>50.61</v>
    <v>50.4</v>
    <v>50.74</v>
    <v>51.39</v>
    <v>52.49</v>
    <v>53.63</v>
    <v>53.66</v>
    <v>53.48</v>
    <v>53.29</v>
    <v>52.77</v>
    <v>52.1</v>
    <v>52.01</v>
    <v>52.12</v>
    <v>52.18</v>
    <v>51.31</v>
    <v>51.57</v>
  </a>
  <a r="1" c="251">
    <v>69.569999999999993</v>
    <v>70.06</v>
    <v>74.760000000000005</v>
    <v>74.209999999999994</v>
    <v>73.88</v>
    <v>77.31</v>
    <v>76.11</v>
    <v>76.900000000000006</v>
    <v>77.14</v>
    <v>78.180000000000007</v>
    <v>79.599999999999994</v>
    <v>79.510000000000005</v>
    <v>77.349999999999994</v>
    <v>72.22</v>
    <v>68.63</v>
    <v>68.150000000000006</v>
    <v>66.959999999999994</v>
    <v>69.31</v>
    <v>69.53</v>
    <v>67.900000000000006</v>
    <v>67.87</v>
    <v>66.48</v>
    <v>65.16</v>
    <v>63.9</v>
    <v>64.47</v>
    <v>65.849999999999994</v>
    <v>66.69</v>
    <v>66.2</v>
    <v>62.57</v>
    <v>62.71</v>
    <v>64.97</v>
    <v>68.98</v>
    <v>68.22</v>
    <v>65.010000000000005</v>
    <v>66.67</v>
    <v>67.88</v>
    <v>65.849999999999994</v>
    <v>67</v>
    <v>68.31</v>
    <v>68.83</v>
    <v>66.88</v>
    <v>68.84</v>
    <v>64.98</v>
    <v>67.41</v>
    <v>69.48</v>
    <v>65.64</v>
    <v>65.73</v>
    <v>64.47</v>
    <v>67.959999999999994</v>
    <v>78.92</v>
    <v>74.66</v>
    <v>77.709999999999994</v>
    <v>78.42</v>
    <v>79.47</v>
    <v>79.25</v>
    <v>77</v>
    <v>74.430000000000007</v>
    <v>75.53</v>
    <v>77.22</v>
    <v>80.739999999999995</v>
    <v>81.53</v>
    <v>81.709999999999994</v>
    <v>85.72</v>
    <v>81.239999999999995</v>
    <v>80.17</v>
    <v>80.86</v>
    <v>79.319999999999993</v>
    <v>81.459999999999994</v>
    <v>84.05</v>
    <v>80.77</v>
    <v>82.62</v>
    <v>83.8</v>
    <v>83.18</v>
    <v>84.58</v>
    <v>81.459999999999994</v>
    <v>79.209999999999994</v>
    <v>79.650000000000006</v>
    <v>74.73</v>
    <v>77.17</v>
    <v>78.349999999999994</v>
    <v>79.98</v>
    <v>78.510000000000005</v>
    <v>80.06</v>
    <v>76.989999999999995</v>
    <v>73.5</v>
    <v>73.14</v>
    <v>73.510000000000005</v>
    <v>72.06</v>
    <v>70.42</v>
    <v>71.599999999999994</v>
    <v>75.209999999999994</v>
    <v>74.03</v>
    <v>72.790000000000006</v>
    <v>74.48</v>
    <v>75.31</v>
    <v>73</v>
    <v>66.84</v>
    <v>70.3</v>
    <v>69.47</v>
    <v>73.53</v>
    <v>71.599999999999994</v>
    <v>71.14</v>
    <v>73.2</v>
    <v>71.31</v>
    <v>69.739999999999995</v>
    <v>71.2</v>
    <v>71.52</v>
    <v>71.75</v>
    <v>72.260000000000005</v>
    <v>73.540000000000006</v>
    <v>71.510000000000005</v>
    <v>67.34</v>
    <v>66.62</v>
    <v>66.34</v>
    <v>66.08</v>
    <v>65.56</v>
    <v>65.02</v>
    <v>64.08</v>
    <v>64.3</v>
    <v>64.25</v>
    <v>64.8</v>
    <v>66.400000000000006</v>
    <v>65.099999999999994</v>
    <v>64.34</v>
    <v>64.16</v>
    <v>64.63</v>
    <v>62.36</v>
    <v>62.15</v>
    <v>62.5</v>
    <v>61.9</v>
    <v>62.74</v>
    <v>62.97</v>
    <v>64.400000000000006</v>
    <v>64.02</v>
    <v>63.29</v>
    <v>63.39</v>
    <v>64.489999999999995</v>
    <v>63.84</v>
    <v>64.58</v>
    <v>64.44</v>
    <v>65.78</v>
    <v>64.23</v>
    <v>64.510000000000005</v>
    <v>64.34</v>
    <v>66.489999999999995</v>
    <v>68.739999999999995</v>
    <v>72.06</v>
    <v>72.069999999999993</v>
    <v>71.849999999999994</v>
    <v>68</v>
    <v>68.099999999999994</v>
    <v>68.25</v>
    <v>66.89</v>
    <v>61.71</v>
    <v>61.58</v>
    <v>60.18</v>
    <v>60.74</v>
    <v>60.09</v>
    <v>61.88</v>
    <v>59.9</v>
    <v>60.38</v>
    <v>57.21</v>
    <v>57.25</v>
    <v>58.05</v>
    <v>61.21</v>
    <v>62.14</v>
    <v>61.09</v>
    <v>63.37</v>
    <v>62.2</v>
    <v>64.25</v>
    <v>65.87</v>
    <v>66.88</v>
    <v>64.88</v>
    <v>65.650000000000006</v>
    <v>63.84</v>
    <v>65.36</v>
    <v>65.56</v>
    <v>66.64</v>
    <v>64.680000000000007</v>
    <v>66.42</v>
    <v>66.08</v>
    <v>64.17</v>
    <v>64.08</v>
    <v>64.58</v>
    <v>61.24</v>
    <v>61.31</v>
    <v>61.37</v>
    <v>63.38</v>
    <v>63.67</v>
    <v>63.99</v>
    <v>65.78</v>
    <v>67.33</v>
    <v>66.739999999999995</v>
    <v>68.64</v>
    <v>67.459999999999994</v>
    <v>67.83</v>
    <v>67.540000000000006</v>
    <v>65.239999999999995</v>
    <v>66.52</v>
    <v>66.97</v>
    <v>67.13</v>
    <v>65.94</v>
    <v>65.06</v>
    <v>65.64</v>
    <v>67.02</v>
    <v>65.709999999999994</v>
    <v>68.25</v>
    <v>68.27</v>
    <v>70.02</v>
    <v>69.7</v>
    <v>71.650000000000006</v>
    <v>71.790000000000006</v>
    <v>73.53</v>
    <v>73.680000000000007</v>
    <v>74.66</v>
    <v>73.91</v>
    <v>72.819999999999993</v>
    <v>71.39</v>
    <v>72.55</v>
    <v>72.61</v>
    <v>74.48</v>
    <v>73.22</v>
    <v>73.290000000000006</v>
    <v>72.319999999999993</v>
    <v>72.150000000000006</v>
    <v>72.69</v>
    <v>72.38</v>
    <v>77.64</v>
    <v>75.27</v>
    <v>74.56</v>
    <v>83.4</v>
    <v>87.25</v>
    <v>85.82</v>
    <v>83.42</v>
    <v>84.3</v>
    <v>90.79</v>
    <v>92.42</v>
    <v>89.7</v>
    <v>92.7</v>
    <v>92.26</v>
    <v>90.75</v>
    <v>89.01</v>
    <v>88.78</v>
    <v>88.55</v>
    <v>92.78</v>
    <v>93.2</v>
    <v>98.92</v>
    <v>95.87</v>
    <v>98.25</v>
    <v>95.42</v>
    <v>94.04</v>
  </a>
  <a r="1" c="60">
    <v>74.69</v>
    <v>83.33</v>
    <v>52.38</v>
    <v>65.14</v>
    <v>81.08</v>
    <v>104.94</v>
    <v>129.85</v>
    <v>159.56</v>
    <v>162.55000000000001</v>
    <v>154.88</v>
    <v>210.96</v>
    <v>217.64</v>
    <v>215.96</v>
    <v>230.03</v>
    <v>227.05</v>
    <v>244.82</v>
    <v>222.52</v>
    <v>243.8</v>
    <v>247.26</v>
    <v>268.07</v>
    <v>239.84</v>
    <v>254.5</v>
    <v>208.33</v>
    <v>161.51</v>
    <v>122.29</v>
    <v>127.5</v>
    <v>135.6</v>
    <v>99.54</v>
    <v>87.51</v>
    <v>61.46</v>
    <v>76.06</v>
    <v>68.91</v>
    <v>54.99</v>
    <v>60.07</v>
    <v>67.77</v>
    <v>62.84</v>
    <v>81.72</v>
    <v>76.73</v>
    <v>68.650000000000006</v>
    <v>60.79</v>
    <v>60.39</v>
    <v>66.569999999999993</v>
    <v>80.53</v>
    <v>57.65</v>
    <v>44.26</v>
    <v>40.25</v>
    <v>63.43</v>
    <v>77.349999999999994</v>
    <v>65.010000000000005</v>
    <v>79.47</v>
    <v>84.58</v>
    <v>73</v>
    <v>64.08</v>
    <v>64.489999999999995</v>
    <v>61.88</v>
    <v>66.08</v>
    <v>67.13</v>
    <v>72.319999999999993</v>
    <v>88.55</v>
    <v>94.04</v>
  </a>
  <a r="1" c="251">
    <v>98.15</v>
    <v>98.11</v>
    <v>97.84</v>
    <v>96.75</v>
    <v>96.56</v>
    <v>97.72</v>
    <v>94.71</v>
    <v>95.33</v>
    <v>95.28</v>
    <v>95.67</v>
    <v>95.29</v>
    <v>95.93</v>
    <v>96.01</v>
    <v>93.67</v>
    <v>93.23</v>
    <v>93.55</v>
    <v>92.99</v>
    <v>94.19</v>
    <v>93.09</v>
    <v>93.5</v>
    <v>92.94</v>
    <v>91.98</v>
    <v>92.7</v>
    <v>91.77</v>
    <v>93.34</v>
    <v>93.86</v>
    <v>93.07</v>
    <v>91.97</v>
    <v>92.04</v>
    <v>92.61</v>
    <v>92.8</v>
    <v>93.8</v>
    <v>94.08</v>
    <v>93.03</v>
    <v>93.37</v>
    <v>92.99</v>
    <v>92.51</v>
    <v>95.67</v>
    <v>95.31</v>
    <v>96.59</v>
    <v>97.3</v>
    <v>95.47</v>
    <v>93.87</v>
    <v>94.07</v>
    <v>93.22</v>
    <v>93.22</v>
    <v>93.46</v>
    <v>95.02</v>
    <v>95.78</v>
    <v>95.62</v>
    <v>94.28</v>
    <v>94.13</v>
    <v>93</v>
    <v>94.9</v>
    <v>93.16</v>
    <v>92.46</v>
    <v>91.22</v>
    <v>91.65</v>
    <v>90.95</v>
    <v>91.06</v>
    <v>92.07</v>
    <v>92.4</v>
    <v>91.61</v>
    <v>91.66</v>
    <v>90.12</v>
    <v>91.01</v>
    <v>91.59</v>
    <v>92.6</v>
    <v>91.66</v>
    <v>90.71</v>
    <v>90.67</v>
    <v>90.36</v>
    <v>91.5</v>
    <v>91.39</v>
    <v>91.53</v>
    <v>89.3</v>
    <v>88.7</v>
    <v>87.62</v>
    <v>86.85</v>
    <v>87.19</v>
    <v>87.13</v>
    <v>85.95</v>
    <v>85.9</v>
    <v>84.92</v>
    <v>85.17</v>
    <v>85.42</v>
    <v>86.21</v>
    <v>87.15</v>
    <v>87.61</v>
    <v>88.18</v>
    <v>87.87</v>
    <v>88.75</v>
    <v>87.84</v>
    <v>88.25</v>
    <v>88.33</v>
    <v>88.49</v>
    <v>74.44</v>
    <v>74.930000000000007</v>
    <v>73.11</v>
    <v>72.900000000000006</v>
    <v>72.5</v>
    <v>73.5</v>
    <v>75.680000000000007</v>
    <v>76.11</v>
    <v>76.180000000000007</v>
    <v>75.63</v>
    <v>75.7</v>
    <v>75.28</v>
    <v>77.849999999999994</v>
    <v>77.540000000000006</v>
    <v>77.72</v>
    <v>80.72</v>
    <v>78.305000000000007</v>
    <v>78.87</v>
    <v>77.48</v>
    <v>76.88</v>
    <v>78.760000000000005</v>
    <v>80.22</v>
    <v>82.08</v>
    <v>82.79</v>
    <v>81.16</v>
    <v>81.47</v>
    <v>81.430000000000007</v>
    <v>81.599999999999994</v>
    <v>79.89</v>
    <v>79.38</v>
    <v>80.239999999999995</v>
    <v>79.650000000000006</v>
    <v>81.33</v>
    <v>80.2</v>
    <v>79.72</v>
    <v>79.91</v>
    <v>79.73</v>
    <v>79.28</v>
    <v>79.150000000000006</v>
    <v>79.234999999999999</v>
    <v>77.849999999999994</v>
    <v>77.13</v>
    <v>76.83</v>
    <v>76.260000000000005</v>
    <v>76.05</v>
    <v>74.569999999999993</v>
    <v>72.75</v>
    <v>72.510000000000005</v>
    <v>73.3</v>
    <v>74.83</v>
    <v>72.75</v>
    <v>75.510000000000005</v>
    <v>75.099999999999994</v>
    <v>74.19</v>
    <v>79.27</v>
    <v>76.55</v>
    <v>76.260000000000005</v>
    <v>74.680000000000007</v>
    <v>73.319999999999993</v>
    <v>74.05</v>
    <v>75.2</v>
    <v>75.94</v>
    <v>77.95</v>
    <v>75.11</v>
    <v>75.88</v>
    <v>73.86</v>
    <v>75.37</v>
    <v>75.290000000000006</v>
    <v>75.75</v>
    <v>75.09</v>
    <v>77.03</v>
    <v>95.9</v>
    <v>93.9</v>
    <v>94.88</v>
    <v>94.81</v>
    <v>92.3</v>
    <v>93.01</v>
    <v>92.78</v>
    <v>92.43</v>
    <v>94.02</v>
    <v>95.63</v>
    <v>98.6</v>
    <v>95.3</v>
    <v>94.86</v>
    <v>94.57</v>
    <v>93.18</v>
    <v>92.33</v>
    <v>91.56</v>
    <v>91.15</v>
    <v>92.21</v>
    <v>93.34</v>
    <v>98.2</v>
    <v>99.28</v>
    <v>98.57</v>
    <v>96.31</v>
    <v>96.44</v>
    <v>96.12</v>
    <v>96.9</v>
    <v>96.05</v>
    <v>95.48</v>
    <v>94.45</v>
    <v>95.62</v>
    <v>97.47</v>
    <v>97.36</v>
    <v>97.49</v>
    <v>97.43</v>
    <v>96.5</v>
    <v>95.56</v>
    <v>96.58</v>
    <v>96.09</v>
    <v>96.21</v>
    <v>95.88</v>
    <v>93.88</v>
    <v>95.55</v>
    <v>94.76</v>
    <v>95.04</v>
    <v>95.46</v>
    <v>95.27</v>
    <v>96.84</v>
    <v>96.45</v>
    <v>96.82</v>
    <v>97.65</v>
    <v>97.15</v>
    <v>97.31</v>
    <v>98.02</v>
    <v>97.39</v>
    <v>97.32</v>
    <v>97.7</v>
    <v>98.87</v>
    <v>97.03</v>
    <v>97.09</v>
    <v>96.08</v>
    <v>96.12</v>
    <v>97.55</v>
    <v>100.31</v>
    <v>98.8</v>
    <v>99.8</v>
    <v>99.23</v>
    <v>98.42</v>
    <v>100.4</v>
    <v>98.35</v>
    <v>98.26</v>
    <v>100.06</v>
    <v>102.5</v>
    <v>101.84</v>
    <v>100.68</v>
    <v>101.51</v>
    <v>102.46</v>
    <v>101.51</v>
    <v>101.57</v>
    <v>100.7</v>
    <v>99.23</v>
    <v>100.11</v>
    <v>99.31</v>
    <v>98.16</v>
  </a>
  <a r="1" c="60">
    <v>148.87</v>
    <v>134.47999999999999</v>
    <v>131.13</v>
    <v>150.04</v>
    <v>148.75</v>
    <v>140.63</v>
    <v>145.76</v>
    <v>153.41</v>
    <v>148.88</v>
    <v>137.11000000000001</v>
    <v>144.68</v>
    <v>157.38</v>
    <v>163.13</v>
    <v>158.46</v>
    <v>164.35</v>
    <v>162.72999999999999</v>
    <v>169.25</v>
    <v>164.74</v>
    <v>172.2</v>
    <v>173.13</v>
    <v>161.5</v>
    <v>162.88</v>
    <v>155.93</v>
    <v>171.07</v>
    <v>172.29</v>
    <v>164.57</v>
    <v>177.23</v>
    <v>180.46</v>
    <v>179.53</v>
    <v>177.51</v>
    <v>174.52</v>
    <v>161.34</v>
    <v>163.36000000000001</v>
    <v>173.97</v>
    <v>178</v>
    <v>176.65</v>
    <v>163.41999999999999</v>
    <v>153.26</v>
    <v>155</v>
    <v>163.69999999999999</v>
    <v>155.06</v>
    <v>165.52</v>
    <v>167.53</v>
    <v>161.68</v>
    <v>155.75</v>
    <v>148.34</v>
    <v>154.66</v>
    <v>156.74</v>
    <v>158.9</v>
    <v>161.38</v>
    <v>158.19</v>
    <v>144.59</v>
    <v>146.66999999999999</v>
    <v>146.16</v>
    <v>157.85</v>
    <v>165.86</v>
    <v>162.06</v>
    <v>159.86000000000001</v>
    <v>155.01</v>
    <v>149.22999999999999</v>
  </a>
  <a r="1" c="251">
    <v>83.6</v>
    <v>85.63</v>
    <v>91.04</v>
    <v>91.58</v>
    <v>90.76</v>
    <v>91.92</v>
    <v>91.14</v>
    <v>92.63</v>
    <v>92.41</v>
    <v>92.84</v>
    <v>93.66</v>
    <v>93.64</v>
    <v>93.25</v>
    <v>93.9</v>
    <v>91.91</v>
    <v>92.15</v>
    <v>93.24</v>
    <v>93.51</v>
    <v>92.06</v>
    <v>91.48</v>
    <v>90.51</v>
    <v>89.7</v>
    <v>85.97</v>
    <v>84.41</v>
    <v>83.9</v>
    <v>85.34</v>
    <v>85.73</v>
    <v>86.74</v>
    <v>87.57</v>
    <v>88.02</v>
    <v>87.73</v>
    <v>87.62</v>
    <v>87.62</v>
    <v>87.24</v>
    <v>86.82</v>
    <v>87.27</v>
    <v>85.89</v>
    <v>86.1</v>
    <v>86</v>
    <v>85.65</v>
    <v>85.89</v>
    <v>86.87</v>
    <v>83.97</v>
    <v>84</v>
    <v>85.67</v>
    <v>86.5</v>
    <v>85.35</v>
    <v>85.46</v>
    <v>85.85</v>
    <v>86.55</v>
    <v>85.67</v>
    <v>85.49</v>
    <v>86.05</v>
    <v>86.04</v>
    <v>86.48</v>
    <v>90.04</v>
    <v>89.13</v>
    <v>85.66</v>
    <v>86.14</v>
    <v>87.04</v>
    <v>86.94</v>
    <v>87.05</v>
    <v>89.35</v>
    <v>89.1</v>
    <v>88.38</v>
    <v>87.96</v>
    <v>88.42</v>
    <v>91.35</v>
    <v>93.4</v>
    <v>91.95</v>
    <v>91.14</v>
    <v>91.28</v>
    <v>93.5</v>
    <v>94.16</v>
    <v>93.53</v>
    <v>92.71</v>
    <v>93</v>
    <v>92.28</v>
    <v>92.47</v>
    <v>93.21</v>
    <v>94.08</v>
    <v>91.65</v>
    <v>86.84</v>
    <v>86.19</v>
    <v>86.99</v>
    <v>89.14</v>
    <v>90.08</v>
    <v>90.26</v>
    <v>90.66</v>
    <v>92.09</v>
    <v>93.76</v>
    <v>93.85</v>
    <v>92.56</v>
    <v>92.83</v>
    <v>92.11</v>
    <v>90.84</v>
    <v>91.54</v>
    <v>92.65</v>
    <v>93.64</v>
    <v>94.79</v>
    <v>95.79</v>
    <v>95.64</v>
    <v>98.11</v>
    <v>98.28</v>
    <v>98.56</v>
    <v>99.38</v>
    <v>100.52</v>
    <v>99.58</v>
    <v>100.22</v>
    <v>100.33</v>
    <v>101.53</v>
    <v>100.74</v>
    <v>98.92</v>
    <v>98.97</v>
    <v>98.67</v>
    <v>97.27</v>
    <v>97.23</v>
    <v>97.84</v>
    <v>97.41</v>
    <v>96.58</v>
    <v>96.66</v>
    <v>96.85</v>
    <v>97.14</v>
    <v>96.39</v>
    <v>95.43</v>
    <v>95.65</v>
    <v>95.21</v>
    <v>95.5</v>
    <v>97.04</v>
    <v>97.57</v>
    <v>97.44</v>
    <v>96.16</v>
    <v>97.1</v>
    <v>97.8</v>
    <v>96.89</v>
    <v>95.77</v>
    <v>97.19</v>
    <v>99.16</v>
    <v>99.65</v>
    <v>100.2</v>
    <v>99.59</v>
    <v>100.59</v>
    <v>102.61</v>
    <v>103.46</v>
    <v>104.64</v>
    <v>104.09</v>
    <v>105.26</v>
    <v>106.22</v>
    <v>106.96</v>
    <v>104.81</v>
    <v>102.09</v>
    <v>102.44</v>
    <v>103.5</v>
    <v>101.97</v>
    <v>103.56</v>
    <v>104.19</v>
    <v>102.48</v>
    <v>103.76</v>
    <v>103.21</v>
    <v>101.76</v>
    <v>95.85</v>
    <v>92.07</v>
    <v>92.97</v>
    <v>92.11</v>
    <v>94.63</v>
    <v>94.72</v>
    <v>94.84</v>
    <v>96.71</v>
    <v>99.44</v>
    <v>100.64</v>
    <v>101.44</v>
    <v>101.75</v>
    <v>100.78</v>
    <v>100.69</v>
    <v>100.56</v>
    <v>101.89</v>
    <v>102.33</v>
    <v>102.08</v>
    <v>102.2</v>
    <v>102.6</v>
    <v>103.61</v>
    <v>99.27</v>
    <v>100.15</v>
    <v>99.56</v>
    <v>96.59</v>
    <v>98.18</v>
    <v>96.62</v>
    <v>97.03</v>
    <v>96.64</v>
    <v>98.25</v>
    <v>100.09</v>
    <v>99.84</v>
    <v>99.3</v>
    <v>100.73</v>
    <v>102.47</v>
    <v>102.47</v>
    <v>102.58</v>
    <v>102.34</v>
    <v>104.6</v>
    <v>104.11</v>
    <v>104.24</v>
    <v>104.42</v>
    <v>104.52</v>
    <v>104.57</v>
    <v>107.88</v>
    <v>107.64</v>
    <v>107.49</v>
    <v>109.04</v>
    <v>108.08</v>
    <v>110.46</v>
    <v>112.28</v>
    <v>112.22</v>
    <v>119.51</v>
    <v>119.44</v>
    <v>121.06</v>
    <v>118.28</v>
    <v>118.32</v>
    <v>118.28</v>
    <v>119.17</v>
    <v>116.88</v>
    <v>119.13</v>
    <v>119.3</v>
    <v>117.92</v>
    <v>116.25</v>
    <v>116.85</v>
    <v>116.14</v>
    <v>117.81</v>
    <v>131.49</v>
    <v>128.44</v>
    <v>129.53</v>
    <v>133.52000000000001</v>
    <v>132.31</v>
    <v>132.76</v>
    <v>132.43</v>
    <v>134.06</v>
    <v>133.78</v>
    <v>132.24</v>
    <v>131.69</v>
    <v>134.99</v>
    <v>134.69</v>
    <v>133.66</v>
    <v>131.28</v>
    <v>131.21</v>
    <v>131.61000000000001</v>
    <v>131.03</v>
    <v>130.44</v>
    <v>129.99</v>
    <v>130.32</v>
    <v>129.96</v>
    <v>128.58000000000001</v>
    <v>126.79</v>
  </a>
  <a r="1" c="251">
    <v>259.56</v>
    <v>262.38</v>
    <v>258.73</v>
    <v>258.02999999999997</v>
    <v>258.37</v>
    <v>259.99</v>
    <v>257.11</v>
    <v>259.54000000000002</v>
    <v>258.43</v>
    <v>259.16000000000003</v>
    <v>258.93</v>
    <v>260.39999999999998</v>
    <v>260.35000000000002</v>
    <v>258.87</v>
    <v>257.98</v>
    <v>259.61</v>
    <v>259.69</v>
    <v>262.54000000000002</v>
    <v>263.33</v>
    <v>264.56</v>
    <v>264.02999999999997</v>
    <v>264.17</v>
    <v>265.24</v>
    <v>266.63</v>
    <v>268.14</v>
    <v>270.89999999999998</v>
    <v>271.2</v>
    <v>271.26</v>
    <v>271.64999999999998</v>
    <v>272.61</v>
    <v>267.94</v>
    <v>273.66000000000003</v>
    <v>277.14999999999998</v>
    <v>273.26</v>
    <v>277.05</v>
    <v>277.18</v>
    <v>275.58</v>
    <v>276.76</v>
    <v>279.39</v>
    <v>275.77999999999997</v>
    <v>276.43</v>
    <v>275.07</v>
    <v>275.81</v>
    <v>277.56</v>
    <v>280.98</v>
    <v>278.56</v>
    <v>275.14999999999998</v>
    <v>276.76</v>
    <v>283.75</v>
    <v>283.60000000000002</v>
    <v>284.14999999999998</v>
    <v>283.17</v>
    <v>285.63</v>
    <v>282.64</v>
    <v>283.16000000000003</v>
    <v>280.52999999999997</v>
    <v>279.38</v>
    <v>280.43</v>
    <v>278.26</v>
    <v>280.04000000000002</v>
    <v>280.56</v>
    <v>283.92</v>
    <v>285.14</v>
    <v>286.41000000000003</v>
    <v>283.04000000000002</v>
    <v>285.05</v>
    <v>287.35000000000002</v>
    <v>289.27999999999997</v>
    <v>290.37</v>
    <v>283.26</v>
    <v>281.20999999999998</v>
    <v>280.60000000000002</v>
    <v>279.02</v>
    <v>279.08</v>
    <v>278.27999999999997</v>
    <v>278.44</v>
    <v>276.95999999999998</v>
    <v>274</v>
    <v>277.14</v>
    <v>277.76</v>
    <v>276.72000000000003</v>
    <v>274.48</v>
    <v>275.68</v>
    <v>275.95999999999998</v>
    <v>271.27999999999997</v>
    <v>271.35000000000002</v>
    <v>272.69</v>
    <v>271.37</v>
    <v>269.77999999999997</v>
    <v>272.33</v>
    <v>274.11</v>
    <v>275.02</v>
    <v>275.16000000000003</v>
    <v>274.52</v>
    <v>271.83999999999997</v>
    <v>268.61</v>
    <v>267.32</v>
    <v>267.61</v>
    <v>268.49</v>
    <v>272.67</v>
    <v>276.45999999999998</v>
    <v>277.19</v>
    <v>278.54000000000002</v>
    <v>280.74</v>
    <v>279.39</v>
    <v>277.74</v>
    <v>281.5</v>
    <v>279.83999999999997</v>
    <v>280.10000000000002</v>
    <v>278.54000000000002</v>
    <v>275.95</v>
    <v>275.58</v>
    <v>274.23</v>
    <v>274.49</v>
    <v>270.98</v>
    <v>268.86</v>
    <v>271.3</v>
    <v>272.45999999999998</v>
    <v>270.38</v>
    <v>272.42</v>
    <v>274.5</v>
    <v>277.04000000000002</v>
    <v>278.67</v>
    <v>275.04000000000002</v>
    <v>274.67</v>
    <v>270.32</v>
    <v>271.19</v>
    <v>270.66000000000003</v>
    <v>271.17</v>
    <v>273.62</v>
    <v>276.82</v>
    <v>275.22000000000003</v>
    <v>276.3</v>
    <v>273.52999999999997</v>
    <v>273.60000000000002</v>
    <v>266.58999999999997</v>
    <v>262.47000000000003</v>
    <v>263.24</v>
    <v>268.23</v>
    <v>268.99</v>
    <v>270.36</v>
    <v>266.39999999999998</v>
    <v>265.44</v>
    <v>263</v>
    <v>262.55</v>
    <v>265.74</v>
    <v>268.45</v>
    <v>269.25</v>
    <v>272.7</v>
    <v>269.14999999999998</v>
    <v>265.45999999999998</v>
    <v>267.70999999999998</v>
    <v>264.79000000000002</v>
    <v>254.17</v>
    <v>253.74</v>
    <v>259.45999999999998</v>
    <v>261.60000000000002</v>
    <v>263.10000000000002</v>
    <v>265.67</v>
    <v>265.93</v>
    <v>266.58</v>
    <v>256.44</v>
    <v>258.26</v>
    <v>256.52</v>
    <v>259.83</v>
    <v>259.76</v>
    <v>259.89</v>
    <v>260.13</v>
    <v>261.14</v>
    <v>266.8</v>
    <v>267.38</v>
    <v>266.47000000000003</v>
    <v>268.04000000000002</v>
    <v>268.2</v>
    <v>267.94</v>
    <v>267.44</v>
    <v>268.20999999999998</v>
    <v>270.72000000000003</v>
    <v>269.19</v>
    <v>274.32</v>
    <v>276.37</v>
    <v>278.54000000000002</v>
    <v>280.49</v>
    <v>278.62</v>
    <v>279.37</v>
    <v>285.61</v>
    <v>285.33999999999997</v>
    <v>283.95999999999998</v>
    <v>285.37</v>
    <v>287.35000000000002</v>
    <v>290.48</v>
    <v>291.56</v>
    <v>288.48</v>
    <v>285.24</v>
    <v>284.77</v>
    <v>288.63</v>
    <v>272.77999999999997</v>
    <v>269.63</v>
    <v>271.69</v>
    <v>275.17</v>
    <v>274.95</v>
    <v>277.60000000000002</v>
    <v>277</v>
    <v>276.86</v>
    <v>277.93</v>
    <v>273.79000000000002</v>
    <v>274.95999999999998</v>
    <v>276.93</v>
    <v>277.47000000000003</v>
    <v>277.83999999999997</v>
    <v>280.68</v>
    <v>279.29000000000002</v>
    <v>287.52</v>
    <v>290.39</v>
    <v>290.62</v>
    <v>286.85000000000002</v>
    <v>284.79000000000002</v>
    <v>283.76</v>
    <v>283.22000000000003</v>
    <v>281.73</v>
    <v>284.19</v>
    <v>281.88</v>
    <v>290.16000000000003</v>
    <v>289.85000000000002</v>
    <v>290.74</v>
    <v>291.85000000000002</v>
    <v>293.29000000000002</v>
    <v>307.39999999999998</v>
    <v>305.8</v>
    <v>307.87</v>
    <v>310.92</v>
    <v>309.85000000000002</v>
    <v>309.48</v>
    <v>308.25</v>
    <v>309.64</v>
    <v>312.16000000000003</v>
    <v>311.85000000000002</v>
    <v>307.39</v>
    <v>309.89999999999998</v>
    <v>309.92</v>
    <v>313.19</v>
    <v>311.82</v>
    <v>314.7</v>
    <v>315.08</v>
    <v>316.64999999999998</v>
    <v>313.01</v>
    <v>309.89999999999998</v>
    <v>309.08</v>
    <v>311.01</v>
    <v>308.3</v>
    <v>312.38</v>
  </a>
  <a r="1" c="251">
    <v>160.52000000000001</v>
    <v>161.06</v>
    <v>163.99</v>
    <v>165.23</v>
    <v>166.23</v>
    <v>168.45</v>
    <v>166.55</v>
    <v>167.5</v>
    <v>167.4</v>
    <v>168.39</v>
    <v>169.4</v>
    <v>170.3</v>
    <v>170.1</v>
    <v>172.08</v>
    <v>171.33</v>
    <v>171.41</v>
    <v>172.27</v>
    <v>172.02</v>
    <v>170.66</v>
    <v>171.02</v>
    <v>170.3</v>
    <v>169.05</v>
    <v>167.99</v>
    <v>167.09</v>
    <v>167.42</v>
    <v>170.31</v>
    <v>170.11</v>
    <v>168.99</v>
    <v>170.5</v>
    <v>172.94</v>
    <v>172.28</v>
    <v>172.73</v>
    <v>176.27</v>
    <v>174.36</v>
    <v>173.73</v>
    <v>174.73</v>
    <v>174.5</v>
    <v>175.1</v>
    <v>175.43</v>
    <v>174.8</v>
    <v>175.01</v>
    <v>175.79</v>
    <v>174.26</v>
    <v>176.03</v>
    <v>179.87</v>
    <v>179.03</v>
    <v>179.73</v>
    <v>180.9</v>
    <v>183.07</v>
    <v>183.99</v>
    <v>183.36</v>
    <v>183.45</v>
    <v>184.38</v>
    <v>186.06</v>
    <v>185.29</v>
    <v>186.68</v>
    <v>188.55</v>
    <v>189.53</v>
    <v>187.87</v>
    <v>188.22</v>
    <v>188.29</v>
    <v>189.84</v>
    <v>191.38</v>
    <v>187.97</v>
    <v>190.3</v>
    <v>192.66</v>
    <v>193.79</v>
    <v>196.33</v>
    <v>199.06</v>
    <v>196.62</v>
    <v>194.82</v>
    <v>195.73</v>
    <v>199.52</v>
    <v>200.3</v>
    <v>198.94</v>
    <v>198.86</v>
    <v>198.3</v>
    <v>195.65</v>
    <v>197.45</v>
    <v>198.48</v>
    <v>197.15</v>
    <v>195.47</v>
    <v>195.43</v>
    <v>182.79</v>
    <v>182.89</v>
    <v>180.8</v>
    <v>180.08</v>
    <v>181.25</v>
    <v>185.8</v>
    <v>189.41</v>
    <v>192.14</v>
    <v>193.08</v>
    <v>193.37</v>
    <v>193.49</v>
    <v>193.28</v>
    <v>191.74</v>
    <v>191.86</v>
    <v>191.66</v>
    <v>190.51</v>
    <v>192</v>
    <v>191.75</v>
    <v>195.65</v>
    <v>197.5</v>
    <v>198.77</v>
    <v>198.73</v>
    <v>201.51</v>
    <v>202.11</v>
    <v>202.47</v>
    <v>204.79</v>
    <v>195.58</v>
    <v>199.52</v>
    <v>198.31</v>
    <v>196.92</v>
    <v>200.71</v>
    <v>199.5</v>
    <v>198.11</v>
    <v>199.33</v>
    <v>202.63</v>
    <v>201.82</v>
    <v>199.16</v>
    <v>197.26</v>
    <v>196.91</v>
    <v>199.95</v>
    <v>199.61</v>
    <v>194.36</v>
    <v>191.53</v>
    <v>193.66</v>
    <v>193.78</v>
    <v>194.98</v>
    <v>197</v>
    <v>198.67</v>
    <v>196.3</v>
    <v>198.88</v>
    <v>198.07</v>
    <v>197.43</v>
    <v>199.17</v>
    <v>202.26</v>
    <v>205.45</v>
    <v>208.83</v>
    <v>208.69</v>
    <v>204.79</v>
    <v>205.17</v>
    <v>207.63</v>
    <v>207.8</v>
    <v>207.45</v>
    <v>204.94</v>
    <v>210.05</v>
    <v>213.62</v>
    <v>216.87</v>
    <v>209.98</v>
    <v>209.78</v>
    <v>210.28</v>
    <v>210.33</v>
    <v>208.59</v>
    <v>208.67</v>
    <v>212.24</v>
    <v>210.85</v>
    <v>215.19</v>
    <v>212.8</v>
    <v>207.96</v>
    <v>199.14</v>
    <v>194.9</v>
    <v>200.34</v>
    <v>200.4</v>
    <v>204.06</v>
    <v>205.8</v>
    <v>206.19</v>
    <v>207.94</v>
    <v>210.24</v>
    <v>211.55</v>
    <v>213.97</v>
    <v>215.45</v>
    <v>214.52</v>
    <v>214.6</v>
    <v>216.63</v>
    <v>218.31</v>
    <v>219.17</v>
    <v>220.18</v>
    <v>221.29</v>
    <v>222.21</v>
    <v>224.8</v>
    <v>220.3</v>
    <v>219.33</v>
    <v>217.63</v>
    <v>212.46</v>
    <v>216.81</v>
    <v>205.56</v>
    <v>207.23</v>
    <v>206.6</v>
    <v>204.32</v>
    <v>207.86</v>
    <v>209.25</v>
    <v>207.53</v>
    <v>210.48</v>
    <v>211.09</v>
    <v>211.44</v>
    <v>211.59</v>
    <v>210.19</v>
    <v>209.78</v>
    <v>210.5</v>
    <v>210.86</v>
    <v>207.04</v>
    <v>207.29</v>
    <v>205.23</v>
    <v>211.22</v>
    <v>210.93</v>
    <v>210.75</v>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a>
  <a r="1" c="251">
    <v>374.38</v>
    <v>374.37</v>
    <v>365.93</v>
    <v>370.73</v>
    <v>372.65</v>
    <v>373.26</v>
    <v>370.62</v>
    <v>373.54</v>
    <v>374.58</v>
    <v>374.66</v>
    <v>374.07</v>
    <v>375.28</v>
    <v>376.04</v>
    <v>370.87</v>
    <v>370.6</v>
    <v>367.94</v>
    <v>367.75</v>
    <v>374.69</v>
    <v>375.79</v>
    <v>382.77</v>
    <v>384.63</v>
    <v>388.47</v>
    <v>390.27</v>
    <v>389.47</v>
    <v>393.87</v>
    <v>398.67</v>
    <v>396.51</v>
    <v>398.9</v>
    <v>402.56</v>
    <v>404.87</v>
    <v>403.93</v>
    <v>409.72</v>
    <v>408.59</v>
    <v>397.58</v>
    <v>403.78</v>
    <v>411.22</v>
    <v>405.65</v>
    <v>405.49</v>
    <v>414.05</v>
    <v>414.11</v>
    <v>420.55</v>
    <v>415.26</v>
    <v>406.32</v>
    <v>409.49</v>
    <v>406.56</v>
    <v>404.06</v>
    <v>402.79</v>
    <v>402.18</v>
    <v>411.65</v>
    <v>410.34</v>
    <v>407.54</v>
    <v>407.48</v>
    <v>407.72</v>
    <v>413.64</v>
    <v>415.5</v>
    <v>414.92</v>
    <v>402.65</v>
    <v>402.09</v>
    <v>409.14</v>
    <v>406.22</v>
    <v>404.52</v>
    <v>415.28</v>
    <v>415.1</v>
    <v>425.22</v>
    <v>416.42</v>
    <v>417.32</v>
    <v>421.41</v>
    <v>425.23</v>
    <v>429.37</v>
    <v>428.74</v>
    <v>422.86</v>
    <v>421.65</v>
    <v>421.43</v>
    <v>420.72</v>
    <v>424.57</v>
    <v>421.44</v>
    <v>420.45</v>
    <v>417.88</v>
    <v>425.52</v>
    <v>424.59</v>
    <v>426.28</v>
    <v>423.26</v>
    <v>427.93</v>
    <v>421.9</v>
    <v>413.64</v>
    <v>414.58</v>
    <v>411.84</v>
    <v>404.27</v>
    <v>399.12</v>
    <v>400.96</v>
    <v>407.57</v>
    <v>409.06</v>
    <v>399.04</v>
    <v>406.32</v>
    <v>402.25</v>
    <v>389.33</v>
    <v>394.94</v>
    <v>397.84</v>
    <v>406.66</v>
    <v>413.54</v>
    <v>409.34</v>
    <v>410.54</v>
    <v>412.32</v>
    <v>414.74</v>
    <v>413.72</v>
    <v>416.56</v>
    <v>423.08</v>
    <v>420.99</v>
    <v>420.21</v>
    <v>425.34</v>
    <v>429.04</v>
    <v>430.52</v>
    <v>427</v>
    <v>430.16</v>
    <v>430.32</v>
    <v>429.17</v>
    <v>414.67</v>
    <v>415.13</v>
    <v>413.52</v>
    <v>416.07</v>
    <v>424.01</v>
    <v>424.52</v>
    <v>423.85</v>
    <v>427.87</v>
    <v>432.68</v>
    <v>441.06</v>
    <v>441.58</v>
    <v>442.57</v>
    <v>448.37</v>
    <v>446.34</v>
    <v>445.7</v>
    <v>449.78</v>
    <v>447.67</v>
    <v>450.95</v>
    <v>452.16</v>
    <v>452.85</v>
    <v>446.95</v>
    <v>456.73</v>
    <v>459.28</v>
    <v>460.77</v>
    <v>467.56</v>
    <v>466.24</v>
    <v>459.54</v>
    <v>466.25</v>
    <v>454.7</v>
    <v>453.55</v>
    <v>453.96</v>
    <v>449.52</v>
    <v>443.52</v>
    <v>440.37</v>
    <v>437.11</v>
    <v>442.94</v>
    <v>444.85</v>
    <v>428.9</v>
    <v>418.4</v>
    <v>425.27</v>
    <v>426.73</v>
    <v>422.92</v>
    <v>418.35</v>
    <v>417.11</v>
    <v>408.49</v>
    <v>395.15</v>
    <v>399.61</v>
    <v>398.43</v>
    <v>402.69</v>
    <v>406.02</v>
    <v>406.81</v>
    <v>414.01</v>
    <v>416.86</v>
    <v>421.03</v>
    <v>418.47</v>
    <v>421.53</v>
    <v>424.8</v>
    <v>424.14</v>
    <v>415.55</v>
    <v>416.79</v>
    <v>413.49</v>
    <v>413.84</v>
    <v>410.6</v>
    <v>413.12</v>
    <v>417.14</v>
    <v>409.44</v>
    <v>408.9</v>
    <v>408.39</v>
    <v>401.7</v>
    <v>405.72</v>
    <v>414.2</v>
    <v>423.04</v>
    <v>427</v>
    <v>430.59</v>
    <v>431.34</v>
    <v>435.15</v>
    <v>430.81</v>
    <v>438.69</v>
    <v>435.27</v>
    <v>433.51</v>
    <v>429.17</v>
    <v>432.11</v>
    <v>431.31</v>
    <v>428.02</v>
    <v>430.3</v>
    <v>420.69</v>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a>
  <a r="1" c="251">
    <v>629.5</v>
    <v>642</v>
    <v>630.78</v>
    <v>658.82</v>
    <v>681.24</v>
    <v>677.74</v>
    <v>661</v>
    <v>665.16</v>
    <v>671.6</v>
    <v>674.62</v>
    <v>666.8</v>
    <v>663.1</v>
    <v>660.08</v>
    <v>650.65</v>
    <v>644.69000000000005</v>
    <v>648.35</v>
    <v>656.01</v>
    <v>661.69</v>
    <v>667.18</v>
    <v>672.76</v>
    <v>673.58</v>
    <v>683.24</v>
    <v>681.49</v>
    <v>684.19</v>
    <v>687.31</v>
    <v>694.97</v>
    <v>692.51</v>
    <v>687.59</v>
    <v>686.51</v>
    <v>679.9</v>
    <v>686.88</v>
    <v>694.01</v>
    <v>700.74</v>
    <v>694.88</v>
    <v>704.48</v>
    <v>709.48</v>
    <v>711.16</v>
    <v>710.79</v>
    <v>719.78</v>
    <v>724.16</v>
    <v>723.4</v>
    <v>722.41</v>
    <v>714.25</v>
    <v>722.18</v>
    <v>724.51</v>
    <v>723.99</v>
    <v>725.69</v>
    <v>723.02</v>
    <v>734.4</v>
    <v>737.93</v>
    <v>745.35</v>
    <v>744.71</v>
    <v>747.96</v>
    <v>743.89</v>
    <v>749.44</v>
    <v>759.18</v>
    <v>759.95</v>
    <v>773.24</v>
    <v>785.59</v>
    <v>725.56</v>
    <v>714.08</v>
    <v>736.88</v>
    <v>734.2</v>
    <v>731.95</v>
    <v>725.63</v>
    <v>731.54</v>
    <v>732.17</v>
    <v>740.72</v>
    <v>742.56</v>
    <v>734.8</v>
    <v>730.96</v>
    <v>730.98</v>
    <v>732.08</v>
    <v>732.63</v>
    <v>721.24</v>
    <v>711.3</v>
    <v>705.69</v>
    <v>704.88</v>
    <v>713.72</v>
    <v>711.81</v>
    <v>718.59</v>
    <v>722.58</v>
    <v>732.35</v>
    <v>731.31</v>
    <v>718.28</v>
    <v>715.97</v>
    <v>715.19</v>
    <v>711.25</v>
    <v>709.51</v>
    <v>715.46</v>
    <v>722.68</v>
    <v>723.89</v>
    <v>721.86</v>
    <v>729.18</v>
    <v>726.33</v>
    <v>722.9</v>
    <v>722.22</v>
    <v>732.44</v>
    <v>743.9</v>
    <v>756.45</v>
    <v>771.31</v>
    <v>763.41</v>
    <v>779.04</v>
    <v>787.19</v>
    <v>775.15</v>
    <v>777.9</v>
    <v>787.04</v>
    <v>793.07</v>
    <v>795.81</v>
    <v>793</v>
    <v>800.93</v>
    <v>801.86</v>
    <v>796.34</v>
    <v>809.73</v>
    <v>813.17</v>
    <v>806.52</v>
    <v>815.34</v>
    <v>809.89</v>
    <v>815.39</v>
    <v>827.39</v>
    <v>834.3</v>
    <v>842.64</v>
    <v>845.58</v>
    <v>848.34</v>
    <v>849.31</v>
    <v>847.81</v>
    <v>845.96</v>
    <v>855.67</v>
    <v>867.91</v>
    <v>870.75</v>
    <v>862.44</v>
    <v>848.31</v>
    <v>848.16</v>
    <v>855.51</v>
    <v>856.84</v>
    <v>850.62</v>
    <v>849.99</v>
    <v>845.67</v>
    <v>859.36</v>
    <v>862.66</v>
    <v>885.67</v>
    <v>880.84</v>
    <v>886.85</v>
    <v>884.31</v>
    <v>846.59</v>
    <v>842.9</v>
    <v>848.73</v>
    <v>850.77</v>
    <v>846.28</v>
    <v>839.37</v>
    <v>838.13</v>
    <v>847.42</v>
    <v>852.11</v>
    <v>830.82</v>
    <v>815.95</v>
    <v>817.6</v>
    <v>815.56</v>
    <v>810.03</v>
    <v>822</v>
    <v>816.89</v>
    <v>822.08</v>
    <v>801.83</v>
    <v>816.88</v>
    <v>810.3</v>
    <v>839.43</v>
    <v>854.93</v>
    <v>863.57</v>
    <v>864.82</v>
    <v>862.71</v>
    <v>877.35</v>
    <v>870.59</v>
    <v>872.35</v>
    <v>876.2</v>
    <v>881.42</v>
    <v>877.56</v>
    <v>879.21</v>
    <v>892.51</v>
    <v>908.9</v>
    <v>888.05</v>
    <v>886.63</v>
    <v>892.38</v>
    <v>878.57</v>
    <v>890.02</v>
    <v>885.98</v>
    <v>876.68</v>
    <v>896.49</v>
    <v>894.29</v>
    <v>900.4</v>
    <v>915.03</v>
    <v>916</v>
    <v>907.87</v>
    <v>897.27</v>
    <v>892.52</v>
    <v>900.74</v>
    <v>906.98</v>
    <v>917.08</v>
    <v>901.54</v>
    <v>908.42</v>
    <v>901.44</v>
    <v>885.62</v>
    <v>886.52</v>
    <v>877.38</v>
    <v>878.53</v>
    <v>875.67</v>
    <v>883.11</v>
    <v>873.59</v>
    <v>890.42</v>
    <v>909.1</v>
    <v>893.63</v>
    <v>889.03</v>
    <v>889.76</v>
    <v>894.61</v>
    <v>887.38</v>
    <v>885.29</v>
    <v>889.56</v>
    <v>886.77</v>
    <v>893.49</v>
    <v>899.17</v>
    <v>893.42</v>
    <v>891.22</v>
    <v>890.96</v>
    <v>886.99</v>
    <v>879.09</v>
    <v>874.18</v>
    <v>877.31</v>
    <v>886.07</v>
    <v>890.17</v>
    <v>899.25</v>
    <v>913.93</v>
    <v>943.8</v>
    <v>932.88</v>
    <v>932.38</v>
    <v>933.73</v>
    <v>923.89</v>
    <v>907.07</v>
    <v>919.51</v>
    <v>930.15</v>
    <v>928.08</v>
    <v>955.65</v>
    <v>964.01</v>
    <v>960.89</v>
    <v>971.5</v>
    <v>961.55</v>
    <v>971.88</v>
    <v>975</v>
    <v>982.15</v>
    <v>990.92</v>
    <v>982.26</v>
    <v>992.61</v>
    <v>987.86</v>
    <v>993.4</v>
  </a>
  <a r="1" c="251">
    <v>46.47</v>
    <v>47.76</v>
    <v>50.51</v>
    <v>50.31</v>
    <v>49.66</v>
    <v>50.09</v>
    <v>49.34</v>
    <v>49.45</v>
    <v>49.18</v>
    <v>49.64</v>
    <v>49.33</v>
    <v>49.48</v>
    <v>49.22</v>
    <v>49.33</v>
    <v>48.68</v>
    <v>49.28</v>
    <v>49.92</v>
    <v>49.92</v>
    <v>49.29</v>
    <v>49.08</v>
    <v>49.04</v>
    <v>47.4</v>
    <v>46.82</v>
    <v>46.67</v>
    <v>46.44</v>
    <v>48.12</v>
    <v>48.53</v>
    <v>49.12</v>
    <v>49.49</v>
    <v>49.88</v>
    <v>50.32</v>
    <v>50.35</v>
    <v>51.19</v>
    <v>50.18</v>
    <v>48.73</v>
    <v>49.16</v>
    <v>48.7</v>
    <v>48.29</v>
    <v>48.48</v>
    <v>48.35</v>
    <v>48.06</v>
    <v>48.92</v>
    <v>48.24</v>
    <v>48.53</v>
    <v>52.04</v>
    <v>51.91</v>
    <v>51.77</v>
    <v>52.66</v>
    <v>53.37</v>
    <v>53.86</v>
    <v>54.13</v>
    <v>54.81</v>
    <v>54.72</v>
    <v>55.59</v>
    <v>55.06</v>
    <v>55.81</v>
    <v>56.6</v>
    <v>57.11</v>
    <v>57</v>
    <v>57.07</v>
    <v>57.09</v>
    <v>57.61</v>
    <v>57.82</v>
    <v>57.37</v>
    <v>57.51</v>
    <v>57.77</v>
    <v>57.01</v>
    <v>57.3</v>
    <v>57.85</v>
    <v>57.13</v>
    <v>56.73</v>
    <v>56.68</v>
    <v>57.61</v>
    <v>57.96</v>
    <v>57.61</v>
    <v>57.35</v>
    <v>57.13</v>
    <v>56.68</v>
    <v>57.4</v>
    <v>57.79</v>
    <v>57.58</v>
    <v>56.94</v>
    <v>56.69</v>
    <v>56.47</v>
    <v>56.97</v>
    <v>56.41</v>
    <v>57.18</v>
    <v>58.74</v>
    <v>60.35</v>
    <v>61.1</v>
    <v>60.94</v>
    <v>60.6</v>
    <v>59.93</v>
    <v>59.91</v>
    <v>59.8</v>
    <v>59.32</v>
    <v>59.52</v>
    <v>59.83</v>
    <v>59.94</v>
    <v>60.19</v>
    <v>60.26</v>
    <v>61.23</v>
    <v>61.28</v>
    <v>61.89</v>
    <v>61.26</v>
    <v>61.89</v>
    <v>62.34</v>
    <v>61.06</v>
    <v>61.08</v>
    <v>60.7</v>
    <v>61.46</v>
    <v>60.93</v>
    <v>59.68</v>
    <v>60.21</v>
    <v>59.48</v>
    <v>58.75</v>
    <v>59.21</v>
    <v>59.92</v>
    <v>59.34</v>
    <v>58.7</v>
    <v>58.68</v>
    <v>57.73</v>
    <v>58.36</v>
    <v>57.93</v>
    <v>57.13</v>
    <v>57.3</v>
    <v>57.27</v>
    <v>57.4</v>
    <v>58.24</v>
    <v>59.05</v>
    <v>58.96</v>
    <v>58.1</v>
    <v>59.01</v>
    <v>57.2</v>
    <v>57.01</v>
    <v>57.42</v>
    <v>59.39</v>
    <v>60.59</v>
    <v>60.97</v>
    <v>60.66</v>
    <v>59.62</v>
    <v>59.01</v>
    <v>59.88</v>
    <v>59.72</v>
    <v>60.16</v>
    <v>56.54</v>
    <v>57.73</v>
    <v>60.24</v>
    <v>60.91</v>
    <v>59.24</v>
    <v>59.23</v>
    <v>59.14</v>
    <v>59.67</v>
    <v>59.44</v>
    <v>59.7</v>
    <v>60.39</v>
    <v>59.59</v>
    <v>60.01</v>
    <v>59.34</v>
    <v>56.88</v>
    <v>53.26</v>
    <v>52.12</v>
    <v>52.36</v>
    <v>52.29</v>
    <v>52.76</v>
    <v>52.76</v>
    <v>52.06</v>
    <v>52.87</v>
    <v>53.66</v>
    <v>54.57</v>
    <v>55.33</v>
    <v>56.45</v>
    <v>56.15</v>
    <v>55.46</v>
    <v>55.96</v>
    <v>56.7</v>
    <v>56.72</v>
    <v>56.26</v>
    <v>57.07</v>
    <v>57.35</v>
    <v>58.47</v>
    <v>58.37</v>
    <v>58.12</v>
    <v>56.86</v>
    <v>54</v>
    <v>54.59</v>
    <v>53.95</v>
    <v>53.73</v>
    <v>51.57</v>
    <v>52.78</v>
    <v>53.79</v>
    <v>54.51</v>
    <v>54.26</v>
    <v>55.8</v>
    <v>56.29</v>
    <v>55.11</v>
    <v>54.16</v>
    <v>53.61</v>
    <v>56.39</v>
    <v>55.9</v>
    <v>56.49</v>
    <v>55.39</v>
    <v>55.3</v>
    <v>54.98</v>
    <v>56.96</v>
    <v>57.16</v>
    <v>57.3</v>
    <v>57.54</v>
    <v>57.75</v>
    <v>60.99</v>
    <v>62.16</v>
    <v>63.03</v>
    <v>63.89</v>
    <v>64.38</v>
    <v>64.36</v>
    <v>64.02</v>
    <v>64.81</v>
    <v>64.56</v>
    <v>65.430000000000007</v>
    <v>64.53</v>
    <v>65.61</v>
    <v>65.3</v>
    <v>65.41</v>
    <v>64.92</v>
    <v>64.680000000000007</v>
    <v>63.7</v>
    <v>64.069999999999993</v>
    <v>72.47</v>
    <v>69.819999999999993</v>
    <v>70.040000000000006</v>
    <v>72.56</v>
    <v>72.599999999999994</v>
    <v>72.77</v>
    <v>72.8</v>
    <v>74.34</v>
    <v>74.09</v>
    <v>73.430000000000007</v>
    <v>73.58</v>
    <v>74.83</v>
    <v>75.959999999999994</v>
    <v>76.900000000000006</v>
    <v>77.349999999999994</v>
    <v>77.209999999999994</v>
    <v>76.17</v>
    <v>75.28</v>
    <v>74.14</v>
    <v>73.06</v>
    <v>73.66</v>
    <v>74.33</v>
    <v>72.62</v>
    <v>72.05</v>
  </a>
  <a r="1" c="60">
    <v>45.97</v>
    <v>39.93</v>
    <v>39.31</v>
    <v>42.38</v>
    <v>47.82</v>
    <v>46.64</v>
    <v>47.1</v>
    <v>42.22</v>
    <v>39.39</v>
    <v>35.9</v>
    <v>43.02</v>
    <v>44.75</v>
    <v>44.58</v>
    <v>44.87</v>
    <v>51.71</v>
    <v>50.91</v>
    <v>52.9</v>
    <v>53</v>
    <v>55.37</v>
    <v>59.02</v>
    <v>54.43</v>
    <v>55.97</v>
    <v>54.84</v>
    <v>63.37</v>
    <v>55.67</v>
    <v>55.77</v>
    <v>55.76</v>
    <v>48.98</v>
    <v>45.05</v>
    <v>42.64</v>
    <v>45.37</v>
    <v>44.72</v>
    <v>40</v>
    <v>45.43</v>
    <v>49.72</v>
    <v>47.64</v>
    <v>48.67</v>
    <v>48.42</v>
    <v>52.274999999999999</v>
    <v>47.25</v>
    <v>49.67</v>
    <v>51.74</v>
    <v>52.04</v>
    <v>57.35</v>
    <v>53.76</v>
    <v>52.13</v>
    <v>48.38</v>
    <v>50.52</v>
    <v>50.18</v>
    <v>48.37</v>
    <v>49.91</v>
    <v>46.98</v>
    <v>46.5</v>
    <v>47.51</v>
    <v>48.45</v>
    <v>50.54</v>
    <v>53.22</v>
    <v>54.77</v>
    <v>59.21</v>
    <v>58.72</v>
  </a>
  <a r="1" c="60">
    <v>143.72999999999999</v>
    <v>130.15</v>
    <v>110.93</v>
    <v>125.56</v>
    <v>124.9</v>
    <v>120.77</v>
    <v>122.94</v>
    <v>123.31</v>
    <v>121.67</v>
    <v>111.66</v>
    <v>123.52</v>
    <v>125.88</v>
    <v>119.11</v>
    <v>118.93</v>
    <v>133.26</v>
    <v>141.88</v>
    <v>143.74</v>
    <v>146.59</v>
    <v>140.96</v>
    <v>140.34</v>
    <v>138.93</v>
    <v>125.1</v>
    <v>117.1</v>
    <v>133.66</v>
    <v>133.57</v>
    <v>122.51</v>
    <v>130.02000000000001</v>
    <v>132.21</v>
    <v>138.84</v>
    <v>141.19</v>
    <v>130.79</v>
    <v>128.44999999999999</v>
    <v>118.81</v>
    <v>138.29</v>
    <v>148.9</v>
    <v>140.88999999999999</v>
    <v>134.72999999999999</v>
    <v>129.30000000000001</v>
    <v>131.09</v>
    <v>126.41</v>
    <v>128.59</v>
    <v>133.81</v>
    <v>144.18</v>
    <v>146.83000000000001</v>
    <v>140.30000000000001</v>
    <v>144.63999999999999</v>
    <v>158.56</v>
    <v>163.55000000000001</v>
    <v>183.66</v>
    <v>185.03</v>
    <v>190.96</v>
    <v>166.2</v>
    <v>166.85</v>
    <v>172.95</v>
    <v>192.14</v>
    <v>202.13</v>
    <v>221.08</v>
    <v>206.72</v>
    <v>227.41</v>
    <v>231.72</v>
  </a>
  <a r="1" c="251">
    <v>30.74</v>
    <v>32.04</v>
    <v>33.94</v>
    <v>33.6</v>
    <v>33.43</v>
    <v>33.51</v>
    <v>32.979999999999997</v>
    <v>33.200000000000003</v>
    <v>33.43</v>
    <v>33.86</v>
    <v>33.840000000000003</v>
    <v>33.880000000000003</v>
    <v>33.67</v>
    <v>33.9</v>
    <v>33.53</v>
    <v>33.799999999999997</v>
    <v>34.43</v>
    <v>34.159999999999997</v>
    <v>33.630000000000003</v>
    <v>33.6</v>
    <v>33.15</v>
    <v>32.799999999999997</v>
    <v>32.119999999999997</v>
    <v>31.8</v>
    <v>31.73</v>
    <v>32.22</v>
    <v>32.549999999999997</v>
    <v>32.770000000000003</v>
    <v>32.979999999999997</v>
    <v>33.39</v>
    <v>33.43</v>
    <v>33.61</v>
    <v>34.79</v>
    <v>34.01</v>
    <v>33.549999999999997</v>
    <v>33.47</v>
    <v>32.99</v>
    <v>33.04</v>
    <v>33.18</v>
    <v>33.119999999999997</v>
    <v>33.07</v>
    <v>33.619999999999997</v>
    <v>32.75</v>
    <v>33.130000000000003</v>
    <v>34.07</v>
    <v>34.090000000000003</v>
    <v>33.96</v>
    <v>33.700000000000003</v>
    <v>33.61</v>
    <v>33.92</v>
    <v>33.61</v>
    <v>34.28</v>
    <v>34.31</v>
    <v>34.520000000000003</v>
    <v>34.35</v>
    <v>35.15</v>
    <v>35.39</v>
    <v>35.42</v>
    <v>35.630000000000003</v>
    <v>35.6</v>
    <v>35.89</v>
    <v>35.96</v>
    <v>36.08</v>
    <v>35.69</v>
    <v>35.409999999999997</v>
    <v>36.01</v>
    <v>36.03</v>
    <v>36.75</v>
    <v>37.51</v>
    <v>37.049999999999997</v>
    <v>36.86</v>
    <v>37.090000000000003</v>
    <v>37.81</v>
    <v>37.92</v>
    <v>37.520000000000003</v>
    <v>37.299999999999997</v>
    <v>37.44</v>
    <v>36.92</v>
    <v>37.11</v>
    <v>37.5</v>
    <v>37.729999999999997</v>
    <v>36.65</v>
    <v>36.35</v>
    <v>35.79</v>
    <v>35.950000000000003</v>
    <v>34.68</v>
    <v>35.229999999999997</v>
    <v>35.770000000000003</v>
    <v>36.97</v>
    <v>37.729999999999997</v>
    <v>38.369999999999997</v>
    <v>38.32</v>
    <v>37.909999999999997</v>
    <v>37.83</v>
    <v>37.549999999999997</v>
    <v>37.01</v>
    <v>36.950000000000003</v>
    <v>36.880000000000003</v>
    <v>37.25</v>
    <v>37.69</v>
    <v>37.840000000000003</v>
    <v>37.71</v>
    <v>38.28</v>
    <v>38.450000000000003</v>
    <v>38.21</v>
    <v>38.49</v>
    <v>38.909999999999997</v>
    <v>39.22</v>
    <v>39.29</v>
    <v>38.82</v>
    <v>39.65</v>
    <v>39.76</v>
    <v>39.17</v>
    <v>39.700000000000003</v>
    <v>39.32</v>
    <v>38.72</v>
    <v>38.630000000000003</v>
    <v>39.99</v>
    <v>39.880000000000003</v>
    <v>39.68</v>
    <v>39.96</v>
    <v>39.700000000000003</v>
    <v>39.78</v>
    <v>39.67</v>
    <v>38.86</v>
    <v>39.409999999999997</v>
    <v>39.26</v>
    <v>39.24</v>
    <v>39.51</v>
    <v>39.99</v>
    <v>39.99</v>
    <v>39.49</v>
    <v>40.020000000000003</v>
    <v>39.380000000000003</v>
    <v>39</v>
    <v>39.25</v>
    <v>39.770000000000003</v>
    <v>40.01</v>
    <v>40.93</v>
    <v>40.9</v>
    <v>40.409999999999997</v>
    <v>40.619999999999997</v>
    <v>41.42</v>
    <v>41.74</v>
    <v>41.81</v>
    <v>41.59</v>
    <v>41.89</v>
    <v>44.13</v>
    <v>43.98</v>
    <v>43.01</v>
    <v>42.9</v>
    <v>42.3</v>
    <v>42.41</v>
    <v>42.19</v>
    <v>41.68</v>
    <v>41.67</v>
    <v>41.09</v>
    <v>41.28</v>
    <v>40.31</v>
    <v>39.5</v>
    <v>37.58</v>
    <v>36.65</v>
    <v>36.92</v>
    <v>37.299999999999997</v>
    <v>38.21</v>
    <v>38.28</v>
    <v>38.17</v>
    <v>38.46</v>
    <v>38.81</v>
    <v>39.03</v>
    <v>39.340000000000003</v>
    <v>39.67</v>
    <v>38.69</v>
    <v>38.75</v>
    <v>39.24</v>
    <v>39.770000000000003</v>
    <v>39.92</v>
    <v>39.67</v>
    <v>39.950000000000003</v>
    <v>40.17</v>
    <v>40.75</v>
    <v>40.700000000000003</v>
    <v>40.5</v>
    <v>40.14</v>
    <v>38.76</v>
    <v>39.47</v>
    <v>39.28</v>
    <v>39</v>
    <v>38.78</v>
    <v>38.65</v>
    <v>39.1</v>
    <v>39.549999999999997</v>
    <v>39.619999999999997</v>
    <v>40.869999999999997</v>
    <v>40.270000000000003</v>
    <v>39.869999999999997</v>
    <v>39.450000000000003</v>
    <v>39.25</v>
    <v>39.520000000000003</v>
    <v>39.4</v>
    <v>39.68</v>
    <v>39.22</v>
    <v>39.229999999999997</v>
    <v>39.25</v>
    <v>40.11</v>
    <v>39.96</v>
    <v>39.93</v>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a>
  <a r="1" c="251">
    <v>360.02</v>
    <v>362.03</v>
    <v>358.12</v>
    <v>356.5</v>
    <v>359.65</v>
    <v>361.8</v>
    <v>355.35</v>
    <v>356.14</v>
    <v>356.47</v>
    <v>356.83</v>
    <v>356.95</v>
    <v>357.57</v>
    <v>356.66</v>
    <v>362.46</v>
    <v>366.75</v>
    <v>363.68</v>
    <v>365.59</v>
    <v>368.18</v>
    <v>366.9</v>
    <v>367.92</v>
    <v>363.34</v>
    <v>363.62</v>
    <v>361.1</v>
    <v>359.29</v>
    <v>362.38</v>
    <v>366.99</v>
    <v>368.06</v>
    <v>372.14</v>
    <v>376.59</v>
    <v>380.85</v>
    <v>385.4</v>
    <v>383.18</v>
    <v>387.15</v>
    <v>383.74</v>
    <v>386.44</v>
    <v>390.75</v>
    <v>390.76</v>
    <v>393.74</v>
    <v>397.66</v>
    <v>397.49</v>
    <v>398.36</v>
    <v>397.71</v>
    <v>394.8</v>
    <v>398.68</v>
    <v>403.45</v>
    <v>405.99</v>
    <v>407.15</v>
    <v>409.25</v>
    <v>415.16</v>
    <v>417.22</v>
    <v>409.14</v>
    <v>408.91</v>
    <v>412.14</v>
    <v>409.4</v>
    <v>407.11</v>
    <v>403.39</v>
    <v>400.74</v>
    <v>403.96</v>
    <v>402.39</v>
    <v>403.15</v>
    <v>404.76</v>
    <v>404.98</v>
    <v>408.13</v>
    <v>406.73</v>
    <v>408.13</v>
    <v>408.41</v>
    <v>411.76</v>
    <v>416.11</v>
    <v>413.78</v>
    <v>411.6</v>
    <v>409.92</v>
    <v>411.57</v>
    <v>416.93</v>
    <v>420.52</v>
    <v>420.2</v>
    <v>418.92</v>
    <v>420.24</v>
    <v>415.32</v>
    <v>418.62</v>
    <v>415.97</v>
    <v>414.69</v>
    <v>409.11</v>
    <v>407.61</v>
    <v>403.26</v>
    <v>400.26</v>
    <v>396.92</v>
    <v>397.74</v>
    <v>399.89</v>
    <v>405.08</v>
    <v>408.78</v>
    <v>408.74</v>
    <v>405.95</v>
    <v>404.91</v>
    <v>402.1</v>
    <v>400.96</v>
    <v>396.73</v>
    <v>398.58</v>
    <v>400.6</v>
    <v>400.87</v>
    <v>404.92</v>
    <v>406.14</v>
    <v>406.37</v>
    <v>408.82</v>
    <v>412.05</v>
    <v>411.22</v>
    <v>410.24</v>
    <v>412.76</v>
    <v>413.12</v>
    <v>416.94</v>
    <v>413</v>
    <v>414.37</v>
    <v>413.99</v>
    <v>405.88</v>
    <v>407.41</v>
    <v>403.9</v>
    <v>404.09</v>
    <v>408.61</v>
    <v>414.4</v>
    <v>414.79</v>
    <v>409.53</v>
    <v>409.85</v>
    <v>411.08</v>
    <v>413.72</v>
    <v>410.81</v>
    <v>408.5</v>
    <v>408.77</v>
    <v>405.92</v>
    <v>405.54</v>
    <v>407.32</v>
    <v>407.95</v>
    <v>409.15</v>
    <v>409.62</v>
    <v>413.98</v>
    <v>410.97</v>
    <v>410.26</v>
    <v>407.95</v>
    <v>406.8</v>
    <v>405.19</v>
    <v>407.1</v>
    <v>405.77</v>
    <v>411.17</v>
    <v>409.08</v>
    <v>410.52</v>
    <v>413.79</v>
    <v>418.78</v>
    <v>424.44</v>
    <v>434.42</v>
    <v>438.9</v>
    <v>445.61</v>
    <v>441.82</v>
    <v>434.47</v>
    <v>435.98</v>
    <v>434.01</v>
    <v>432.8</v>
    <v>433.29</v>
    <v>437.66</v>
    <v>438.31</v>
    <v>441.26</v>
    <v>438.5</v>
    <v>431.81</v>
    <v>428.36</v>
    <v>413.72</v>
    <v>422.14</v>
    <v>427.02</v>
    <v>431.54</v>
    <v>431.67</v>
    <v>430.39</v>
    <v>432.41</v>
    <v>438.47</v>
    <v>440.84</v>
    <v>444.51</v>
    <v>448.77</v>
    <v>448.36</v>
    <v>446.6</v>
    <v>449.03</v>
    <v>453.38</v>
    <v>454.49</v>
    <v>460.63</v>
    <v>464.59</v>
    <v>468.37</v>
    <v>475.92</v>
    <v>476.83</v>
    <v>478.57</v>
    <v>464.92</v>
    <v>459.42</v>
    <v>459.61</v>
    <v>458.92</v>
    <v>453.1</v>
    <v>450.87</v>
    <v>447.61</v>
    <v>451.78</v>
    <v>456.68</v>
    <v>456.6</v>
    <v>459.71</v>
    <v>455.31</v>
    <v>454.98</v>
    <v>454.56</v>
    <v>452.36</v>
    <v>454.18</v>
    <v>457.47</v>
    <v>460.26</v>
    <v>457.41</v>
    <v>456.67</v>
    <v>452.96</v>
    <v>461.97</v>
    <v>453.5</v>
    <v>453.8</v>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a>
  <a r="1" c="251">
    <v>135.66</v>
    <v>138.38</v>
    <v>141.13999999999999</v>
    <v>138.37</v>
    <v>137.72</v>
    <v>139.58000000000001</v>
    <v>136.9</v>
    <v>139.37</v>
    <v>140.19999999999999</v>
    <v>141.03</v>
    <v>142.38</v>
    <v>142.54</v>
    <v>142.41999999999999</v>
    <v>143.1</v>
    <v>138.66999999999999</v>
    <v>140.25</v>
    <v>140.75</v>
    <v>141.72999999999999</v>
    <v>143.77000000000001</v>
    <v>144.09</v>
    <v>142.02000000000001</v>
    <v>140.91</v>
    <v>141.07</v>
    <v>138.74</v>
    <v>137.4</v>
    <v>138.13999999999999</v>
    <v>140.36000000000001</v>
    <v>140.88</v>
    <v>139.19999999999999</v>
    <v>142.18</v>
    <v>142.53</v>
    <v>141.52000000000001</v>
    <v>140.52000000000001</v>
    <v>139.08000000000001</v>
    <v>144.41999999999999</v>
    <v>145.49</v>
    <v>142.33000000000001</v>
    <v>144.43</v>
    <v>146.72999999999999</v>
    <v>147.4</v>
    <v>146.53</v>
    <v>149.4</v>
    <v>146.11000000000001</v>
    <v>145.03</v>
    <v>146.33000000000001</v>
    <v>149.61000000000001</v>
    <v>149.88999999999999</v>
    <v>148.79</v>
    <v>150.34</v>
    <v>151.47999999999999</v>
    <v>150.15</v>
    <v>151.99</v>
    <v>151.44</v>
    <v>152.91999999999999</v>
    <v>155.29</v>
    <v>150.49</v>
    <v>168.58</v>
    <v>173.54</v>
    <v>171.54</v>
    <v>169.72</v>
    <v>168.07</v>
    <v>167.57</v>
    <v>166.67</v>
    <v>164.31</v>
    <v>164.22</v>
    <v>167.59</v>
    <v>168.21</v>
    <v>170.46</v>
    <v>170.17</v>
    <v>168.63</v>
    <v>172.66</v>
    <v>172.64</v>
    <v>174.67</v>
    <v>177.21</v>
    <v>177.82</v>
    <v>176.24</v>
    <v>175.49</v>
    <v>172.22</v>
    <v>171.77</v>
    <v>169.7</v>
    <v>171.63</v>
    <v>171.62</v>
    <v>171.33</v>
    <v>166.12</v>
    <v>165.01</v>
    <v>163.32</v>
    <v>164.47</v>
    <v>166.58</v>
    <v>168.3</v>
    <v>167.11</v>
    <v>166.51</v>
    <v>165.34</v>
    <v>164.44</v>
    <v>164.74</v>
    <v>163.72999999999999</v>
    <v>160.97999999999999</v>
    <v>156.43</v>
    <v>158.12</v>
    <v>158.04</v>
    <v>158.35</v>
    <v>160.41</v>
    <v>159.59</v>
    <v>164.32</v>
    <v>163.13</v>
    <v>160.9</v>
    <v>158.96</v>
    <v>157.51</v>
    <v>160.65</v>
    <v>160.13</v>
    <v>156.71</v>
    <v>155.78</v>
    <v>143.27000000000001</v>
    <v>144.41</v>
    <v>145.22999999999999</v>
    <v>147.1</v>
    <v>147.74</v>
    <v>149.87</v>
    <v>156.16</v>
    <v>153.03</v>
    <v>150.55000000000001</v>
    <v>147.35</v>
    <v>145.13</v>
    <v>146</v>
    <v>148.52000000000001</v>
    <v>146.19</v>
    <v>146.78</v>
    <v>144.68</v>
    <v>141.16</v>
    <v>144.97</v>
    <v>142.54</v>
    <v>143.38</v>
    <v>146.13</v>
    <v>149.69</v>
    <v>146.77000000000001</v>
    <v>147.16999999999999</v>
    <v>146.72</v>
    <v>148.04</v>
    <v>145.74</v>
    <v>145.38999999999999</v>
    <v>144.80000000000001</v>
    <v>145.65</v>
    <v>148.72</v>
    <v>147.6</v>
    <v>146.11000000000001</v>
    <v>151.4</v>
    <v>152.85</v>
    <v>151.30000000000001</v>
    <v>155.01</v>
    <v>155.93</v>
    <v>152.09</v>
    <v>149.72999999999999</v>
    <v>151.02000000000001</v>
    <v>150.27000000000001</v>
    <v>146.44999999999999</v>
    <v>146.29</v>
    <v>149</v>
    <v>146.82</v>
    <v>147.94999999999999</v>
    <v>150.41</v>
    <v>147.02000000000001</v>
    <v>139.16999999999999</v>
    <v>133.87</v>
    <v>133.85</v>
    <v>133.47</v>
    <v>133.97</v>
    <v>135.5</v>
    <v>135.02000000000001</v>
    <v>136.66</v>
    <v>135.76</v>
    <v>141.66</v>
    <v>144.04</v>
    <v>144.63</v>
    <v>144.33000000000001</v>
    <v>159.25</v>
    <v>156.82</v>
    <v>158.5</v>
    <v>158.9</v>
    <v>158.68</v>
    <v>156.86000000000001</v>
    <v>153.41999999999999</v>
    <v>153.62</v>
    <v>151.80000000000001</v>
    <v>152.47999999999999</v>
    <v>151.9</v>
    <v>151.28</v>
    <v>150.59</v>
    <v>148.01</v>
    <v>147.29</v>
    <v>148.44</v>
    <v>151.36000000000001</v>
    <v>152.84</v>
    <v>151.96</v>
    <v>153.6</v>
    <v>156.49</v>
    <v>154.75</v>
    <v>155.29</v>
    <v>156.18</v>
    <v>155.07</v>
    <v>155.97999999999999</v>
    <v>155.18</v>
    <v>155.86000000000001</v>
    <v>152.19999999999999</v>
    <v>150.4</v>
    <v>149.6</v>
    <v>152.88</v>
    <v>149</v>
    <v>151.32</v>
    <v>154.33000000000001</v>
    <v>155.97</v>
    <v>158.46</v>
    <v>157.97</v>
    <v>160.69</v>
    <v>158.87</v>
    <v>155.88999999999999</v>
    <v>156.84</v>
    <v>150.91</v>
    <v>149.19</v>
    <v>148.05000000000001</v>
    <v>150.18</v>
    <v>151.16</v>
    <v>149.30000000000001</v>
    <v>147.93</v>
    <v>148.52000000000001</v>
    <v>150.04</v>
    <v>150.84</v>
    <v>149.99</v>
    <v>150.99</v>
    <v>147.29</v>
    <v>150.91</v>
    <v>149.78</v>
    <v>153.28</v>
    <v>155.65</v>
    <v>154.99</v>
    <v>153.47</v>
    <v>152.13</v>
    <v>156.56</v>
    <v>156</v>
    <v>121.72</v>
    <v>121.59</v>
    <v>125.01</v>
    <v>130.53</v>
    <v>126.55</v>
    <v>130.09</v>
    <v>132.31</v>
    <v>130.72</v>
    <v>131.44999999999999</v>
    <v>130.07</v>
    <v>129.16999999999999</v>
    <v>132.38999999999999</v>
    <v>135.29</v>
    <v>135.05000000000001</v>
  </a>
  <a r="1" c="251">
    <v>48.06</v>
    <v>49.34</v>
    <v>50.24</v>
    <v>49.83</v>
    <v>49.66</v>
    <v>50.93</v>
    <v>50.07</v>
    <v>50.6</v>
    <v>50.86</v>
    <v>51.34</v>
    <v>51.46</v>
    <v>51.52</v>
    <v>51.44</v>
    <v>53.04</v>
    <v>53.64</v>
    <v>53.77</v>
    <v>54.33</v>
    <v>54.01</v>
    <v>53.48</v>
    <v>53.02</v>
    <v>52.08</v>
    <v>52.62</v>
    <v>51.87</v>
    <v>51.36</v>
    <v>51.11</v>
    <v>51.52</v>
    <v>52.84</v>
    <v>53.3</v>
    <v>53.26</v>
    <v>53.73</v>
    <v>53.67</v>
    <v>54.11</v>
    <v>57.09</v>
    <v>56.17</v>
    <v>56.06</v>
    <v>55.54</v>
    <v>54.5</v>
    <v>54.35</v>
    <v>54.54</v>
    <v>54.29</v>
    <v>53.99</v>
    <v>53.92</v>
    <v>52.76</v>
    <v>53.98</v>
    <v>55.21</v>
    <v>54.85</v>
    <v>55.42</v>
    <v>55.33</v>
    <v>55.9</v>
    <v>55.93</v>
    <v>55.36</v>
    <v>55.71</v>
    <v>55.05</v>
    <v>55.49</v>
    <v>55.6</v>
    <v>56.14</v>
    <v>56.26</v>
    <v>57.29</v>
    <v>57.72</v>
    <v>57.51</v>
    <v>57.41</v>
    <v>57.45</v>
    <v>57.76</v>
    <v>57.09</v>
    <v>57.61</v>
    <v>58.63</v>
    <v>58.86</v>
    <v>60.13</v>
    <v>61.33</v>
    <v>60.82</v>
    <v>60.95</v>
    <v>61.66</v>
    <v>62.75</v>
    <v>63.24</v>
    <v>63.46</v>
    <v>62.84</v>
    <v>61.69</v>
    <v>60.91</v>
    <v>61.6</v>
    <v>61.73</v>
    <v>61.66</v>
    <v>60.18</v>
    <v>60.71</v>
    <v>59.68</v>
    <v>58.56</v>
    <v>57.02</v>
    <v>58.17</v>
    <v>58.32</v>
    <v>59.14</v>
    <v>60.95</v>
    <v>62.67</v>
    <v>62.47</v>
    <v>61.79</v>
    <v>62.66</v>
    <v>62.26</v>
    <v>61.33</v>
    <v>61.35</v>
    <v>61.54</v>
    <v>61.52</v>
    <v>62.81</v>
    <v>62</v>
    <v>62.75</v>
    <v>63.32</v>
    <v>63.53</v>
    <v>63.4</v>
    <v>63.59</v>
    <v>64.239999999999995</v>
    <v>64.14</v>
    <v>64.069999999999993</v>
    <v>63.16</v>
    <v>64.739999999999995</v>
    <v>63.82</v>
    <v>63.02</v>
    <v>63.58</v>
    <v>62.45</v>
    <v>62.01</v>
    <v>61.93</v>
    <v>62.31</v>
    <v>61.92</v>
    <v>61.03</v>
    <v>61.77</v>
    <v>61.94</v>
    <v>61.78</v>
    <v>61.43</v>
    <v>59.14</v>
    <v>60.01</v>
    <v>60.23</v>
    <v>59.33</v>
    <v>60.06</v>
    <v>60.78</v>
    <v>60.62</v>
    <v>59.99</v>
    <v>61.34</v>
    <v>61.58</v>
    <v>61.25</v>
    <v>61.55</v>
    <v>63.46</v>
    <v>63.43</v>
    <v>64.680000000000007</v>
    <v>64.459999999999994</v>
    <v>64.03</v>
    <v>64.739999999999995</v>
    <v>66.55</v>
    <v>66.98</v>
    <v>65.709999999999994</v>
    <v>64.52</v>
    <v>65.14</v>
    <v>67.27</v>
    <v>67.61</v>
    <v>64.89</v>
    <v>65.14</v>
    <v>64.5</v>
    <v>64.66</v>
    <v>63.66</v>
    <v>64.37</v>
    <v>65.180000000000007</v>
    <v>64.3</v>
    <v>65.87</v>
    <v>64.88</v>
    <v>63.28</v>
    <v>58.76</v>
    <v>56.21</v>
    <v>56.56</v>
    <v>56.11</v>
    <v>58</v>
    <v>57.84</v>
    <v>57.84</v>
    <v>58.15</v>
    <v>59.28</v>
    <v>60.52</v>
    <v>61.4</v>
    <v>62.03</v>
    <v>61.31</v>
    <v>60.53</v>
    <v>60.42</v>
    <v>62.14</v>
    <v>61.79</v>
    <v>61.68</v>
    <v>61.58</v>
    <v>61.88</v>
    <v>62.64</v>
    <v>61.46</v>
    <v>60.96</v>
    <v>60.63</v>
    <v>59.09</v>
    <v>59.54</v>
    <v>57.95</v>
    <v>57.3</v>
    <v>57.33</v>
    <v>57.67</v>
    <v>58.39</v>
    <v>59.29</v>
    <v>59.9</v>
    <v>63.02</v>
    <v>62.14</v>
    <v>62.58</v>
    <v>61.37</v>
    <v>60.38</v>
    <v>61.71</v>
    <v>61.87</v>
    <v>62.6</v>
    <v>61.81</v>
    <v>62.03</v>
    <v>61.31</v>
    <v>62.64</v>
    <v>62.6</v>
    <v>63.24</v>
    <v>64.12</v>
    <v>63.48</v>
    <v>65.739999999999995</v>
    <v>66.010000000000005</v>
    <v>62.64</v>
    <v>64.25</v>
    <v>63.97</v>
    <v>62.85</v>
    <v>61.83</v>
    <v>63.56</v>
    <v>63.1</v>
    <v>63</v>
    <v>61.76</v>
    <v>64.16</v>
    <v>64.69</v>
    <v>64.5</v>
    <v>64.17</v>
    <v>63.71</v>
    <v>62.35</v>
    <v>63.67</v>
    <v>69.03</v>
    <v>68.11</v>
    <v>68.63</v>
    <v>69.8</v>
    <v>69.02</v>
    <v>68.89</v>
    <v>68.150000000000006</v>
    <v>68.760000000000005</v>
    <v>69</v>
    <v>68.599999999999994</v>
    <v>68.28</v>
    <v>68.95</v>
    <v>69.84</v>
    <v>70.75</v>
    <v>69.75</v>
    <v>70.16</v>
    <v>70.87</v>
    <v>71.39</v>
    <v>71.42</v>
    <v>71.5</v>
    <v>72.23</v>
    <v>72.150000000000006</v>
    <v>71.86</v>
    <v>72.5</v>
  </a>
  <a r="1" c="251">
    <v>37.299999999999997</v>
    <v>36.99</v>
    <v>37.869999999999997</v>
    <v>37.369999999999997</v>
    <v>37.67</v>
    <v>37.57</v>
    <v>37.299999999999997</v>
    <v>37.43</v>
    <v>37.49</v>
    <v>37.479999999999997</v>
    <v>37.31</v>
    <v>37.49</v>
    <v>37.700000000000003</v>
    <v>38.880000000000003</v>
    <v>39.159999999999997</v>
    <v>39.369999999999997</v>
    <v>40.200000000000003</v>
    <v>40.1</v>
    <v>39.04</v>
    <v>39.08</v>
    <v>37.9</v>
    <v>38.56</v>
    <v>39.29</v>
    <v>38.869999999999997</v>
    <v>38.94</v>
    <v>39.33</v>
    <v>39.58</v>
    <v>42.23</v>
    <v>41.28</v>
    <v>42.29</v>
    <v>42.4</v>
    <v>42.05</v>
    <v>42.47</v>
    <v>42.35</v>
    <v>42.49</v>
    <v>42.13</v>
    <v>41.38</v>
    <v>41.1</v>
    <v>40.42</v>
    <v>39.909999999999997</v>
    <v>39.72</v>
    <v>40.1</v>
    <v>40.130000000000003</v>
    <v>40.15</v>
    <v>40.590000000000003</v>
    <v>40.49</v>
    <v>40.5</v>
    <v>41.1</v>
    <v>40.729999999999997</v>
    <v>40.659999999999997</v>
    <v>39.69</v>
    <v>39.93</v>
    <v>40.1</v>
    <v>40.020000000000003</v>
    <v>40.200000000000003</v>
    <v>40.31</v>
    <v>40.35</v>
    <v>39.93</v>
    <v>39.53</v>
    <v>39.51</v>
    <v>40.130000000000003</v>
    <v>40.130000000000003</v>
    <v>40.26</v>
    <v>39.770000000000003</v>
    <v>39.49</v>
    <v>39.93</v>
    <v>39.97</v>
    <v>40.119999999999997</v>
    <v>40.54</v>
    <v>40.369999999999997</v>
    <v>40.869999999999997</v>
    <v>40.85</v>
    <v>41.54</v>
    <v>41.96</v>
    <v>42.28</v>
    <v>42.54</v>
    <v>42.84</v>
    <v>42.45</v>
    <v>42.12</v>
    <v>41.73</v>
    <v>40.840000000000003</v>
    <v>40.520000000000003</v>
    <v>40.159999999999997</v>
    <v>39.72</v>
    <v>40.11</v>
    <v>39.770000000000003</v>
    <v>39.78</v>
    <v>40.130000000000003</v>
    <v>40.49</v>
    <v>38.6</v>
    <v>39.700000000000003</v>
    <v>39.49</v>
    <v>39.22</v>
    <v>39.68</v>
    <v>40.090000000000003</v>
    <v>39.49</v>
    <v>39.200000000000003</v>
    <v>38.93</v>
    <v>38.89</v>
    <v>39.33</v>
    <v>39.31</v>
    <v>39.479999999999997</v>
    <v>39.79</v>
    <v>40.4</v>
    <v>40.54</v>
    <v>40.49</v>
    <v>40.49</v>
    <v>40.25</v>
    <v>40.06</v>
    <v>40.119999999999997</v>
    <v>39.619999999999997</v>
    <v>39.79</v>
    <v>39.43</v>
    <v>39.74</v>
    <v>39.36</v>
    <v>39.1</v>
    <v>40.33</v>
    <v>41.15</v>
    <v>40.98</v>
    <v>41.56</v>
    <v>41.35</v>
    <v>41.33</v>
    <v>40.94</v>
    <v>40.409999999999997</v>
    <v>40.42</v>
    <v>39.770000000000003</v>
    <v>39.78</v>
    <v>39.67</v>
    <v>39.46</v>
    <v>40.08</v>
    <v>40.24</v>
    <v>40.24</v>
    <v>41.17</v>
    <v>41.08</v>
    <v>41.02</v>
    <v>40.82</v>
    <v>41.24</v>
    <v>41.74</v>
    <v>41.1</v>
    <v>41.12</v>
    <v>41.27</v>
    <v>41.53</v>
    <v>41.3</v>
    <v>41.08</v>
    <v>41.3</v>
    <v>41.43</v>
    <v>40.79</v>
    <v>41.45</v>
    <v>42.03</v>
    <v>42.07</v>
    <v>41.62</v>
    <v>39.090000000000003</v>
    <v>38.89</v>
    <v>39.67</v>
    <v>39.950000000000003</v>
    <v>40.090000000000003</v>
    <v>40.03</v>
    <v>40.04</v>
    <v>40.520000000000003</v>
    <v>40.85</v>
    <v>40.97</v>
    <v>39.799999999999997</v>
    <v>40.26</v>
    <v>40.28</v>
    <v>40.520000000000003</v>
    <v>40.75</v>
    <v>40.53</v>
    <v>40.78</v>
    <v>40.9</v>
    <v>40.04</v>
    <v>40.61</v>
    <v>40.74</v>
    <v>40.85</v>
    <v>41.05</v>
    <v>40.869999999999997</v>
    <v>41.21</v>
    <v>41.49</v>
    <v>41.45</v>
    <v>41.49</v>
    <v>41.25</v>
    <v>41.78</v>
    <v>42.93</v>
    <v>41.48</v>
    <v>41.31</v>
    <v>41.15</v>
    <v>42.73</v>
    <v>43.65</v>
    <v>43.8</v>
    <v>43.86</v>
    <v>44.43</v>
    <v>45</v>
    <v>44.08</v>
    <v>43.88</v>
    <v>43.94</v>
    <v>44.33</v>
    <v>44.26</v>
    <v>44.66</v>
    <v>44.55</v>
    <v>44.62</v>
    <v>44.89</v>
    <v>44.91</v>
    <v>45.21</v>
    <v>45.05</v>
    <v>44.52</v>
    <v>44.18</v>
    <v>43.84</v>
    <v>44.01</v>
    <v>44.11</v>
    <v>42.95</v>
    <v>43</v>
    <v>43.19</v>
    <v>43.74</v>
    <v>43.91</v>
    <v>43.85</v>
    <v>43.99</v>
    <v>43.7</v>
    <v>41.5</v>
    <v>42.86</v>
    <v>41.86</v>
    <v>41.38</v>
    <v>41.62</v>
    <v>41.33</v>
    <v>41.28</v>
    <v>42.13</v>
    <v>41.36</v>
    <v>41.06</v>
    <v>41.26</v>
    <v>41.16</v>
    <v>40.57</v>
    <v>40.479999999999997</v>
    <v>40.44</v>
    <v>40.4</v>
    <v>41.14</v>
    <v>40.869999999999997</v>
    <v>41.65</v>
    <v>42.25</v>
    <v>41.93</v>
    <v>42.22</v>
    <v>42.5</v>
    <v>43.15</v>
    <v>43.98</v>
    <v>44.37</v>
    <v>44.38</v>
    <v>44.34</v>
    <v>43.85</v>
    <v>43.83</v>
    <v>42.52</v>
    <v>42.55</v>
    <v>42.37</v>
    <v>42.36</v>
    <v>42.3</v>
  </a>
  <a r="1" c="251">
    <v>44.04</v>
    <v>44.57</v>
    <v>45.18</v>
    <v>46.16</v>
    <v>45.69</v>
    <v>46.66</v>
    <v>45.76</v>
    <v>47.08</v>
    <v>48</v>
    <v>50.5</v>
    <v>50.76</v>
    <v>50.39</v>
    <v>50.25</v>
    <v>47.8</v>
    <v>47.05</v>
    <v>46.87</v>
    <v>46.89</v>
    <v>48.45</v>
    <v>48.05</v>
    <v>47.47</v>
    <v>47.64</v>
    <v>47.12</v>
    <v>47.06</v>
    <v>46.06</v>
    <v>46.74</v>
    <v>48.15</v>
    <v>48.22</v>
    <v>48.89</v>
    <v>49.09</v>
    <v>49.55</v>
    <v>43.65</v>
    <v>43.84</v>
    <v>42.92</v>
    <v>43.08</v>
    <v>43.36</v>
    <v>42.6</v>
    <v>42.77</v>
    <v>42.74</v>
    <v>42.78</v>
    <v>42.5</v>
    <v>43.31</v>
    <v>44.03</v>
    <v>43.16</v>
    <v>44.19</v>
    <v>44.05</v>
    <v>43.51</v>
    <v>44.52</v>
    <v>43.47</v>
    <v>42.98</v>
    <v>42.99</v>
    <v>42.99</v>
    <v>42.73</v>
    <v>41.99</v>
    <v>43.05</v>
    <v>43.82</v>
    <v>45.61</v>
    <v>43.16</v>
    <v>44.51</v>
    <v>46.15</v>
    <v>44</v>
    <v>44.86</v>
    <v>45.24</v>
    <v>43.23</v>
    <v>42.75</v>
    <v>42.64</v>
    <v>42.71</v>
    <v>42.05</v>
    <v>42.2</v>
    <v>42.42</v>
    <v>42.57</v>
    <v>41.83</v>
    <v>41.99</v>
    <v>43.77</v>
    <v>44.17</v>
    <v>44.52</v>
    <v>43.94</v>
    <v>40.33</v>
    <v>39.729999999999997</v>
    <v>38.71</v>
    <v>37.979999999999997</v>
    <v>38.33</v>
    <v>37.200000000000003</v>
    <v>37.630000000000003</v>
    <v>35.69</v>
    <v>36.31</v>
    <v>36.26</v>
    <v>35.68</v>
    <v>35.04</v>
    <v>34.200000000000003</v>
    <v>34.409999999999997</v>
    <v>34.28</v>
    <v>34.5</v>
    <v>35.11</v>
    <v>31.88</v>
    <v>31.36</v>
    <v>30.47</v>
    <v>30.37</v>
    <v>30.51</v>
    <v>30.9</v>
    <v>30.97</v>
    <v>30.68</v>
    <v>30</v>
    <v>30.09</v>
    <v>29.85</v>
    <v>30.51</v>
    <v>31.05</v>
    <v>31.27</v>
    <v>32.03</v>
    <v>31.83</v>
    <v>32.1</v>
    <v>31.74</v>
    <v>31.42</v>
    <v>30.08</v>
    <v>30.72</v>
    <v>31.06</v>
    <v>30.13</v>
    <v>30.19</v>
    <v>30.85</v>
    <v>30.29</v>
    <v>30.03</v>
    <v>30.78</v>
    <v>30.42</v>
    <v>30.74</v>
    <v>30.91</v>
    <v>30.92</v>
    <v>30.76</v>
    <v>30.46</v>
    <v>30.45</v>
    <v>30.98</v>
    <v>30.63</v>
    <v>30.62</v>
    <v>31.09</v>
    <v>30.57</v>
    <v>30.74</v>
    <v>30.54</v>
    <v>30.59</v>
    <v>30.97</v>
    <v>30.84</v>
    <v>31.07</v>
    <v>31.23</v>
    <v>32.020000000000003</v>
    <v>33.99</v>
    <v>34.590000000000003</v>
    <v>34.869999999999997</v>
    <v>33.5</v>
    <v>34.49</v>
    <v>34.46</v>
    <v>34.340000000000003</v>
    <v>34.46</v>
    <v>34.869999999999997</v>
    <v>32.979999999999997</v>
    <v>33.369999999999997</v>
    <v>32.950000000000003</v>
    <v>31.7</v>
    <v>31.1</v>
    <v>31.35</v>
    <v>30.83</v>
    <v>30.13</v>
    <v>30.74</v>
    <v>29.05</v>
    <v>21.48</v>
    <v>20.11</v>
    <v>19.829999999999998</v>
    <v>18.989999999999998</v>
    <v>20.49</v>
    <v>19.71</v>
    <v>19.36</v>
    <v>20.47</v>
    <v>19.920000000000002</v>
    <v>20.69</v>
    <v>20.87</v>
    <v>21.52</v>
    <v>20.99</v>
    <v>21.41</v>
    <v>20.100000000000001</v>
    <v>20.54</v>
    <v>20.13</v>
    <v>20.07</v>
    <v>19.61</v>
    <v>20.13</v>
    <v>22.04</v>
    <v>20.100000000000001</v>
    <v>19.43</v>
    <v>19.399999999999999</v>
    <v>18.89</v>
    <v>19.07</v>
    <v>18.98</v>
    <v>19.64</v>
    <v>19.36</v>
    <v>19.66</v>
    <v>20.91</v>
    <v>21.47</v>
    <v>20.77</v>
    <v>21.14</v>
    <v>21.84</v>
    <v>22.56</v>
    <v>22.81</v>
    <v>23.54</v>
    <v>23.92</v>
    <v>23.91</v>
    <v>23.46</v>
    <v>22.69</v>
    <v>22.39</v>
    <v>22.26</v>
    <v>22.59</v>
    <v>22.38</v>
    <v>23.32</v>
    <v>23.46</v>
    <v>23.22</v>
    <v>23.56</v>
    <v>23.44</v>
    <v>22.66</v>
    <v>22.31</v>
    <v>22.44</v>
    <v>22.77</v>
    <v>22.84</v>
    <v>22.4</v>
    <v>21.98</v>
    <v>22.34</v>
    <v>22.68</v>
    <v>22.92</v>
    <v>22.9</v>
    <v>22.3</v>
    <v>21.52</v>
    <v>23.2</v>
    <v>22.52</v>
    <v>23.32</v>
    <v>25.05</v>
    <v>26.23</v>
    <v>26.2</v>
    <v>25.05</v>
    <v>24.16</v>
    <v>24.92</v>
    <v>25.03</v>
    <v>24.35</v>
    <v>24.84</v>
    <v>24.2</v>
    <v>24.01</v>
    <v>24.44</v>
    <v>24.5</v>
    <v>24.87</v>
    <v>24.05</v>
    <v>23.65</v>
    <v>24.05</v>
    <v>23.93</v>
    <v>22.47</v>
    <v>21.96</v>
    <v>20.8</v>
    <v>20.92</v>
    <v>20.81</v>
    <v>20.16</v>
  </a>
  <a r="1" c="251">
    <v>91.07</v>
    <v>92.83</v>
    <v>93.94</v>
    <v>93.46</v>
    <v>92.86</v>
    <v>93.93</v>
    <v>91.27</v>
    <v>92.02</v>
    <v>91.02</v>
    <v>90.95</v>
    <v>90.38</v>
    <v>90.4</v>
    <v>90.29</v>
    <v>90.71</v>
    <v>91.65</v>
    <v>90.56</v>
    <v>90.9</v>
    <v>91.55</v>
    <v>89.67</v>
    <v>89.29</v>
    <v>89.45</v>
    <v>90.35</v>
    <v>93.05</v>
    <v>90.34</v>
    <v>92.21</v>
    <v>93.06</v>
    <v>95.08</v>
    <v>93.77</v>
    <v>93.5</v>
    <v>94.86</v>
    <v>95.36</v>
    <v>97.49</v>
    <v>96.94</v>
    <v>96.05</v>
    <v>97.06</v>
    <v>97.13</v>
    <v>96.65</v>
    <v>99.29</v>
    <v>99.14</v>
    <v>110.54</v>
    <v>108.39</v>
    <v>109.29</v>
    <v>110.46</v>
    <v>111.56</v>
    <v>112.45</v>
    <v>111.6</v>
    <v>109.44</v>
    <v>107.67</v>
    <v>107.64</v>
    <v>107.74</v>
    <v>107.68</v>
    <v>109.42</v>
    <v>110.8</v>
    <v>111.58</v>
    <v>111.95</v>
    <v>113.69</v>
    <v>112.87</v>
    <v>110.06</v>
    <v>110.18</v>
    <v>110.32</v>
    <v>112.31</v>
    <v>112.46</v>
    <v>112.5</v>
    <v>112.06</v>
    <v>111.95</v>
    <v>113.85</v>
    <v>114.51</v>
    <v>116.46</v>
    <v>116.7</v>
    <v>115.87</v>
    <v>119.36</v>
    <v>119.93</v>
    <v>120.98</v>
    <v>122.36</v>
    <v>121.53</v>
    <v>122.82</v>
    <v>118.98</v>
    <v>117.09</v>
    <v>118.38</v>
    <v>117.35</v>
    <v>117.97</v>
    <v>117.19</v>
    <v>117.15</v>
    <v>114.01</v>
    <v>112.95</v>
    <v>113.88</v>
    <v>112.94</v>
    <v>112.43</v>
    <v>112.61</v>
    <v>111.99</v>
    <v>113.71</v>
    <v>113.92</v>
    <v>112.77</v>
    <v>112.73</v>
    <v>112.08</v>
    <v>111.1</v>
    <v>110.48</v>
    <v>112.62</v>
    <v>113.66</v>
    <v>116.47</v>
    <v>105.39</v>
    <v>105.44</v>
    <v>105.8</v>
    <v>105.79</v>
    <v>105.83</v>
    <v>105.35</v>
    <v>102.77</v>
    <v>103.37</v>
    <v>103.25</v>
    <v>102.9</v>
    <v>103.01</v>
    <v>103.02</v>
    <v>100.66</v>
    <v>101.76</v>
    <v>102.44</v>
    <v>100.88</v>
    <v>101.7</v>
    <v>103.91</v>
    <v>102.77</v>
    <v>103.33</v>
    <v>101.5</v>
    <v>101.21</v>
    <v>101.54</v>
    <v>102.74</v>
    <v>100.87</v>
    <v>100.8</v>
    <v>100.09</v>
    <v>99.97</v>
    <v>101.52</v>
    <v>101.5</v>
    <v>101.84</v>
    <v>102.27</v>
    <v>101.98</v>
    <v>102.2</v>
    <v>102.18</v>
    <v>102.17</v>
    <v>99.29</v>
    <v>98.04</v>
    <v>97.99</v>
    <v>98.61</v>
    <v>97.99</v>
    <v>97.37</v>
    <v>97.05</v>
    <v>96.97</v>
    <v>96.6</v>
    <v>97.13</v>
    <v>96.87</v>
    <v>98.47</v>
    <v>97.31</v>
    <v>96.79</v>
    <v>95.74</v>
    <v>94.13</v>
    <v>90.94</v>
    <v>89.8</v>
    <v>89.21</v>
    <v>89.93</v>
    <v>92.14</v>
    <v>93.79</v>
    <v>93.69</v>
    <v>93.05</v>
    <v>89.57</v>
    <v>87.78</v>
    <v>89.97</v>
    <v>85.96</v>
    <v>85.96</v>
    <v>86.21</v>
    <v>85.95</v>
    <v>85.6</v>
    <v>86.3</v>
    <v>88.79</v>
    <v>89.3</v>
    <v>90.82</v>
    <v>89.74</v>
    <v>90.72</v>
    <v>89.92</v>
    <v>90.56</v>
    <v>91.78</v>
    <v>90.9</v>
    <v>89.49</v>
    <v>89.81</v>
    <v>90.38</v>
    <v>89.13</v>
    <v>89.25</v>
    <v>88.65</v>
    <v>87.94</v>
    <v>88.34</v>
    <v>88.4</v>
    <v>88.32</v>
    <v>89.3</v>
    <v>90.55</v>
    <v>91.85</v>
    <v>92.86</v>
    <v>93.58</v>
    <v>93.45</v>
    <v>93.75</v>
    <v>92.97</v>
    <v>93.69</v>
    <v>93.92</v>
    <v>95.2</v>
    <v>96.01</v>
    <v>96.19</v>
    <v>94.05</v>
    <v>94.15</v>
    <v>93.63</v>
    <v>95.15</v>
    <v>92.39</v>
    <v>92.51</v>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a>
  <a r="1" c="251">
    <v>119.64</v>
    <v>121.17</v>
    <v>121.02</v>
    <v>121.55</v>
    <v>121.14</v>
    <v>122.64</v>
    <v>121.43</v>
    <v>122.53</v>
    <v>108.04</v>
    <v>108.02</v>
    <v>107.13</v>
    <v>108.82</v>
    <v>108.57</v>
    <v>106.55</v>
    <v>104.04</v>
    <v>102.3</v>
    <v>102.08</v>
    <v>103.62</v>
    <v>102.74</v>
    <v>103.77</v>
    <v>105.9</v>
    <v>105.06</v>
    <v>101.72</v>
    <v>100.82</v>
    <v>100.94</v>
    <v>101.78</v>
    <v>100.56</v>
    <v>101.9</v>
    <v>100.76</v>
    <v>100.77</v>
    <v>102.75</v>
    <v>103.88</v>
    <v>104.18</v>
    <v>101.53</v>
    <v>101.76</v>
    <v>100.71</v>
    <v>99.68</v>
    <v>102.61</v>
    <v>103.79</v>
    <v>103.77</v>
    <v>104.5</v>
    <v>107.18</v>
    <v>105</v>
    <v>106.33</v>
    <v>106.05</v>
    <v>103.51</v>
    <v>103.3</v>
    <v>105.27</v>
    <v>105.08</v>
    <v>105.63</v>
    <v>104.54</v>
    <v>105.15</v>
    <v>104.35</v>
    <v>103.93</v>
    <v>101.88</v>
    <v>99.54</v>
    <v>98.31</v>
    <v>97.63</v>
    <v>98.19</v>
    <v>99.16</v>
    <v>101.08</v>
    <v>100.18</v>
    <v>101.36</v>
    <v>100.26</v>
    <v>99.64</v>
    <v>98.74</v>
    <v>99.96</v>
    <v>100.27</v>
    <v>100.82</v>
    <v>93.86</v>
    <v>93.75</v>
    <v>92.58</v>
    <v>94.13</v>
    <v>93.98</v>
    <v>92.56</v>
    <v>90.95</v>
    <v>90.33</v>
    <v>89.07</v>
    <v>88.84</v>
    <v>90</v>
    <v>91</v>
    <v>89</v>
    <v>92</v>
    <v>92</v>
    <v>93.1</v>
    <v>93.39</v>
    <v>94.84</v>
    <v>95.74</v>
    <v>94.53</v>
    <v>94.19</v>
    <v>94.02</v>
    <v>94.64</v>
    <v>93.94</v>
    <v>94.12</v>
    <v>94.06</v>
    <v>92.26</v>
    <v>90.34</v>
    <v>92.41</v>
    <v>92.15</v>
    <v>93.36</v>
    <v>93.78</v>
    <v>93.59</v>
    <v>93.39</v>
    <v>90.94</v>
    <v>92.72</v>
    <v>92.79</v>
    <v>91.67</v>
    <v>91.77</v>
    <v>92.18</v>
    <v>91.77</v>
    <v>92.82</v>
    <v>92.5</v>
    <v>91.4</v>
    <v>91.75</v>
    <v>92</v>
    <v>91.67</v>
    <v>93.45</v>
    <v>95.05</v>
    <v>94.4</v>
    <v>94.74</v>
    <v>94.32</v>
    <v>95.72</v>
    <v>96.55</v>
    <v>96</v>
    <v>95.87</v>
    <v>93.68</v>
    <v>94.18</v>
    <v>93.39</v>
    <v>95</v>
    <v>94.78</v>
    <v>95.57</v>
    <v>97.18</v>
    <v>97.17</v>
    <v>94.75</v>
    <v>94.06</v>
    <v>94.19</v>
    <v>75.37</v>
    <v>76.83</v>
    <v>76.040000000000006</v>
    <v>75.239999999999995</v>
    <v>75.430000000000007</v>
    <v>73.05</v>
    <v>72.459999999999994</v>
    <v>72.540000000000006</v>
    <v>73.39</v>
    <v>73.42</v>
    <v>71.31</v>
    <v>72.81</v>
    <v>73.069999999999993</v>
    <v>72.38</v>
    <v>72.7</v>
    <v>74.86</v>
    <v>73.400000000000006</v>
    <v>71.09</v>
    <v>71.41</v>
    <v>72.56</v>
    <v>73.55</v>
    <v>74.319999999999993</v>
    <v>74.86</v>
    <v>73.849999999999994</v>
    <v>74.010000000000005</v>
    <v>71.42</v>
    <v>72.5</v>
    <v>72.62</v>
    <v>74.19</v>
    <v>74.34</v>
    <v>74.64</v>
    <v>78.5</v>
    <v>78.52</v>
    <v>82.5</v>
    <v>83.23</v>
    <v>83.28</v>
    <v>83.56</v>
    <v>84</v>
    <v>83.41</v>
    <v>84.05</v>
    <v>84.28</v>
    <v>85.29</v>
    <v>82.79</v>
    <v>83.26</v>
    <v>83.32</v>
    <v>81.319999999999993</v>
    <v>81.02</v>
    <v>80.83</v>
    <v>80.63</v>
    <v>79.489999999999995</v>
    <v>78.09</v>
    <v>78.400000000000006</v>
    <v>78.400000000000006</v>
    <v>79.010000000000005</v>
    <v>79.8</v>
    <v>80.64</v>
    <v>80.900000000000006</v>
    <v>80.98</v>
    <v>86.52</v>
    <v>86.2</v>
    <v>87.46</v>
    <v>88</v>
    <v>89.39</v>
    <v>89.44</v>
    <v>88.4</v>
    <v>89.13</v>
    <v>83.1</v>
    <v>82.1</v>
    <v>82.25</v>
    <v>80.83</v>
    <v>80.77</v>
    <v>82.45</v>
    <v>82.1</v>
    <v>82.15</v>
    <v>81.599999999999994</v>
    <v>82.12</v>
    <v>83.94</v>
    <v>83.4</v>
    <v>82.92</v>
    <v>81.48</v>
    <v>81.42</v>
    <v>80.05</v>
    <v>79.040000000000006</v>
    <v>78.849999999999994</v>
    <v>78.91</v>
    <v>78.400000000000006</v>
    <v>76.45</v>
    <v>77.13</v>
    <v>78.06</v>
    <v>77.19</v>
    <v>77.98</v>
    <v>75.319999999999993</v>
    <v>75.92</v>
    <v>75.88</v>
    <v>76.599999999999994</v>
    <v>76.66</v>
    <v>76.52</v>
    <v>75.680000000000007</v>
    <v>76.66</v>
    <v>74.89</v>
    <v>73.91</v>
    <v>73.36</v>
    <v>75.099999999999994</v>
    <v>77.400000000000006</v>
    <v>79.260000000000005</v>
    <v>77.61</v>
    <v>78.34</v>
    <v>78.77</v>
    <v>79.09</v>
    <v>78.86</v>
    <v>78.37</v>
    <v>78.58</v>
    <v>78.89</v>
    <v>77.64</v>
    <v>76.739999999999995</v>
  </a>
  <a r="1" c="251">
    <v>194.71</v>
    <v>197.96</v>
    <v>198.11</v>
    <v>197.57</v>
    <v>195.89</v>
    <v>196.94</v>
    <v>194.83</v>
    <v>194.68</v>
    <v>193.6</v>
    <v>193.05</v>
    <v>193.15</v>
    <v>193.58</v>
    <v>192.53</v>
    <v>185.64</v>
    <v>184.25</v>
    <v>181.91</v>
    <v>181.18</v>
    <v>185.56</v>
    <v>185.14</v>
    <v>186.19</v>
    <v>185.59</v>
    <v>185.92</v>
    <v>183.63</v>
    <v>182.68</v>
    <v>188.63</v>
    <v>191.56</v>
    <v>193.89</v>
    <v>195.18</v>
    <v>194.5</v>
    <v>194.17</v>
    <v>192.42</v>
    <v>191.73</v>
    <v>188.04</v>
    <v>184.4</v>
    <v>186.86</v>
    <v>185.85</v>
    <v>187.68</v>
    <v>189.3</v>
    <v>189.41</v>
    <v>188.32</v>
    <v>188.85</v>
    <v>187.15</v>
    <v>185.04</v>
    <v>184.15</v>
    <v>183.86</v>
    <v>182.31</v>
    <v>181.56</v>
    <v>182.32</v>
    <v>184.37</v>
    <v>182.52</v>
    <v>181.16</v>
    <v>182.63</v>
    <v>181.42</v>
    <v>180.75</v>
    <v>179.66</v>
    <v>175.1</v>
    <v>170.12</v>
    <v>169.12</v>
    <v>169</v>
    <v>170.73</v>
    <v>172.75</v>
    <v>173.23</v>
    <v>171.13</v>
    <v>173</v>
    <v>172.62</v>
    <v>173.72</v>
    <v>176.08</v>
    <v>178.67</v>
    <v>171.37</v>
    <v>172.28</v>
    <v>170.85</v>
    <v>169.71</v>
    <v>173.31</v>
    <v>171.48</v>
    <v>170.03</v>
    <v>168.84</v>
    <v>169.65</v>
    <v>168.82</v>
    <v>169.58</v>
    <v>168.45</v>
    <v>169.67</v>
    <v>167.78</v>
    <v>175.04</v>
    <v>176.55</v>
    <v>172.69</v>
    <v>169.38</v>
    <v>168</v>
    <v>167.04</v>
    <v>165</v>
    <v>165.84</v>
    <v>166.9</v>
    <v>169.02</v>
    <v>169.89</v>
    <v>169.3</v>
    <v>173.5</v>
    <v>170.33</v>
    <v>169.3</v>
    <v>173.03</v>
    <v>183.38</v>
    <v>181.71</v>
    <v>182.4</v>
    <v>182.74</v>
    <v>184.57</v>
    <v>183.05</v>
    <v>186.28</v>
    <v>187.43</v>
    <v>189.72</v>
    <v>189.84</v>
    <v>189.87</v>
    <v>191.04</v>
    <v>192.35</v>
    <v>190.9</v>
    <v>186.88</v>
    <v>189.98</v>
    <v>189.99</v>
    <v>190.29</v>
    <v>191.29</v>
    <v>192.25</v>
    <v>194.03</v>
    <v>194.35</v>
    <v>195.87</v>
    <v>194.48</v>
    <v>196.89</v>
    <v>193.12</v>
    <v>207.15</v>
    <v>213.07</v>
    <v>214.24</v>
    <v>212.49</v>
    <v>216.67</v>
    <v>214.29</v>
    <v>209.68</v>
    <v>207.49</v>
    <v>208.14</v>
    <v>209.07</v>
    <v>213.25</v>
    <v>214.1</v>
    <v>210.62</v>
    <v>216.75</v>
    <v>220.27</v>
    <v>221.55</v>
    <v>226.34</v>
    <v>227.82</v>
    <v>228.68</v>
    <v>232.98</v>
    <v>227.57</v>
    <v>230.54</v>
    <v>234.4</v>
    <v>234.82</v>
    <v>228.88</v>
    <v>224.18</v>
    <v>224.31</v>
    <v>223.96</v>
    <v>225.01</v>
    <v>218.54</v>
    <v>217.49</v>
    <v>217.96</v>
    <v>218.24</v>
    <v>218.8</v>
    <v>222.08</v>
    <v>218.36</v>
    <v>219.86</v>
    <v>209.27</v>
    <v>207.23</v>
    <v>209.82</v>
    <v>213.31</v>
    <v>216.24</v>
    <v>217.53</v>
    <v>221.27</v>
    <v>221.72</v>
    <v>224.72</v>
    <v>226.05</v>
    <v>225.89</v>
    <v>226.51</v>
    <v>226.4</v>
    <v>224.53</v>
    <v>226.84</v>
    <v>227.18</v>
    <v>228.03</v>
    <v>226.49</v>
    <v>229.79</v>
    <v>229</v>
    <v>222.77</v>
    <v>220.85</v>
    <v>222.38</v>
    <v>220.82</v>
    <v>220.91</v>
    <v>220.11</v>
    <v>222.66</v>
    <v>222.77</v>
    <v>222.5</v>
    <v>216.32</v>
    <v>216.79</v>
    <v>220.69</v>
    <v>228.87</v>
    <v>228.2</v>
    <v>226.47</v>
    <v>227.37</v>
    <v>226.37</v>
    <v>227.52</v>
    <v>227.79</v>
    <v>233</v>
    <v>226.21</v>
    <v>226.78</v>
    <v>225.67</v>
    <v>226.8</v>
    <v>221.69</v>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a>
  <a r="1" c="251">
    <v>28.58</v>
    <v>26.66</v>
    <v>26.13</v>
    <v>26.63</v>
    <v>27.06</v>
    <v>28.16</v>
    <v>27.63</v>
    <v>28.31</v>
    <v>28.4</v>
    <v>28.41</v>
    <v>28.61</v>
    <v>28.79</v>
    <v>28.79</v>
    <v>29.73</v>
    <v>29.73</v>
    <v>29.09</v>
    <v>29.47</v>
    <v>29.58</v>
    <v>29.4</v>
    <v>28.99</v>
    <v>28.4</v>
    <v>28.7</v>
    <v>28.32</v>
    <v>28.15</v>
    <v>28.09</v>
    <v>28.28</v>
    <v>28.31</v>
    <v>28.43</v>
    <v>28.33</v>
    <v>27.47</v>
    <v>27.47</v>
    <v>27.48</v>
    <v>27.02</v>
    <v>27.08</v>
    <v>27.29</v>
    <v>26.93</v>
    <v>26.57</v>
    <v>27.5</v>
    <v>27.56</v>
    <v>27.57</v>
    <v>27.56</v>
    <v>27.66</v>
    <v>26.97</v>
    <v>27.11</v>
    <v>27.51</v>
    <v>27.62</v>
    <v>27.59</v>
    <v>27.67</v>
    <v>27.55</v>
    <v>27.76</v>
    <v>27.18</v>
    <v>26.89</v>
    <v>27.04</v>
    <v>26.56</v>
    <v>26.59</v>
    <v>25.89</v>
    <v>26.08</v>
    <v>27.19</v>
    <v>26.79</v>
    <v>27.22</v>
    <v>28.37</v>
    <v>28.01</v>
    <v>28.22</v>
    <v>28.13</v>
    <v>27.94</v>
    <v>27.72</v>
    <v>27.63</v>
    <v>27.7</v>
    <v>27.66</v>
    <v>27.36</v>
    <v>27.43</v>
    <v>27.59</v>
    <v>27.78</v>
    <v>27.75</v>
    <v>27.72</v>
    <v>27.55</v>
    <v>27.22</v>
    <v>26.65</v>
    <v>26.66</v>
    <v>26.58</v>
    <v>26.78</v>
    <v>26.32</v>
    <v>26.34</v>
    <v>25.86</v>
    <v>25.91</v>
    <v>25.69</v>
    <v>25.42</v>
    <v>25.39</v>
    <v>26</v>
    <v>26.26</v>
    <v>26.32</v>
    <v>26.27</v>
    <v>25.26</v>
    <v>25.4</v>
    <v>25.64</v>
    <v>25.62</v>
    <v>27.18</v>
    <v>27.7</v>
    <v>27.81</v>
    <v>28.16</v>
    <v>27.77</v>
    <v>28.27</v>
    <v>28.18</v>
    <v>28.01</v>
    <v>28.44</v>
    <v>28.38</v>
    <v>28.82</v>
    <v>28.92</v>
    <v>28.64</v>
    <v>28.53</v>
    <v>28.56</v>
    <v>29.6</v>
    <v>28.69</v>
    <v>28.88</v>
    <v>28.3</v>
    <v>27.82</v>
    <v>28.2</v>
    <v>28.66</v>
    <v>29.31</v>
    <v>29.49</v>
    <v>29.55</v>
    <v>28.8</v>
    <v>28.58</v>
    <v>28.07</v>
    <v>28.03</v>
    <v>27.66</v>
    <v>27.65</v>
    <v>27.53</v>
    <v>26.98</v>
    <v>27.41</v>
    <v>27.74</v>
    <v>27.74</v>
    <v>28.36</v>
    <v>27.99</v>
    <v>27.42</v>
    <v>27.8</v>
    <v>27.98</v>
    <v>28.22</v>
    <v>27.83</v>
    <v>27.7</v>
    <v>28.05</v>
    <v>27.93</v>
    <v>27.72</v>
    <v>28.35</v>
    <v>28.66</v>
    <v>28.92</v>
    <v>29.1</v>
    <v>29.5</v>
    <v>30.03</v>
    <v>29.71</v>
    <v>29.97</v>
    <v>29.6</v>
    <v>29.5</v>
    <v>29.98</v>
    <v>30.18</v>
    <v>30.77</v>
    <v>30.72</v>
    <v>31.39</v>
    <v>30.54</v>
    <v>30.65</v>
    <v>30.43</v>
    <v>29.74</v>
    <v>29.32</v>
    <v>28.85</v>
    <v>28.76</v>
    <v>28.55</v>
    <v>28.45</v>
    <v>28.85</v>
    <v>28.88</v>
    <v>28.71</v>
    <v>28.3</v>
    <v>28.8</v>
    <v>28.9</v>
    <v>29.03</v>
    <v>28.78</v>
    <v>28.9</v>
    <v>28.92</v>
    <v>28.82</v>
    <v>28.75</v>
    <v>28.72</v>
    <v>29.01</v>
    <v>28.3</v>
    <v>28.39</v>
    <v>28.51</v>
    <v>28.56</v>
    <v>29.41</v>
    <v>29.74</v>
    <v>29.66</v>
    <v>29.16</v>
    <v>29.27</v>
    <v>30.07</v>
    <v>29.83</v>
    <v>29.75</v>
    <v>29.66</v>
    <v>29.42</v>
    <v>29.31</v>
    <v>29.5</v>
    <v>28.93</v>
    <v>28.97</v>
    <v>29.09</v>
    <v>28.94</v>
    <v>28.67</v>
    <v>28.61</v>
    <v>28.34</v>
    <v>28.58</v>
    <v>29.2</v>
    <v>29.18</v>
    <v>30.19</v>
    <v>29.34</v>
    <v>29.16</v>
    <v>29.08</v>
    <v>29.44</v>
    <v>29.67</v>
    <v>29.27</v>
    <v>29.22</v>
    <v>28.93</v>
    <v>28.84</v>
    <v>28.86</v>
    <v>28.64</v>
    <v>28.45</v>
    <v>28.86</v>
    <v>28.46</v>
    <v>28.52</v>
    <v>28.3</v>
    <v>28.09</v>
    <v>27.76</v>
    <v>27.99</v>
    <v>27.36</v>
    <v>27.46</v>
    <v>26.72</v>
    <v>26.24</v>
    <v>26.19</v>
    <v>26.72</v>
    <v>26.02</v>
    <v>24.8</v>
    <v>24.86</v>
    <v>25.1</v>
    <v>24.94</v>
    <v>25.13</v>
    <v>25.65</v>
    <v>26.17</v>
    <v>25.77</v>
    <v>25.83</v>
    <v>26.21</v>
    <v>25.82</v>
    <v>25.56</v>
    <v>25.23</v>
    <v>25.7</v>
    <v>25.73</v>
    <v>26.1</v>
    <v>25.57</v>
  </a>
  <a r="1" c="251">
    <v>142.5</v>
    <v>144.61000000000001</v>
    <v>149.93</v>
    <v>149.35</v>
    <v>149.68</v>
    <v>151.63999999999999</v>
    <v>150.25</v>
    <v>150.71</v>
    <v>151.05000000000001</v>
    <v>152.41</v>
    <v>151.91</v>
    <v>149.77000000000001</v>
    <v>149.16</v>
    <v>149.47999999999999</v>
    <v>152.33000000000001</v>
    <v>150.66</v>
    <v>150.4</v>
    <v>149.5</v>
    <v>145.69999999999999</v>
    <v>144.5</v>
    <v>145.28</v>
    <v>147.27000000000001</v>
    <v>143.69</v>
    <v>143.12</v>
    <v>141.82</v>
    <v>142.24</v>
    <v>142.49</v>
    <v>142.09</v>
    <v>144.91999999999999</v>
    <v>148.57</v>
    <v>149.13999999999999</v>
    <v>149.08000000000001</v>
    <v>150.12</v>
    <v>147.43</v>
    <v>147.88999999999999</v>
    <v>152.24</v>
    <v>152.33000000000001</v>
    <v>152.35</v>
    <v>152.13</v>
    <v>154.06</v>
    <v>151.04</v>
    <v>152.08000000000001</v>
    <v>150.6</v>
    <v>151.01</v>
    <v>154.46</v>
    <v>154.63</v>
    <v>154</v>
    <v>155.44</v>
    <v>155.43</v>
    <v>154.66</v>
    <v>154.44999999999999</v>
    <v>152.16</v>
    <v>152.34</v>
    <v>152.01</v>
    <v>152.81</v>
    <v>148.88</v>
    <v>149.59</v>
    <v>148.33000000000001</v>
    <v>149.37</v>
    <v>149.88</v>
    <v>152</v>
    <v>151.88999999999999</v>
    <v>153.88999999999999</v>
    <v>155.69999999999999</v>
    <v>155.55000000000001</v>
    <v>155.41</v>
    <v>156.62</v>
    <v>154.55000000000001</v>
    <v>154.86000000000001</v>
    <v>154.66</v>
    <v>156.47</v>
    <v>155.27000000000001</v>
    <v>156.35</v>
    <v>157.74</v>
    <v>159.08000000000001</v>
    <v>159.78</v>
    <v>160.44</v>
    <v>160.69</v>
    <v>161.6</v>
    <v>161.27000000000001</v>
    <v>162</v>
    <v>162.66999999999999</v>
    <v>161.88999999999999</v>
    <v>158.96</v>
    <v>157.59</v>
    <v>156.28</v>
    <v>156.4</v>
    <v>157.57</v>
    <v>160</v>
    <v>161.91999999999999</v>
    <v>162.85</v>
    <v>163.57</v>
    <v>165.28</v>
    <v>165.89</v>
    <v>166.33</v>
    <v>161.27000000000001</v>
    <v>159.63</v>
    <v>160.72999999999999</v>
    <v>160.25</v>
    <v>162.30000000000001</v>
    <v>162.66999999999999</v>
    <v>162.54</v>
    <v>165.45</v>
    <v>165.82</v>
    <v>164.53</v>
    <v>163.61000000000001</v>
    <v>163.05000000000001</v>
    <v>161.09</v>
    <v>162.66999999999999</v>
    <v>161.13999999999999</v>
    <v>159.97</v>
    <v>157.57</v>
    <v>156.94</v>
    <v>157.75</v>
    <v>159.04</v>
    <v>156.9</v>
    <v>158.26</v>
    <v>162.30000000000001</v>
    <v>157.46</v>
    <v>156.13</v>
    <v>154.97999999999999</v>
    <v>155.93</v>
    <v>156.08000000000001</v>
    <v>156.74</v>
    <v>156.49</v>
    <v>154.22</v>
    <v>152.84</v>
    <v>152.57</v>
    <v>153.19</v>
    <v>153.33000000000001</v>
    <v>156.63999999999999</v>
    <v>155.28</v>
    <v>159.31</v>
    <v>158.46</v>
    <v>155.94999999999999</v>
    <v>156.32</v>
    <v>156.41999999999999</v>
    <v>156.52000000000001</v>
    <v>156.75</v>
    <v>156.71</v>
    <v>154.31</v>
    <v>154.33000000000001</v>
    <v>152.97999999999999</v>
    <v>155.13</v>
    <v>155.26</v>
    <v>155.59</v>
    <v>158.04</v>
    <v>157.77000000000001</v>
    <v>161.22999999999999</v>
    <v>161.97</v>
    <v>159.15</v>
    <v>156.99</v>
    <v>154.09</v>
    <v>155.07</v>
    <v>157.54</v>
    <v>157.84</v>
    <v>156.6</v>
    <v>159.57</v>
    <v>160.47</v>
    <v>152.62</v>
    <v>148.55000000000001</v>
    <v>144.66</v>
    <v>143.22999999999999</v>
    <v>142.41</v>
    <v>144.49</v>
    <v>144.99</v>
    <v>145.02000000000001</v>
    <v>144.15</v>
    <v>144.66999999999999</v>
    <v>146.80000000000001</v>
    <v>147.27000000000001</v>
    <v>146.83000000000001</v>
    <v>144.69</v>
    <v>145.32</v>
    <v>145.72999999999999</v>
    <v>147.62</v>
    <v>148.5</v>
    <v>146.94999999999999</v>
    <v>146</v>
    <v>147.41999999999999</v>
    <v>147.94999999999999</v>
    <v>144.66</v>
    <v>142.07</v>
    <v>140.93</v>
    <v>138.56</v>
    <v>140.30000000000001</v>
    <v>138.22999999999999</v>
    <v>137.88</v>
    <v>139.21</v>
    <v>140.61000000000001</v>
    <v>142.09</v>
    <v>143.41</v>
    <v>143.96</v>
    <v>144.99</v>
    <v>145.68</v>
    <v>147.54</v>
    <v>147.44999999999999</v>
    <v>143.97</v>
    <v>141.99</v>
    <v>145.49</v>
    <v>147.27000000000001</v>
    <v>149.69999999999999</v>
    <v>150.94999999999999</v>
    <v>151.25</v>
    <v>150.74</v>
    <v>151.12</v>
    <v>148.75</v>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a>
  <a r="1" c="251">
    <v>155.07</v>
    <v>155.79</v>
    <v>156.87</v>
    <v>155.16</v>
    <v>155.44</v>
    <v>156.46</v>
    <v>153.27000000000001</v>
    <v>154.84</v>
    <v>155.46</v>
    <v>156.13999999999999</v>
    <v>156.35</v>
    <v>156.58000000000001</v>
    <v>156.74</v>
    <v>159.97</v>
    <v>160.97</v>
    <v>160.63</v>
    <v>161.13</v>
    <v>161.53</v>
    <v>161.63</v>
    <v>161.87</v>
    <v>161.15</v>
    <v>162.38999999999999</v>
    <v>160.52000000000001</v>
    <v>160.43</v>
    <v>161.21</v>
    <v>161.68</v>
    <v>162.47</v>
    <v>159.81</v>
    <v>158.96</v>
    <v>159.56</v>
    <v>159.5</v>
    <v>159.36000000000001</v>
    <v>158.77000000000001</v>
    <v>158.9</v>
    <v>158.36000000000001</v>
    <v>156.61000000000001</v>
    <v>155.80000000000001</v>
    <v>158.06</v>
    <v>157.97999999999999</v>
    <v>156.4</v>
    <v>156.76</v>
    <v>157.85</v>
    <v>156.47</v>
    <v>155.74</v>
    <v>157.91999999999999</v>
    <v>156.55000000000001</v>
    <v>157.86000000000001</v>
    <v>158.68</v>
    <v>160.44999999999999</v>
    <v>161.84</v>
    <v>160.79</v>
    <v>160.97999999999999</v>
    <v>161.55000000000001</v>
    <v>161.38</v>
    <v>162.12</v>
    <v>159.84</v>
    <v>159.97</v>
    <v>159.34</v>
    <v>158.87</v>
    <v>159.52000000000001</v>
    <v>161.22999999999999</v>
    <v>162.74</v>
    <v>161.1</v>
    <v>159.21</v>
    <v>158.18</v>
    <v>156.76</v>
    <v>156.21</v>
    <v>155.76</v>
    <v>155.75</v>
    <v>155.22999999999999</v>
    <v>155.22</v>
    <v>155.77000000000001</v>
    <v>157.96</v>
    <v>158.19</v>
    <v>157.78</v>
    <v>157.72999999999999</v>
    <v>154.26</v>
    <v>152.5</v>
    <v>152.38999999999999</v>
    <v>151.59</v>
    <v>152.29</v>
    <v>150.19999999999999</v>
    <v>148.79</v>
    <v>147.52000000000001</v>
    <v>147.59</v>
    <v>144.44999999999999</v>
    <v>144.77000000000001</v>
    <v>145.74</v>
    <v>147.91</v>
    <v>149.12</v>
    <v>149.56</v>
    <v>148.53</v>
    <v>146.82</v>
    <v>146.13999999999999</v>
    <v>146.82</v>
    <v>144.59</v>
    <v>151.18</v>
    <v>149.91999999999999</v>
    <v>149.27000000000001</v>
    <v>148.58000000000001</v>
    <v>148.72</v>
    <v>148.94999999999999</v>
    <v>149.85</v>
    <v>149.91</v>
    <v>151.22</v>
    <v>151.38</v>
    <v>152.66999999999999</v>
    <v>154.28</v>
    <v>154.63999999999999</v>
    <v>151.27000000000001</v>
    <v>151.24</v>
    <v>153.5</v>
    <v>149.69999999999999</v>
    <v>146.97</v>
    <v>144.38</v>
    <v>144.44</v>
    <v>145.28</v>
    <v>146.66999999999999</v>
    <v>147.74</v>
    <v>147.80000000000001</v>
    <v>145.97</v>
    <v>146.41999999999999</v>
    <v>147.08000000000001</v>
    <v>147.13</v>
    <v>146.76</v>
    <v>145.41</v>
    <v>145.44999999999999</v>
    <v>145.54</v>
    <v>145.94999999999999</v>
    <v>145.65</v>
    <v>147.78</v>
    <v>148.75</v>
    <v>149.12</v>
    <v>147.19</v>
    <v>146.82</v>
    <v>145.80000000000001</v>
    <v>146.16</v>
    <v>146.44</v>
    <v>146.03</v>
    <v>145.69</v>
    <v>146.47999999999999</v>
    <v>145.47999999999999</v>
    <v>147.05000000000001</v>
    <v>149.43</v>
    <v>149.69999999999999</v>
    <v>149.88</v>
    <v>149.24</v>
    <v>151.01</v>
    <v>156.58000000000001</v>
    <v>155.41999999999999</v>
    <v>154.69</v>
    <v>154.24</v>
    <v>152.35</v>
    <v>156.28</v>
    <v>159.63999999999999</v>
    <v>160.63999999999999</v>
    <v>158.56</v>
    <v>161.33000000000001</v>
    <v>157.85</v>
    <v>160.76</v>
    <v>164.14</v>
    <v>161.25</v>
    <v>158.97</v>
    <v>158.9</v>
    <v>160.22</v>
    <v>160.62</v>
    <v>159.88</v>
    <v>158.38999999999999</v>
    <v>158.47999999999999</v>
    <v>159.09</v>
    <v>159.38999999999999</v>
    <v>159.63</v>
    <v>160.16</v>
    <v>161.43</v>
    <v>162.35</v>
    <v>164.13</v>
    <v>164.61</v>
    <v>162.94999999999999</v>
    <v>163.92</v>
    <v>164.23</v>
    <v>165.86</v>
    <v>167.16</v>
    <v>167.36</v>
    <v>164.99</v>
    <v>164.38</v>
    <v>166.61</v>
    <v>167.38</v>
    <v>164.82</v>
    <v>164.64</v>
    <v>165.52</v>
    <v>166.99</v>
    <v>167.07</v>
    <v>166.15</v>
    <v>164.82</v>
    <v>164.16</v>
    <v>163.22</v>
    <v>162.78</v>
    <v>160.6</v>
    <v>161.38999999999999</v>
    <v>161.4</v>
    <v>162.06</v>
    <v>161.99</v>
    <v>161.16999999999999</v>
    <v>160.5</v>
    <v>160.29</v>
    <v>159.53</v>
    <v>159.69</v>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a>
  <a r="1" c="60">
    <v>116.24</v>
    <v>106.57</v>
    <v>86.05</v>
    <v>104.75</v>
    <v>130.35</v>
    <v>135.12</v>
    <v>148.91</v>
    <v>164.69</v>
    <v>165.86</v>
    <v>158.1</v>
    <v>155.82</v>
    <v>160.51</v>
    <v>166.85</v>
    <v>159.75</v>
    <v>190.18</v>
    <v>196.25</v>
    <v>194.83</v>
    <v>193.97</v>
    <v>192.69</v>
    <v>203.89</v>
    <v>202.86</v>
    <v>233.82</v>
    <v>244.59</v>
    <v>258.48</v>
    <v>237.35</v>
    <v>221.06</v>
    <v>202.19</v>
    <v>197.73</v>
    <v>195.3</v>
    <v>174.67</v>
    <v>191.53</v>
    <v>194.14</v>
    <v>187.81</v>
    <v>194.95</v>
    <v>212.55</v>
    <v>199.24</v>
    <v>208.25</v>
    <v>205.75</v>
    <v>199.97</v>
    <v>207.83</v>
    <v>201.13</v>
    <v>225.7</v>
    <v>234.27</v>
    <v>230.48</v>
    <v>207.84</v>
    <v>190.57</v>
    <v>198.83</v>
    <v>222.55</v>
    <v>212.84</v>
    <v>240.67</v>
    <v>254.73</v>
    <v>227.99</v>
    <v>221.29</v>
    <v>220.46</v>
    <v>245.51</v>
    <v>248.5</v>
    <v>270.85000000000002</v>
    <v>261.83</v>
    <v>272.43</v>
    <v>270.11</v>
  </a>
  <a r="1" c="251">
    <v>352.61</v>
    <v>362.73</v>
    <v>383.47</v>
    <v>380.51</v>
    <v>376.4</v>
    <v>382.45</v>
    <v>377.52</v>
    <v>380.57</v>
    <v>380.65</v>
    <v>381.61</v>
    <v>384.48</v>
    <v>386.41</v>
    <v>385.77</v>
    <v>388.3</v>
    <v>381.79</v>
    <v>382.95</v>
    <v>386.44</v>
    <v>388.86</v>
    <v>383.74</v>
    <v>381.96</v>
    <v>379.75</v>
    <v>377.75</v>
    <v>380.45</v>
    <v>377.18</v>
    <v>376.91</v>
    <v>382.2</v>
    <v>385.96</v>
    <v>380.77</v>
    <v>379.4</v>
    <v>382.7</v>
    <v>377.79</v>
    <v>380.56</v>
    <v>386.87</v>
    <v>384.01</v>
    <v>383.85</v>
    <v>387.86</v>
    <v>383.02</v>
    <v>384.99</v>
    <v>386.66</v>
    <v>385.04</v>
    <v>384.26</v>
    <v>392.64</v>
    <v>378.75</v>
    <v>378.04</v>
    <v>385.42</v>
    <v>384.44</v>
    <v>384.52</v>
    <v>388.27</v>
    <v>390.47</v>
    <v>391.05</v>
    <v>390.22</v>
    <v>390.81</v>
    <v>393.18</v>
    <v>389.05</v>
    <v>388.1</v>
    <v>392.25</v>
    <v>390.91</v>
    <v>389.57</v>
    <v>388.43</v>
    <v>386.99</v>
    <v>386.16</v>
    <v>388.18</v>
    <v>392.31</v>
    <v>388.61</v>
    <v>387.21</v>
    <v>384.37</v>
    <v>388.66</v>
    <v>396.47</v>
    <v>413.71</v>
    <v>406.82</v>
    <v>404.94</v>
    <v>406.18</v>
    <v>415.25</v>
    <v>417.69</v>
    <v>413.51</v>
    <v>410.15</v>
    <v>414</v>
    <v>406.25</v>
    <v>408.07</v>
    <v>410.54</v>
    <v>410.71</v>
    <v>400.76</v>
    <v>397.48</v>
    <v>389.49</v>
    <v>400.88</v>
    <v>396.86</v>
    <v>403.91</v>
    <v>403.11</v>
    <v>404</v>
    <v>417.35</v>
    <v>424</v>
    <v>423.04</v>
    <v>420.05</v>
    <v>427.57</v>
    <v>430.81</v>
    <v>426.71</v>
    <v>426.95</v>
    <v>432.57</v>
    <v>438.18</v>
    <v>443.67</v>
    <v>443.8</v>
    <v>446.95</v>
    <v>455.56</v>
    <v>454.73</v>
    <v>453.56</v>
    <v>458.47</v>
    <v>466.09</v>
    <v>464.52</v>
    <v>467.72</v>
    <v>462.94</v>
    <v>470.41</v>
    <v>462.38</v>
    <v>458.15</v>
    <v>461.18</v>
    <v>459.81</v>
    <v>457.17</v>
    <v>450.23</v>
    <v>456.52</v>
    <v>454.98</v>
    <v>455.3</v>
    <v>461.68</v>
    <v>458.1</v>
    <v>454.91</v>
    <v>453.55</v>
    <v>444.27</v>
    <v>448.7</v>
    <v>446.35</v>
    <v>446.46</v>
    <v>450.18</v>
    <v>457.43</v>
    <v>458.05</v>
    <v>450.18</v>
    <v>462.09</v>
    <v>457.38</v>
    <v>455.86</v>
    <v>445.96</v>
    <v>452.32</v>
    <v>463.66</v>
    <v>465.61</v>
    <v>467.92</v>
    <v>464.75</v>
    <v>464.82</v>
    <v>472.83</v>
    <v>478.89</v>
    <v>479.23</v>
    <v>479.88</v>
    <v>492.23</v>
    <v>503.02</v>
    <v>502.18</v>
    <v>486.21</v>
    <v>484.93</v>
    <v>487.04</v>
    <v>492.15</v>
    <v>486.7</v>
    <v>491.71</v>
    <v>499.03</v>
    <v>492.72</v>
    <v>505.67</v>
    <v>509.03</v>
    <v>500.12</v>
    <v>470.64</v>
    <v>459.02</v>
    <v>470.22</v>
    <v>473.01</v>
    <v>485.77</v>
    <v>490.26</v>
    <v>485.5</v>
    <v>491.94</v>
    <v>498.7</v>
    <v>499.02</v>
    <v>504.26</v>
    <v>504.68</v>
    <v>497.34</v>
    <v>496.46</v>
    <v>497.75</v>
    <v>509.42</v>
    <v>507.87</v>
    <v>507.26</v>
    <v>503.33</v>
    <v>510.1</v>
    <v>510.25</v>
    <v>487.46</v>
    <v>490.64</v>
    <v>487.88</v>
    <v>479.61</v>
    <v>488.57</v>
    <v>467.13</v>
    <v>471.17</v>
    <v>474.06</v>
    <v>478.99</v>
    <v>485.16</v>
    <v>485.39</v>
    <v>484.58</v>
    <v>503.83</v>
    <v>498.43</v>
    <v>497.41</v>
    <v>498.02</v>
    <v>491.14</v>
    <v>496.92</v>
    <v>498.51</v>
    <v>495.11</v>
    <v>490.17</v>
    <v>491.99</v>
    <v>486.1</v>
    <v>495.16</v>
    <v>494.62</v>
    <v>496.57</v>
    <v>505.18</v>
    <v>503.72</v>
    <v>516.29999999999995</v>
    <v>522.75</v>
    <v>522.38</v>
    <v>529.86</v>
    <v>529</v>
    <v>528.5</v>
    <v>517.79999999999995</v>
    <v>518.29999999999995</v>
    <v>517.20000000000005</v>
    <v>524.5</v>
    <v>512.6</v>
    <v>523.58000000000004</v>
    <v>524.28</v>
    <v>524.4</v>
    <v>517.79</v>
    <v>519.35</v>
    <v>511.47</v>
    <v>526.96</v>
    <v>595.98</v>
    <v>582.16999999999996</v>
    <v>589.26</v>
    <v>602.34</v>
    <v>592.59</v>
    <v>594.22</v>
    <v>588.61</v>
    <v>593.54</v>
    <v>587.99</v>
    <v>581.38</v>
    <v>581.92999999999995</v>
    <v>596.11</v>
    <v>602.78</v>
    <v>603.03</v>
    <v>605.5</v>
    <v>605.42999999999995</v>
    <v>608.57000000000005</v>
    <v>601.71</v>
    <v>602.08000000000004</v>
    <v>598.71</v>
    <v>596.79999999999995</v>
    <v>599.67999999999995</v>
    <v>594.12</v>
    <v>585.03</v>
  </a>
  <a r="1" c="251">
    <v>256.45</v>
    <v>257.32</v>
    <v>257.20999999999998</v>
    <v>261.60000000000002</v>
    <v>263.58999999999997</v>
    <v>264.33999999999997</v>
    <v>260.25</v>
    <v>267.25</v>
    <v>266.33999999999997</v>
    <v>266.22000000000003</v>
    <v>266.72000000000003</v>
    <v>265.58</v>
    <v>263.14</v>
    <v>256.13</v>
    <v>251.84</v>
    <v>251.24</v>
    <v>251.12</v>
    <v>260.87</v>
    <v>261.33999999999997</v>
    <v>264.13</v>
    <v>271.38</v>
    <v>271.93</v>
    <v>269.19</v>
    <v>271.44</v>
    <v>274.45999999999998</v>
    <v>280.88</v>
    <v>280.3</v>
    <v>276.77</v>
    <v>276.88</v>
    <v>279.02999999999997</v>
    <v>279.94</v>
    <v>287.86</v>
    <v>287.73</v>
    <v>281.08999999999997</v>
    <v>283.8</v>
    <v>285.66000000000003</v>
    <v>288.11</v>
    <v>285.83</v>
    <v>288.83999999999997</v>
    <v>291.95</v>
    <v>291.3</v>
    <v>287.32</v>
    <v>281.14999999999998</v>
    <v>289.14999999999998</v>
    <v>291.94</v>
    <v>289.72000000000003</v>
    <v>286.39</v>
    <v>283.55</v>
    <v>293.64999999999998</v>
    <v>292.8</v>
    <v>300.39</v>
    <v>299.5</v>
    <v>299.77</v>
    <v>308.82</v>
    <v>316.88</v>
    <v>314.64</v>
    <v>298.75</v>
    <v>303.77</v>
    <v>302.42</v>
    <v>305.27999999999997</v>
    <v>306</v>
    <v>306.62</v>
    <v>304.68</v>
    <v>303.32</v>
    <v>294.33</v>
    <v>300.51</v>
    <v>301.45</v>
    <v>306.08</v>
    <v>308.39</v>
    <v>307.77</v>
    <v>306.06</v>
    <v>305.83</v>
    <v>301.38</v>
    <v>301.18</v>
    <v>302.26</v>
    <v>304</v>
    <v>304.74</v>
    <v>294.14</v>
    <v>301.91000000000003</v>
    <v>301.73</v>
    <v>302.37</v>
    <v>299.62</v>
    <v>299.14999999999998</v>
    <v>294.32</v>
    <v>272.89999999999998</v>
    <v>277.41000000000003</v>
    <v>276.32</v>
    <v>271.92</v>
    <v>270.37</v>
    <v>273.81</v>
    <v>276.68</v>
    <v>276.19</v>
    <v>273.14</v>
    <v>274.29000000000002</v>
    <v>275.74</v>
    <v>268.94</v>
    <v>268.69</v>
    <v>272.13</v>
    <v>273.66000000000003</v>
    <v>275.63</v>
    <v>277.18</v>
    <v>278.97000000000003</v>
    <v>275.17</v>
    <v>276.67</v>
    <v>277.52</v>
    <v>276.8</v>
    <v>287.54000000000002</v>
    <v>284.68</v>
    <v>285.61</v>
    <v>287.07</v>
    <v>283.76</v>
    <v>283.82</v>
    <v>278.57</v>
    <v>272.29000000000002</v>
    <v>269.83</v>
    <v>271.62</v>
    <v>218.01</v>
    <v>234.44</v>
    <v>236.62</v>
    <v>234.86</v>
    <v>236.53</v>
    <v>242.76</v>
    <v>241.85</v>
    <v>241.84</v>
    <v>240.99</v>
    <v>235.8</v>
    <v>229.03</v>
    <v>231.94</v>
    <v>230.48</v>
    <v>231.81</v>
    <v>241.8</v>
    <v>245.06</v>
    <v>239.94</v>
    <v>241.76</v>
    <v>243.15</v>
    <v>252.85</v>
    <v>257.10000000000002</v>
    <v>256.20999999999998</v>
    <v>256.19</v>
    <v>260.95</v>
    <v>263.19</v>
    <v>257.37</v>
    <v>252.43</v>
    <v>252.59</v>
    <v>251.12</v>
    <v>253.97</v>
    <v>252.86</v>
    <v>256.02999999999997</v>
    <v>251.22</v>
    <v>247.35</v>
    <v>247.63</v>
    <v>254.08</v>
    <v>256.06</v>
    <v>249.78</v>
    <v>256.52</v>
    <v>262.70999999999998</v>
    <v>258.58999999999997</v>
    <v>257.93</v>
    <v>258.8</v>
    <v>253.06</v>
    <v>243.97</v>
    <v>239.01</v>
    <v>238.42</v>
    <v>240.04</v>
    <v>249.12</v>
    <v>252.53</v>
    <v>251.31</v>
    <v>254.6</v>
    <v>255.32</v>
    <v>262.79000000000002</v>
    <v>262.91000000000003</v>
    <v>265.38</v>
    <v>261.83999999999997</v>
    <v>261.08999999999997</v>
    <v>258.58999999999997</v>
    <v>264</v>
    <v>265.27999999999997</v>
    <v>264.2</v>
    <v>258.89999999999998</v>
    <v>257.01</v>
    <v>252.9</v>
    <v>248.06</v>
    <v>247.68</v>
    <v>246.12</v>
    <v>243.97</v>
    <v>245.76</v>
    <v>246.16</v>
    <v>249.57</v>
    <v>253.37</v>
    <v>254.57</v>
    <v>256.91000000000003</v>
    <v>255.19</v>
    <v>252.43</v>
    <v>265.99</v>
    <v>266.8</v>
    <v>264.20999999999998</v>
    <v>270.44</v>
    <v>274.08999999999997</v>
    <v>275.76</v>
    <v>276.64</v>
    <v>273.70999999999998</v>
    <v>270.87</v>
    <v>279.48</v>
    <v>280.91000000000003</v>
    <v>287.75</v>
    <v>284.57</v>
    <v>291.57</v>
    <v>287.92</v>
    <v>290.17</v>
    <v>288.10000000000002</v>
    <v>291.64</v>
    <v>288.35000000000002</v>
    <v>290.86</v>
    <v>291.11</v>
    <v>292.94</v>
    <v>291.29000000000002</v>
    <v>288.33</v>
    <v>284.43</v>
    <v>286.76</v>
    <v>290.45999999999998</v>
    <v>293.77</v>
    <v>298.89</v>
    <v>296.39999999999998</v>
    <v>291.37</v>
    <v>294.72000000000003</v>
    <v>298.01</v>
    <v>297.49</v>
    <v>306.89999999999998</v>
    <v>310.77999999999997</v>
    <v>321.95</v>
    <v>341.73</v>
    <v>341.15</v>
    <v>341.72</v>
    <v>331.65</v>
    <v>325.26</v>
    <v>322.25</v>
    <v>323.43</v>
    <v>325.7</v>
    <v>335.78</v>
    <v>342.02</v>
    <v>339.11</v>
    <v>343.18</v>
    <v>330.01</v>
    <v>329.99</v>
    <v>331.01</v>
    <v>331.43</v>
    <v>367.87</v>
    <v>361.38</v>
    <v>361.99</v>
    <v>351.57</v>
    <v>348.82</v>
  </a>
  <a r="1" c="251">
    <v>420.75</v>
    <v>424.68</v>
    <v>418.56</v>
    <v>418.57</v>
    <v>424.43</v>
    <v>425.47</v>
    <v>419.45</v>
    <v>423.44</v>
    <v>424.1</v>
    <v>423.67</v>
    <v>424.36</v>
    <v>426.32</v>
    <v>426.51</v>
    <v>421.89</v>
    <v>418.77</v>
    <v>419.77</v>
    <v>419.42</v>
    <v>421.98</v>
    <v>422.6</v>
    <v>428.27</v>
    <v>426.72</v>
    <v>429.1</v>
    <v>428.35</v>
    <v>427.42</v>
    <v>430.72</v>
    <v>436.78</v>
    <v>439.75</v>
    <v>438.76</v>
    <v>438.7</v>
    <v>436.8</v>
    <v>438.53</v>
    <v>440.58</v>
    <v>445.19</v>
    <v>449.23</v>
    <v>460.92</v>
    <v>460.58</v>
    <v>456.76</v>
    <v>460.5</v>
    <v>461.91</v>
    <v>458.26</v>
    <v>457.88</v>
    <v>458.71</v>
    <v>460.46</v>
    <v>465.19</v>
    <v>471.28</v>
    <v>468.13</v>
    <v>451.75</v>
    <v>459.05</v>
    <v>471.56</v>
    <v>473.42</v>
    <v>474.51</v>
    <v>474.75</v>
    <v>478.85</v>
    <v>474.76</v>
    <v>476.63</v>
    <v>468.49</v>
    <v>467.52</v>
    <v>471.6</v>
    <v>467.54</v>
    <v>469.26</v>
    <v>469.16</v>
    <v>472.87</v>
    <v>475.61</v>
    <v>479.48</v>
    <v>475.83</v>
    <v>478.89</v>
    <v>484</v>
    <v>488.04</v>
    <v>488.64</v>
    <v>481.67</v>
    <v>476.04</v>
    <v>476.8</v>
    <v>477.95</v>
    <v>481.57</v>
    <v>478.4</v>
    <v>479.43</v>
    <v>477.42</v>
    <v>469.77</v>
    <v>477.15</v>
    <v>478.85</v>
    <v>472.16</v>
    <v>469.17</v>
    <v>468.31</v>
    <v>465.38</v>
    <v>459.79</v>
    <v>459.82</v>
    <v>460.16</v>
    <v>454.7</v>
    <v>455.39</v>
    <v>456.75</v>
    <v>462.82</v>
    <v>462.5</v>
    <v>462.11</v>
    <v>462.42</v>
    <v>457.1</v>
    <v>451.2</v>
    <v>442.07</v>
    <v>441.1</v>
    <v>443.58</v>
    <v>449.37</v>
    <v>453.06</v>
    <v>454.77</v>
    <v>455.49</v>
    <v>456.98</v>
    <v>457.76</v>
    <v>454.2</v>
    <v>458</v>
    <v>458.87</v>
    <v>460.27</v>
    <v>459.66</v>
    <v>459.1</v>
    <v>456.52</v>
    <v>451.21</v>
    <v>451.18</v>
    <v>445.08</v>
    <v>442.47</v>
    <v>442.1</v>
    <v>447.07</v>
    <v>443.19</v>
    <v>444.77</v>
    <v>446.66</v>
    <v>448.68</v>
    <v>449.79</v>
    <v>449.25</v>
    <v>449.04</v>
    <v>443</v>
    <v>445</v>
    <v>444.63</v>
    <v>448.11</v>
    <v>450.11</v>
    <v>452.51</v>
    <v>454.85</v>
    <v>456.96</v>
    <v>455.65</v>
    <v>452.38</v>
    <v>442.75</v>
    <v>441.16</v>
    <v>437.61</v>
    <v>444.65</v>
    <v>448.18</v>
    <v>449.49</v>
    <v>446.24</v>
    <v>444.7</v>
    <v>433.64</v>
    <v>436.42</v>
    <v>440.11</v>
    <v>444</v>
    <v>443.53</v>
    <v>451.16</v>
    <v>448.72</v>
    <v>443.69</v>
    <v>447.94</v>
    <v>441.72</v>
    <v>432.45</v>
    <v>429.6</v>
    <v>438.18</v>
    <v>441.3</v>
    <v>447.45</v>
    <v>463.71</v>
    <v>462.41</v>
    <v>462.02</v>
    <v>442</v>
    <v>448.3</v>
    <v>449.84</v>
    <v>455.58</v>
    <v>456.78</v>
    <v>455.69</v>
    <v>459.36</v>
    <v>460.16</v>
    <v>468.71</v>
    <v>468.88</v>
    <v>466.98</v>
    <v>469.12</v>
    <v>468</v>
    <v>468.82</v>
    <v>466.44</v>
    <v>468.64</v>
    <v>474.99</v>
    <v>471.8</v>
    <v>480.8</v>
    <v>483.34</v>
    <v>482.12</v>
    <v>483.14</v>
    <v>477.36</v>
    <v>476.12</v>
    <v>487.09</v>
    <v>488.02</v>
    <v>488.18</v>
    <v>492.11</v>
    <v>493.36</v>
    <v>497.71</v>
    <v>500.99</v>
    <v>494.76</v>
    <v>493.01</v>
    <v>492.74</v>
    <v>497.14</v>
    <v>487.41</v>
    <v>489.45</v>
    <v>491.27</v>
    <v>493.64</v>
    <v>493.8</v>
    <v>496.38</v>
    <v>495.57</v>
    <v>494.97</v>
    <v>497.7</v>
    <v>491.3</v>
    <v>497.06</v>
    <v>499.95</v>
    <v>498.02</v>
    <v>502.26</v>
    <v>506.66</v>
    <v>507.23</v>
    <v>514.07000000000005</v>
    <v>513.76</v>
    <v>516.34</v>
    <v>515.01</v>
    <v>513.02</v>
    <v>513.73</v>
    <v>510.62</v>
    <v>507.36</v>
    <v>508.21</v>
    <v>506.28</v>
    <v>513.69000000000005</v>
    <v>499.59</v>
    <v>508.08</v>
    <v>505.58</v>
    <v>505.56</v>
    <v>521.13</v>
    <v>517.88</v>
    <v>524.76</v>
    <v>530.12</v>
    <v>529.16999999999996</v>
    <v>521.88</v>
    <v>520.4</v>
    <v>521.89</v>
    <v>521.63</v>
    <v>519.46</v>
    <v>512.54</v>
    <v>515.1</v>
    <v>520.86</v>
    <v>526.6</v>
    <v>528.48</v>
    <v>532.38</v>
    <v>532.94000000000005</v>
    <v>531.36</v>
    <v>526.17999999999995</v>
    <v>521.14</v>
    <v>524.77</v>
    <v>528.57000000000005</v>
    <v>522.82000000000005</v>
    <v>529.01</v>
  </a>
  <a r="1" c="251">
    <v>463</v>
    <v>479.98</v>
    <v>469.83</v>
    <v>472.06</v>
    <v>486.12</v>
    <v>495.02</v>
    <v>489.27</v>
    <v>491.61</v>
    <v>486.76</v>
    <v>491.19</v>
    <v>491.79</v>
    <v>490.51</v>
    <v>486.88</v>
    <v>468.5</v>
    <v>470.26</v>
    <v>474.67</v>
    <v>474.06</v>
    <v>485.03</v>
    <v>482.09</v>
    <v>478.33</v>
    <v>492.23</v>
    <v>492.16</v>
    <v>481.24</v>
    <v>480.33</v>
    <v>485.31</v>
    <v>482.95</v>
    <v>485.71</v>
    <v>492.19</v>
    <v>544.87</v>
    <v>562</v>
    <v>570.41999999999996</v>
    <v>575.79</v>
    <v>562.85</v>
    <v>564.11</v>
    <v>567.51</v>
    <v>564.64</v>
    <v>562.05999999999995</v>
    <v>555.88</v>
    <v>559.29999999999995</v>
    <v>558.53</v>
    <v>561.32000000000005</v>
    <v>557.85</v>
    <v>554.52</v>
    <v>579.33000000000004</v>
    <v>593.46</v>
    <v>583.95000000000005</v>
    <v>575.13</v>
    <v>573.35</v>
    <v>588.47</v>
    <v>583.55999999999995</v>
    <v>587.65</v>
    <v>601.66999999999996</v>
    <v>596.48</v>
    <v>602.91999999999996</v>
    <v>619.34</v>
    <v>615.83000000000004</v>
    <v>598.5</v>
    <v>597.69000000000005</v>
    <v>608.51</v>
    <v>604.82000000000005</v>
    <v>600.92999999999995</v>
    <v>611.08000000000004</v>
    <v>609.45000000000005</v>
    <v>613.01</v>
    <v>605.88</v>
    <v>618.39</v>
    <v>620.74</v>
    <v>627.69000000000005</v>
    <v>622.71</v>
    <v>628.01</v>
    <v>627.46</v>
    <v>629.24</v>
    <v>613.53</v>
    <v>607.33000000000004</v>
    <v>614.30999999999995</v>
    <v>614.21</v>
    <v>630.08000000000004</v>
    <v>617.14</v>
    <v>636.17999999999995</v>
    <v>628.41</v>
    <v>618.20000000000005</v>
    <v>618.58000000000004</v>
    <v>628.78</v>
    <v>622.83000000000004</v>
    <v>607.15</v>
    <v>617.52</v>
    <v>613.69000000000005</v>
    <v>610.55999999999995</v>
    <v>555.04</v>
    <v>554.6</v>
    <v>577.75</v>
    <v>555.12</v>
    <v>564.79999999999995</v>
    <v>561.23</v>
    <v>559.49</v>
    <v>550.64</v>
    <v>551.71</v>
    <v>565.15</v>
    <v>579.34</v>
    <v>596.97</v>
    <v>606</v>
    <v>609.47</v>
    <v>612.09</v>
    <v>610.87</v>
    <v>616.59</v>
    <v>613.66</v>
    <v>613.52</v>
    <v>610.52</v>
    <v>621.1</v>
    <v>640.82000000000005</v>
    <v>650.61</v>
    <v>640.47</v>
    <v>635.66999999999996</v>
    <v>646.75</v>
    <v>649</v>
    <v>654.62</v>
    <v>647.66</v>
    <v>641.62</v>
    <v>633.79</v>
    <v>631.62</v>
    <v>650.27</v>
    <v>648.52</v>
    <v>641.47</v>
    <v>644.5</v>
    <v>648.54999999999995</v>
    <v>650.05999999999995</v>
    <v>653.26</v>
    <v>669.38</v>
    <v>675.83</v>
    <v>685.67</v>
    <v>679.03</v>
    <v>686.12</v>
    <v>669.02</v>
    <v>672.41</v>
    <v>677.69</v>
    <v>684.34</v>
    <v>674.88</v>
    <v>673.61</v>
    <v>679.58</v>
    <v>682.51</v>
    <v>690.65</v>
    <v>685.74</v>
    <v>685.74</v>
    <v>677.65</v>
    <v>652.75</v>
    <v>647.6</v>
    <v>656.45</v>
    <v>656.32</v>
    <v>647.46</v>
    <v>643.04</v>
    <v>633.34</v>
    <v>647.5</v>
    <v>642.76</v>
    <v>635.99</v>
    <v>634.09</v>
    <v>631.37</v>
    <v>626.96</v>
    <v>622.58000000000004</v>
    <v>628.35</v>
    <v>624.85</v>
    <v>613.64</v>
    <v>598.54999999999995</v>
    <v>609.57000000000005</v>
    <v>611.48</v>
    <v>630.35</v>
    <v>633.94000000000005</v>
    <v>633.14</v>
    <v>648.02</v>
    <v>661.68</v>
    <v>663.22</v>
    <v>674.07</v>
    <v>688.53</v>
    <v>698.54</v>
    <v>697.12</v>
    <v>688.96</v>
    <v>686.73</v>
    <v>688.44</v>
    <v>695.72</v>
    <v>683.84</v>
    <v>692.48</v>
    <v>701.35</v>
    <v>675.32</v>
    <v>679.68</v>
    <v>683.62</v>
    <v>665.77</v>
    <v>675.42</v>
    <v>673.62</v>
    <v>681.47</v>
    <v>686.8</v>
    <v>697.06</v>
    <v>696.5</v>
    <v>706.91</v>
    <v>690.47</v>
    <v>704.32</v>
    <v>701.03</v>
    <v>705.37</v>
    <v>722.26</v>
    <v>721.56</v>
    <v>711.43</v>
    <v>707.35</v>
    <v>709.27</v>
    <v>706.13</v>
    <v>711.09</v>
    <v>706.8</v>
    <v>719.7</v>
    <v>701.92</v>
    <v>721.76</v>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a>
  <a r="1" c="251">
    <v>248.63</v>
    <v>250.91</v>
    <v>256.24</v>
    <v>264.27</v>
    <v>260.41000000000003</v>
    <v>263.51</v>
    <v>260.25</v>
    <v>262.02</v>
    <v>260.44</v>
    <v>262.79000000000002</v>
    <v>262.10000000000002</v>
    <v>260.35000000000002</v>
    <v>260.66000000000003</v>
    <v>251.76</v>
    <v>243.91</v>
    <v>244.94</v>
    <v>249</v>
    <v>229</v>
    <v>225.76</v>
    <v>227.84</v>
    <v>222.66</v>
    <v>217.7</v>
    <v>200.52</v>
    <v>203.06</v>
    <v>211.61</v>
    <v>215.02</v>
    <v>214.93</v>
    <v>211.5</v>
    <v>214.13</v>
    <v>201.88</v>
    <v>205.47</v>
    <v>205.19</v>
    <v>200.44</v>
    <v>211.04</v>
    <v>209.81</v>
    <v>209.38</v>
    <v>206.63</v>
    <v>208.58</v>
    <v>211.92</v>
    <v>209.22</v>
    <v>209.2</v>
    <v>209.33</v>
    <v>204.46</v>
    <v>203.38</v>
    <v>205.33</v>
    <v>203.89</v>
    <v>203.37</v>
    <v>201.57</v>
    <v>201.5</v>
    <v>200.83</v>
    <v>200.54</v>
    <v>201.4</v>
    <v>207</v>
    <v>203.72</v>
    <v>200</v>
    <v>200.54</v>
    <v>201.14</v>
    <v>201</v>
    <v>203.03</v>
    <v>198.49</v>
    <v>192.49</v>
    <v>184.24</v>
    <v>182.35</v>
    <v>181.15</v>
    <v>182.53</v>
    <v>179.84</v>
    <v>181.14</v>
    <v>187.78</v>
    <v>187.7</v>
    <v>188.85</v>
    <v>191.41</v>
    <v>187.5</v>
    <v>191.95</v>
    <v>192.99</v>
    <v>189.5</v>
    <v>188.04</v>
    <v>184.92</v>
    <v>183.29</v>
    <v>183.14</v>
    <v>181.56</v>
    <v>178.12</v>
    <v>174.63</v>
    <v>173.36</v>
    <v>169.55</v>
    <v>167.82</v>
    <v>170.55</v>
    <v>170.21</v>
    <v>170.23</v>
    <v>169.82</v>
    <v>170.48</v>
    <v>169.18</v>
    <v>164.33</v>
    <v>166.81</v>
    <v>167.22</v>
    <v>173.49</v>
    <v>167.84</v>
    <v>171.46</v>
    <v>178.85</v>
    <v>179.79</v>
    <v>178.35</v>
    <v>176.71</v>
    <v>180.35</v>
    <v>181.25</v>
    <v>178.51</v>
    <v>178.44</v>
    <v>180.76</v>
    <v>176.99</v>
    <v>182.96</v>
    <v>184.95</v>
    <v>186.61</v>
    <v>184.78</v>
    <v>186.28</v>
    <v>172.21</v>
    <v>174.52</v>
    <v>175.08</v>
    <v>171.65</v>
    <v>172.75</v>
    <v>177.61</v>
    <v>184.57</v>
    <v>188.62</v>
    <v>189.85</v>
    <v>191.42</v>
    <v>190.24</v>
    <v>190.12</v>
    <v>185.5</v>
    <v>182.67</v>
    <v>180.7</v>
    <v>177.27</v>
    <v>178.39</v>
    <v>174.99</v>
    <v>176.3</v>
    <v>176.56</v>
    <v>179.1</v>
    <v>175.1</v>
    <v>178.5</v>
    <v>182.51</v>
    <v>182.01</v>
    <v>186.7</v>
    <v>185.42</v>
    <v>184.31</v>
    <v>184.83</v>
    <v>185.84</v>
    <v>183.24</v>
    <v>183.73</v>
    <v>183.91</v>
    <v>182.31</v>
    <v>179.11</v>
    <v>186.05</v>
    <v>184.84</v>
    <v>180.23</v>
    <v>179.67</v>
    <v>178.9</v>
    <v>186.48</v>
    <v>180.07</v>
    <v>184.35</v>
    <v>186.89</v>
    <v>185.43</v>
    <v>186.86</v>
    <v>190.6</v>
    <v>178.31</v>
    <v>169.95</v>
    <v>167.03</v>
    <v>165.04</v>
    <v>163.24</v>
    <v>168.87</v>
    <v>167.91</v>
    <v>164.13</v>
    <v>168.76</v>
    <v>168.5</v>
    <v>176.41</v>
    <v>179.99</v>
    <v>179.64</v>
    <v>172.1</v>
    <v>173.43</v>
    <v>172.76</v>
    <v>174.96</v>
    <v>173.48</v>
    <v>173.05</v>
    <v>170.71</v>
    <v>172.26</v>
    <v>173.74</v>
    <v>161.02000000000001</v>
    <v>163.22</v>
    <v>162.15</v>
    <v>157.62</v>
    <v>162.91</v>
    <v>160.07</v>
    <v>161.33000000000001</v>
    <v>162.77000000000001</v>
    <v>156.77000000000001</v>
    <v>155.55000000000001</v>
    <v>156.38999999999999</v>
    <v>155.11000000000001</v>
    <v>154.59</v>
    <v>153.29</v>
    <v>156.30000000000001</v>
    <v>155.81</v>
    <v>152.22</v>
    <v>154.58000000000001</v>
    <v>156.32</v>
    <v>152.04</v>
    <v>154.22</v>
    <v>152.88999999999999</v>
    <v>150.52000000000001</v>
    <v>155</v>
    <v>155.91</v>
    <v>154.65</v>
    <v>149.37</v>
    <v>146.62</v>
    <v>151.02000000000001</v>
    <v>148.99</v>
    <v>152.35</v>
    <v>154.9</v>
    <v>155.31</v>
    <v>155</v>
    <v>159.82</v>
    <v>159.88</v>
    <v>157.06</v>
    <v>155.19999999999999</v>
    <v>155.01</v>
    <v>150.69</v>
    <v>152.97999999999999</v>
    <v>154.29</v>
    <v>149.31</v>
    <v>154.59</v>
    <v>155.07</v>
    <v>151</v>
    <v>147.16</v>
    <v>150.97999999999999</v>
    <v>151.68</v>
    <v>148.96</v>
    <v>145.16999999999999</v>
    <v>139.97</v>
    <v>138.13999999999999</v>
    <v>140.19</v>
    <v>143.87</v>
    <v>145.6</v>
    <v>146.08000000000001</v>
    <v>143.41</v>
    <v>149.29</v>
    <v>153.1</v>
    <v>150.76</v>
    <v>152.4</v>
    <v>155.44</v>
    <v>156.54</v>
    <v>155</v>
    <v>158.28</v>
    <v>156.66999999999999</v>
    <v>153.93</v>
    <v>157.04</v>
    <v>164.1</v>
  </a>
</arrayData>
</file>

<file path=xl/richData/rdrichvalue.xml><?xml version="1.0" encoding="utf-8"?>
<rvData xmlns="http://schemas.microsoft.com/office/spreadsheetml/2017/richdata" count="12164">
  <rv s="0">
    <v>http://en.wikipedia.org/wiki/Public_domain</v>
    <v>Public domain</v>
  </rv>
  <rv s="0">
    <v>http://es.wikipedia.org/wiki/Adobe_(empresa)</v>
    <v>Wikipedia</v>
  </rv>
  <rv s="1">
    <v>0</v>
    <v>1</v>
  </rv>
  <rv s="2">
    <v>6</v>
    <v>https://www.bing.com/th?id=AMMS_503c684ccc667ad525fe1d703881df2c&amp;qlt=95</v>
    <v>2</v>
    <v>0</v>
    <v>https://www.bing.com/images/search?form=xlimg&amp;q=adobe+systems</v>
    <v>Image of ADOBE INC.</v>
  </rv>
  <rv s="0">
    <v>https://www.bing.com/financeapi/forcetrigger?t=a1mv7w&amp;q=XNAS%3aADBE&amp;form=skydnc</v>
    <v>Learn more on Bing</v>
  </rv>
  <rv s="3">
    <v>0</v>
    <v>ADOBE INC. (XNAS:ADBE)</v>
    <v>3</v>
    <v>4</v>
    <v>Finance</v>
    <v>5</v>
    <v>en-US</v>
    <v>a1mv7w</v>
    <v>268435456</v>
    <v>1</v>
    <v>Powered by Refinitiv</v>
    <v>638.25</v>
    <v>433.97</v>
    <v>1.2847</v>
    <v>2.4900000000000002</v>
    <v>4.5519999999999996E-3</v>
    <v>USD</v>
    <v>Adobe Inc is a United States-based global technology company. The Company's products, services and solutions are used around the world to imagine, create, manage, deliver, measure, optimize and engage with content across surfaces and fuel digital experiences. Its segments include digital media, digital experience, and publishing and advertising. The digital media segment is centered around Adobe Creative Cloud and Adobe Document Cloud, which include Adobe Express, Adobe Firefly, Photoshop and other products, offering a variety of tools for creative professionals, communicators and other consumers. The digital experience segment provides an integrated platform and set of products, services and solutions through Adobe Experience Cloud. The publishing and advertising segment contains legacy products and services. In addition, its Adobe GenStudio solution allows businesses to simplify their content supply chain process with generative artificial intelligence (AI) capabilities.</v>
    <v>29945</v>
    <v>Nasdaq Stock Market</v>
    <v>XNAS</v>
    <v>XNAS</v>
    <v>345 Park Avenue, SAN JOSE, CA, 95110-2704 US</v>
    <v>552.29999999999995</v>
    <v>3</v>
    <v>Software &amp; IT Services</v>
    <v>Stock</v>
    <v>45637.87305293906</v>
    <v>4</v>
    <v>541.79</v>
    <v>241907507999</v>
    <v>ADOBE INC.</v>
    <v>ADOBE INC.</v>
    <v>547.04999999999995</v>
    <v>46.197499999999998</v>
    <v>547.04999999999995</v>
    <v>549.54</v>
    <v>440200000</v>
    <v>ADBE</v>
    <v>ADOBE INC. (XNAS:ADBE)</v>
    <v>3355050</v>
    <v>2726914</v>
    <v>1997</v>
  </rv>
  <rv s="4">
    <v>5</v>
  </rv>
  <rv s="0">
    <v>https://www.bing.com/financeapi/forcetrigger?t=a1ndww&amp;q=XNAS%3aAMD&amp;form=skydnc</v>
    <v>Learn more on Bing</v>
  </rv>
  <rv s="5">
    <v>7</v>
    <v>ADVANCED MICRO DEVICES, INC. (XNAS:AMD)</v>
    <v>8</v>
    <v>9</v>
    <v>Finance</v>
    <v>5</v>
    <v>en-US</v>
    <v>a1ndww</v>
    <v>268435456</v>
    <v>1</v>
    <v>Powered by Refinitiv</v>
    <v>227.3</v>
    <v>121.825</v>
    <v>1.6415999999999999</v>
    <v>2.39</v>
    <v>1.8710000000000001E-2</v>
    <v>USD</v>
    <v>Advanced Micro Devices, Inc. is a global semiconductor company. It is focused on high-performance computing, graphics and visualization technologies. It operates in four segments. The Data Center segment includes server central processing units (CPUs), graphics processing units (GPUs), accelerated processing units (APUs), data processing units (DPUs), field programmable gate arrays (FPGAs), smart network interface cards (SmartNICs), artificial intelligence (AI) accelerators and adaptive system-on-chip (SoC) products for data centers. The Client segment includes CPUs, APUs, and chipsets for desktop, notebook and handheld personal computers. Gaming segment includes discrete GPUs, semi-custom SoC products and development services. Embedded segment includes embedded CPUs, GPUs, APUs, FPGAs, system on modules (SOMs), and adaptive SoC products. Its products include AMD Ryzen AI, Radeon PRO and AMD Advantage Premium. It also accelerates development and deployment of AI Models on its hardware.</v>
    <v>26000</v>
    <v>Nasdaq Stock Market</v>
    <v>XNAS</v>
    <v>XNAS</v>
    <v>2485 Augustine Drive, SANTA CLARA, CA, 95054 US</v>
    <v>131.21</v>
    <v>Semiconductors &amp; Semiconductor Equipment</v>
    <v>Stock</v>
    <v>45637.873028113281</v>
    <v>7</v>
    <v>126.2201</v>
    <v>211175874910</v>
    <v>ADVANCED MICRO DEVICES, INC.</v>
    <v>ADVANCED MICRO DEVICES, INC.</v>
    <v>128.5</v>
    <v>114.1902</v>
    <v>127.74</v>
    <v>130.13</v>
    <v>1622807000</v>
    <v>AMD</v>
    <v>ADVANCED MICRO DEVICES, INC. (XNAS:AMD)</v>
    <v>38720297</v>
    <v>31371843</v>
    <v>1969</v>
  </rv>
  <rv s="4">
    <v>8</v>
  </rv>
  <rv s="0">
    <v>https://www.bing.com/financeapi/forcetrigger?t=a1u3p2&amp;q=XNAS%3aGOOG&amp;form=skydnc</v>
    <v>Learn more on Bing</v>
  </rv>
  <rv s="5">
    <v>7</v>
    <v>ALPHABET INC. (XNAS:GOOG)</v>
    <v>8</v>
    <v>9</v>
    <v>Finance</v>
    <v>5</v>
    <v>en-US</v>
    <v>a1u3p2</v>
    <v>268435456</v>
    <v>1</v>
    <v>Powered by Refinitiv</v>
    <v>196.75</v>
    <v>131.06</v>
    <v>1.0117</v>
    <v>10.195</v>
    <v>5.4656000000000003E-2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cybersecurity, databases, analytics, and artificial intelligence (AI) offerings, including its AI infrastructure, Vertex AI platform, and Duet AI for Google Cloud. Google Workspace includes cloud-based communication and collaboration tools for enterprises, such as Calendar, Gmail, Docs, Drive, Meet and other enterprise services.</v>
    <v>181269</v>
    <v>Nasdaq Stock Market</v>
    <v>XNAS</v>
    <v>XNAS</v>
    <v>1600 Amphitheatre Parkway, MOUNTAIN VIEW, CA, 94043 US</v>
    <v>196.75</v>
    <v>Software &amp; IT Services</v>
    <v>Stock</v>
    <v>45637.873042985935</v>
    <v>10</v>
    <v>186.26</v>
    <v>2274192000000</v>
    <v>ALPHABET INC.</v>
    <v>ALPHABET INC.</v>
    <v>186.79</v>
    <v>24.730799999999999</v>
    <v>186.53</v>
    <v>196.72499999999999</v>
    <v>12241000000</v>
    <v>GOOG</v>
    <v>ALPHABET INC. (XNAS:GOOG)</v>
    <v>35528837</v>
    <v>18277288</v>
    <v>2015</v>
  </rv>
  <rv s="4">
    <v>11</v>
  </rv>
  <rv s="0">
    <v>https://www.bing.com/financeapi/forcetrigger?t=a1u3rw&amp;q=XNAS%3aGOOGL&amp;form=skydnc</v>
    <v>Learn more on Bing</v>
  </rv>
  <rv s="5">
    <v>7</v>
    <v>ALPHABET INC. (XNAS:GOOGL)</v>
    <v>8</v>
    <v>9</v>
    <v>Finance</v>
    <v>5</v>
    <v>en-US</v>
    <v>a1u3rw</v>
    <v>268435456</v>
    <v>1</v>
    <v>Powered by Refinitiv</v>
    <v>195.48</v>
    <v>129.685</v>
    <v>1.0117</v>
    <v>10.282500000000001</v>
    <v>5.5529999999999996E-2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cybersecurity, databases, analytics, and artificial intelligence (AI) offerings, including its AI infrastructure, Vertex AI platform, and Duet AI for Google Cloud. Google Workspace includes cloud-based communication and collaboration tools for enterprises, such as Calendar, Gmail, Docs, Drive, Meet and other enterprise services.</v>
    <v>181269</v>
    <v>Nasdaq Stock Market</v>
    <v>XNAS</v>
    <v>XNAS</v>
    <v>1600 Amphitheatre Parkway, MOUNTAIN VIEW, CA, 94043 US</v>
    <v>195.48</v>
    <v>Software &amp; IT Services</v>
    <v>Stock</v>
    <v>45637.873033414064</v>
    <v>13</v>
    <v>184.86</v>
    <v>2274192000000</v>
    <v>ALPHABET INC.</v>
    <v>ALPHABET INC.</v>
    <v>185.25</v>
    <v>24.558</v>
    <v>185.17</v>
    <v>195.45249999999999</v>
    <v>12241000000</v>
    <v>GOOGL</v>
    <v>ALPHABET INC. (XNAS:GOOGL)</v>
    <v>56266454</v>
    <v>27095026</v>
    <v>2015</v>
  </rv>
  <rv s="4">
    <v>14</v>
  </rv>
  <rv s="0">
    <v>https://www.bing.com/financeapi/forcetrigger?t=a1nhlh&amp;q=XNAS%3aAMZN&amp;form=skydnc</v>
    <v>Learn more on Bing</v>
  </rv>
  <rv s="5">
    <v>7</v>
    <v>AMAZON.COM, INC. (XNAS:AMZN)</v>
    <v>8</v>
    <v>9</v>
    <v>Finance</v>
    <v>5</v>
    <v>en-US</v>
    <v>a1nhlh</v>
    <v>268435456</v>
    <v>1</v>
    <v>Powered by Refinitiv</v>
    <v>231.2</v>
    <v>143.63999999999999</v>
    <v>1.1592</v>
    <v>5.0549999999999997</v>
    <v>2.2463E-2</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manufactures and sells electronic devices, including Kindle, Fire tablet, Fire TV, Echo, Ring, Blink, and eero, and it develops and produces media content. It serves developers and enterprises of all sizes, including start-ups, government agencies, and academic institutions, through AWS, which offers a broad set of on-demand technology services, including compute, storage, database, analytics, and machine learning, and other services.</v>
    <v>1551000</v>
    <v>Nasdaq Stock Market</v>
    <v>XNAS</v>
    <v>XNAS</v>
    <v>410 Terry Ave N, SEATTLE, WA, 98109 US</v>
    <v>231.2</v>
    <v>Diversified Retail</v>
    <v>Stock</v>
    <v>45637.87304881875</v>
    <v>16</v>
    <v>226.26</v>
    <v>2419451225950</v>
    <v>AMAZON.COM, INC.</v>
    <v>AMAZON.COM, INC.</v>
    <v>226.42</v>
    <v>48.230600000000003</v>
    <v>225.04</v>
    <v>230.095</v>
    <v>10515010000</v>
    <v>AMZN</v>
    <v>AMAZON.COM, INC. (XNAS:AMZN)</v>
    <v>25956325</v>
    <v>42063178</v>
    <v>1996</v>
  </rv>
  <rv s="4">
    <v>17</v>
  </rv>
  <rv s="0">
    <v>https://www.bing.com/financeapi/forcetrigger?t=a1mou2&amp;q=XNAS%3aAAPL&amp;form=skydnc</v>
    <v>Learn more on Bing</v>
  </rv>
  <rv s="5">
    <v>7</v>
    <v>APPLE INC. (XNAS:AAPL)</v>
    <v>8</v>
    <v>9</v>
    <v>Finance</v>
    <v>5</v>
    <v>en-US</v>
    <v>a1mou2</v>
    <v>268435456</v>
    <v>1</v>
    <v>Powered by Refinitiv</v>
    <v>250.8</v>
    <v>164.07499999999999</v>
    <v>1.2209000000000001</v>
    <v>-1.28</v>
    <v>-5.1659999999999996E-3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250.8</v>
    <v>Computers, Phones &amp; Household Electronics</v>
    <v>Stock</v>
    <v>45637.873055601565</v>
    <v>19</v>
    <v>246.46</v>
    <v>3725898471800</v>
    <v>APPLE INC.</v>
    <v>APPLE INC.</v>
    <v>247.78</v>
    <v>40.819299999999998</v>
    <v>247.77</v>
    <v>246.49</v>
    <v>15115820000</v>
    <v>AAPL</v>
    <v>APPLE INC. (XNAS:AAPL)</v>
    <v>29871345</v>
    <v>42850804</v>
    <v>1977</v>
  </rv>
  <rv s="4">
    <v>20</v>
  </rv>
  <rv s="0">
    <v>https://www.bing.com/financeapi/forcetrigger?t=a23www&amp;q=XNYS%3aT&amp;form=skydnc</v>
    <v>Learn more on Bing</v>
  </rv>
  <rv s="5">
    <v>7</v>
    <v>AT&amp;T INC. (XNYS:T)</v>
    <v>8</v>
    <v>9</v>
    <v>Finance</v>
    <v>5</v>
    <v>en-US</v>
    <v>a23www</v>
    <v>268435456</v>
    <v>1</v>
    <v>Powered by Refinitiv</v>
    <v>24.03</v>
    <v>15.940099999999999</v>
    <v>0.56999999999999995</v>
    <v>-0.02</v>
    <v>-8.5070000000000002E-4</v>
    <v>USD</v>
    <v>AT&amp;T Inc. is a holding company. The Company is a provider of telecommunications and technology services globally. The Company operates through two segments: Communications and Latin America. The Communications segment provides wireless and wireline telecom and broadband services to consumers located in the United States and businesses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provides legacy telephony voice communication services. The Latin America segment provides wireless services and equipment in Mexico.</v>
    <v>143630</v>
    <v>New York Stock Exchange</v>
    <v>XNYS</v>
    <v>XNYS</v>
    <v>208 S. Akard St, DALLAS, TX, 75202 US</v>
    <v>23.539899999999999</v>
    <v>Telecommunications Services</v>
    <v>Stock</v>
    <v>45637.873019003906</v>
    <v>22</v>
    <v>23.14</v>
    <v>168547538610</v>
    <v>AT&amp;T INC.</v>
    <v>AT&amp;T INC.</v>
    <v>23.39</v>
    <v>19.136700000000001</v>
    <v>23.51</v>
    <v>23.49</v>
    <v>7175289000</v>
    <v>T</v>
    <v>AT&amp;T INC. (XNYS:T)</v>
    <v>21818659</v>
    <v>34211294</v>
    <v>1983</v>
  </rv>
  <rv s="4">
    <v>23</v>
  </rv>
  <rv s="0">
    <v>https://www.bing.com/financeapi/forcetrigger?t=a1o4sm&amp;q=XNYS%3aBAC&amp;form=skydnc</v>
    <v>Learn more on Bing</v>
  </rv>
  <rv s="5">
    <v>7</v>
    <v>BANK OF AMERICA CORPORATION (XNYS:BAC)</v>
    <v>8</v>
    <v>9</v>
    <v>Finance</v>
    <v>5</v>
    <v>en-US</v>
    <v>a1o4sm</v>
    <v>268435456</v>
    <v>1</v>
    <v>Powered by Refinitiv</v>
    <v>48.08</v>
    <v>30.45</v>
    <v>1.339</v>
    <v>0.24</v>
    <v>5.2459999999999998E-3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46.155000000000001</v>
    <v>Banking Services</v>
    <v>Stock</v>
    <v>45637.873060092184</v>
    <v>25</v>
    <v>45.47</v>
    <v>352875705210</v>
    <v>BANK OF AMERICA CORPORATION</v>
    <v>BANK OF AMERICA CORPORATION</v>
    <v>45.98</v>
    <v>16.114799999999999</v>
    <v>45.75</v>
    <v>45.99</v>
    <v>7672879000</v>
    <v>BAC</v>
    <v>BANK OF AMERICA CORPORATION (XNYS:BAC)</v>
    <v>24791727</v>
    <v>37751677</v>
    <v>1998</v>
  </rv>
  <rv s="4">
    <v>26</v>
  </rv>
  <rv s="0">
    <v>https://www.bing.com/financeapi/forcetrigger?t=a1otrw&amp;q=XNYS%3aBRK.B&amp;form=skydnc</v>
    <v>Learn more on Bing</v>
  </rv>
  <rv s="5">
    <v>7</v>
    <v>BERKSHIRE HATHAWAY INC. (XNYS:BRK.B)</v>
    <v>8</v>
    <v>9</v>
    <v>Finance</v>
    <v>5</v>
    <v>en-US</v>
    <v>a1otrw</v>
    <v>268435456</v>
    <v>1</v>
    <v>Powered by Refinitiv</v>
    <v>491.67</v>
    <v>353.63</v>
    <v>0.87790000000000001</v>
    <v>-0.93</v>
    <v>-2.0110000000000002E-3</v>
    <v>USD</v>
    <v>Berkshire Hathaway Inc. and its subsidiaries are engaged in diverse business activities, including insurance and reinsurance, utilities and energy, freight rail transportation, manufacturing, services and retailing. The Company’s segments include Insurance; Railroad (BNSF); Berkshire Hathaway Energy (BHE); Pilot Travel Centers (Pilot); Manufacturing; McLane Company (McLane), and Service and retailing. The Insurance segment includes GEICO, Berkshire Hathaway Primary Group and Berkshire Hathaway Reinsurance Group. The BNSF segment includes operation of railroad systems in North America through Burlington Northern Santa Fe, LLC. The BHE segment offers regulated electric and gas utilities. The Manufacturing segment manufacturers various products, including industrial, consumer and building products. The McLane segment is engaged in wholesale distribution of groceries and non-food items. The Pilot segment is an operator of travel centers in North America and a marketer of wholesale fuel.</v>
    <v>396500</v>
    <v>New York Stock Exchange</v>
    <v>XNYS</v>
    <v>XNYS</v>
    <v>3555 Farnam Street, OMAHA, NE, 68131 US</v>
    <v>465.48</v>
    <v>Consumer Goods Conglomerates</v>
    <v>Stock</v>
    <v>45637.873035844532</v>
    <v>28</v>
    <v>458.77</v>
    <v>997807500000</v>
    <v>BERKSHIRE HATHAWAY INC.</v>
    <v>BERKSHIRE HATHAWAY INC.</v>
    <v>463.59</v>
    <v>9.3431999999999995</v>
    <v>462.49</v>
    <v>461.56</v>
    <v>1437610</v>
    <v>BRK.B</v>
    <v>BERKSHIRE HATHAWAY INC. (XNYS:BRK.B)</v>
    <v>2616168</v>
    <v>4066098</v>
    <v>1998</v>
  </rv>
  <rv s="4">
    <v>29</v>
  </rv>
  <rv s="0">
    <v>https://www.bing.com/financeapi/forcetrigger?t=a23i8m&amp;q=XNYS%3aSQ&amp;form=skydnc</v>
    <v>Learn more on Bing</v>
  </rv>
  <rv s="5">
    <v>7</v>
    <v>BLOCK, INC. (XNYS:SQ)</v>
    <v>8</v>
    <v>9</v>
    <v>Finance</v>
    <v>5</v>
    <v>en-US</v>
    <v>a23i8m</v>
    <v>268435456</v>
    <v>1</v>
    <v>Powered by Refinitiv</v>
    <v>99.26</v>
    <v>55</v>
    <v>2.5099999999999998</v>
    <v>4.28</v>
    <v>4.5513000000000005E-2</v>
    <v>USD</v>
    <v>Block, Inc. is focused on creating ecosystems for distinct customer audiences. The Company operates through two segments: Square and Cash App. Square segment includes managed payment services, software solutions, hardware, and financial services offered to sellers, excluding those that involve Cash App. Square is a cohesive commerce ecosystem that helps sellers start, run, and grow their businesses, including enabling sellers to accept card payments, provide reporting and analytics, and facilitating next-day settlement. Cash App segment includes the financial tools available to individuals within the mobile Cash App, including peer-to-peer payments, bitcoin and stock investments. Cash App also includes Cash App Card, which is linked to customer stored balances that customers can use to pay for purchases or withdraw funds from an ATM. Cash App also includes the BNPL platform. Its bitcoin ecosystem includes TBD, which is an open developer platform.</v>
    <v>12985</v>
    <v>New York Stock Exchange</v>
    <v>XNYS</v>
    <v>XNYS</v>
    <v>1955 Broadway, Suite 600, OAKLAND, CA, 94612 US</v>
    <v>98.99</v>
    <v>Professional &amp; Commercial Services</v>
    <v>Stock</v>
    <v>45637.873036284378</v>
    <v>31</v>
    <v>95.51</v>
    <v>60940112479</v>
    <v>BLOCK, INC.</v>
    <v>BLOCK, INC.</v>
    <v>95.78</v>
    <v>52.938499999999998</v>
    <v>94.04</v>
    <v>98.32</v>
    <v>619814000</v>
    <v>SQ</v>
    <v>BLOCK, INC. (XNYS:SQ)</v>
    <v>6593073</v>
    <v>11392301</v>
    <v>2009</v>
  </rv>
  <rv s="4">
    <v>32</v>
  </rv>
  <rv s="0">
    <v>https://www.bing.com/financeapi/forcetrigger?t=a1qlz2&amp;q=XNYS%3aCVX&amp;form=skydnc</v>
    <v>Learn more on Bing</v>
  </rv>
  <rv s="5">
    <v>7</v>
    <v>CHEVRON CORPORATION (XNYS:CVX)</v>
    <v>8</v>
    <v>9</v>
    <v>Finance</v>
    <v>5</v>
    <v>en-US</v>
    <v>a1qlz2</v>
    <v>268435456</v>
    <v>1</v>
    <v>Powered by Refinitiv</v>
    <v>167.11</v>
    <v>135.3672</v>
    <v>1.0908</v>
    <v>-0.71</v>
    <v>-4.522E-3</v>
    <v>USD</v>
    <v>Chevron Corporation is an integrated energy company. The Company produces crude oil and natural gas; manufactures transportation fuels, lubricants, petrochemicals and additives; and develops technologies that enhance its business and the industry. The Company’s upstream operations consist primarily of exploring for, developing, producing and transporting crude oil and natural gas; liquefaction, transportation and regasification associated with liquefied natural gas (LNG); transporting crude oil by major international oil export pipelines; processing, transporting, storage and marketing of natural gas; carbon capture and storage; and a gas-to-liquids plant. The Company’s downstream operations consist primarily of refining of crude oil into petroleum products; marketing of crude oil, refined products, and lubricants; manufacturing and marketing of renewable fuels; transporting of crude oil and refined products by pipeline, marine vessel, motor equipment and rail car; and others.</v>
    <v>45600</v>
    <v>New York Stock Exchange</v>
    <v>XNYS</v>
    <v>XNYS</v>
    <v>5001 EXECUTIVE PARKWAY, SUITE 200, SAN RAMON, CA, 94583 US</v>
    <v>157.16999999999999</v>
    <v>Oil &amp; Gas</v>
    <v>Stock</v>
    <v>45637.873054166404</v>
    <v>34</v>
    <v>155.81</v>
    <v>280867352390</v>
    <v>CHEVRON CORPORATION</v>
    <v>CHEVRON CORPORATION</v>
    <v>156.86000000000001</v>
    <v>17.278300000000002</v>
    <v>157</v>
    <v>156.29</v>
    <v>1797091000</v>
    <v>CVX</v>
    <v>CHEVRON CORPORATION (XNYS:CVX)</v>
    <v>6247957</v>
    <v>7647741</v>
    <v>1926</v>
  </rv>
  <rv s="4">
    <v>35</v>
  </rv>
  <rv s="0">
    <v>https://www.bing.com/financeapi/forcetrigger?t=a1qe5r&amp;q=XNAS%3aCSCO&amp;form=skydnc</v>
    <v>Learn more on Bing</v>
  </rv>
  <rv s="5">
    <v>7</v>
    <v>CISCO SYSTEMS, INC. (XNAS:CSCO)</v>
    <v>8</v>
    <v>9</v>
    <v>Finance</v>
    <v>5</v>
    <v>en-US</v>
    <v>a1qe5r</v>
    <v>268435456</v>
    <v>1</v>
    <v>Powered by Refinitiv</v>
    <v>60.23</v>
    <v>44.5</v>
    <v>0.83509999999999995</v>
    <v>-0.2</v>
    <v>-3.4060000000000002E-3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90400</v>
    <v>Nasdaq Stock Market</v>
    <v>XNAS</v>
    <v>XNAS</v>
    <v>170 West Tasman Dr, SAN JOSE, CA, 95134-1706 US</v>
    <v>58.96</v>
    <v>Communications &amp; Networking</v>
    <v>Stock</v>
    <v>45637.873032974217</v>
    <v>37</v>
    <v>58.31</v>
    <v>233070998160</v>
    <v>CISCO SYSTEMS, INC.</v>
    <v>CISCO SYSTEMS, INC.</v>
    <v>58.96</v>
    <v>25.174399999999999</v>
    <v>58.72</v>
    <v>58.52</v>
    <v>3982758000</v>
    <v>CSCO</v>
    <v>CISCO SYSTEMS, INC. (XNAS:CSCO)</v>
    <v>9148181</v>
    <v>19471202</v>
    <v>2021</v>
  </rv>
  <rv s="4">
    <v>38</v>
  </rv>
  <rv s="0">
    <v>https://www.bing.com/financeapi/forcetrigger?t=a1p3ww&amp;q=XNYS%3aC&amp;form=skydnc</v>
    <v>Learn more on Bing</v>
  </rv>
  <rv s="5">
    <v>7</v>
    <v>CITIGROUP INC. (XNYS:C)</v>
    <v>8</v>
    <v>9</v>
    <v>Finance</v>
    <v>5</v>
    <v>en-US</v>
    <v>a1p3ww</v>
    <v>268435456</v>
    <v>1</v>
    <v>Powered by Refinitiv</v>
    <v>73.38</v>
    <v>47.71</v>
    <v>1.4287000000000001</v>
    <v>-0.76</v>
    <v>-1.0482999999999999E-2</v>
    <v>USD</v>
    <v>Citigroup Inc. is a diversified financial services holding company. Its segments include Services, Markets, Banking, U.S. Personal Banking (USPB) and Wealth. Services segment includes treasury and trade solutions (TTS) and securities services. TTS provides an integrated suite of tailored cash management, trade and working capital solutions to multinational corporations, financial institutions and public sector organizations. Markets segment provides corporate, institutional and public sector clients around the world with a full range of sales and trading services across equities, foreign exchange, rates, spread products and commodities. Banking segment includes investment banking, which supports client capital-raising needs to help strengthen and grow their businesses. USPB segment includes branded cards and retail services, which have proprietary card portfolios and co-branded card portfolios. Wealth includes private bank, wealth at work and Citigold and provides financial services.</v>
    <v>229000</v>
    <v>New York Stock Exchange</v>
    <v>XNYS</v>
    <v>XNYS</v>
    <v>388 Greenwich Street, 17th Floor, NEW YORK, NY, 10013 US</v>
    <v>73.260000000000005</v>
    <v>Investment Banking &amp; Investment Services</v>
    <v>Stock</v>
    <v>45637.873032928124</v>
    <v>40</v>
    <v>71.27</v>
    <v>135679351099</v>
    <v>CITIGROUP INC.</v>
    <v>CITIGROUP INC.</v>
    <v>73.150000000000006</v>
    <v>20.9544</v>
    <v>72.5</v>
    <v>71.739999999999995</v>
    <v>1891265000</v>
    <v>C</v>
    <v>CITIGROUP INC. (XNYS:C)</v>
    <v>13293090</v>
    <v>14869757</v>
    <v>1988</v>
  </rv>
  <rv s="4">
    <v>41</v>
  </rv>
  <rv s="0">
    <v>https://www.bing.com/financeapi/forcetrigger?t=a1q6k2&amp;q=XNAS%3aCOST&amp;form=skydnc</v>
    <v>Learn more on Bing</v>
  </rv>
  <rv s="5">
    <v>7</v>
    <v>COSTCO WHOLESALE CORPORATION (XNAS:COST)</v>
    <v>8</v>
    <v>9</v>
    <v>Finance</v>
    <v>5</v>
    <v>en-US</v>
    <v>a1q6k2</v>
    <v>268435456</v>
    <v>1</v>
    <v>Powered by Refinitiv</v>
    <v>1007.8</v>
    <v>605.00199999999995</v>
    <v>0.82289999999999996</v>
    <v>0.71</v>
    <v>7.1470000000000008E-4</v>
    <v>USD</v>
    <v>Costco Wholesale Corporation (Costco) operates membership warehouses and e-commerce sites that offer a selection of nationally branded and private-label products in a wide range of categories. The Company buys the majority of its merchandise directly from suppliers and route it to cross-docking consolidation points (depots) or directly to its warehouses. It operates 891 warehouses, including 614 in the United States and Puerto Rico, 108 in Canada, 40 in Mexico, 35 in Japan, 29 in the United Kingdom, 19 in Korea, 15 in Australia, 14 in Taiwan, seven in China, five in Spain, two in France, and one each in Iceland, New Zealand and Sweden. It also operates e-commerce sites in the United States, Canada, the United Kingdom, Mexico, Korea, Taiwan, Japan and Australia. The Company provides wide selection of merchandise, plus the convenience of specialty departments and exclusive member services.</v>
    <v>333000</v>
    <v>Nasdaq Stock Market</v>
    <v>XNAS</v>
    <v>XNAS</v>
    <v>999 Lake Dr, ISSAQUAH, WA, 98027- US</v>
    <v>1007.8</v>
    <v>Diversified Retail</v>
    <v>Stock</v>
    <v>45637.87305929375</v>
    <v>43</v>
    <v>993.59</v>
    <v>440463797085</v>
    <v>COSTCO WHOLESALE CORPORATION</v>
    <v>COSTCO WHOLESALE CORPORATION</v>
    <v>995</v>
    <v>59.973300000000002</v>
    <v>993.4</v>
    <v>994.11</v>
    <v>443073500</v>
    <v>COST</v>
    <v>COSTCO WHOLESALE CORPORATION (XNAS:COST)</v>
    <v>1302934</v>
    <v>1939629</v>
    <v>1987</v>
  </rv>
  <rv s="4">
    <v>44</v>
  </rv>
  <rv s="0">
    <v>https://www.bing.com/financeapi/forcetrigger?t=a269ec&amp;q=XNYS%3aXOM&amp;form=skydnc</v>
    <v>Learn more on Bing</v>
  </rv>
  <rv s="5">
    <v>7</v>
    <v>EXXON MOBIL CORPORATION (XNYS:XOM)</v>
    <v>8</v>
    <v>9</v>
    <v>Finance</v>
    <v>5</v>
    <v>en-US</v>
    <v>a269ec</v>
    <v>268435456</v>
    <v>1</v>
    <v>Powered by Refinitiv</v>
    <v>126.34</v>
    <v>95.77</v>
    <v>0.87439999999999996</v>
    <v>-0.99</v>
    <v>-8.7869999999999997E-3</v>
    <v>USD</v>
    <v>Exxon Mobil Corporation is an international energy and petrochemical company. Its primary businesses include exploration for, and production of, crude oil and natural gas; manufacturing, transport and sale of crude oil, natural gas, petroleum products, petrochemicals, and a variety of specialty products; and pursuit of lower-emission business opportunities including carbon capture and storage, hydrogen, lower-emission fuels and lithium. The Upstream segment explores for and produces crude oil and natural gas. The Energy Products, Chemical Products and Specialty Products segments manufacture and sell petroleum products and petrochemicals. Energy Products include fuels, aromatics, and catalysts and licensing. Its Chemical Products consist of olefins, polyolefins, and intermediates. Its Specialty Products include finished lubricants, synthetics, and elastomers and resins. It also focuses on net-zero greenhouse gas emissions from its operated unconventional operations in the Permian Basin.</v>
    <v>62000</v>
    <v>New York Stock Exchange</v>
    <v>XNYS</v>
    <v>XNYS</v>
    <v>22777 SPRINGWOODS VILLAGE PARKWAY, SPRING, TX, 77389-1425 US</v>
    <v>112.36</v>
    <v>Oil &amp; Gas</v>
    <v>Stock</v>
    <v>45637.873058321093</v>
    <v>46</v>
    <v>111.11</v>
    <v>490844209600</v>
    <v>EXXON MOBIL CORPORATION</v>
    <v>EXXON MOBIL CORPORATION</v>
    <v>112</v>
    <v>13.981299999999999</v>
    <v>112.67</v>
    <v>111.68</v>
    <v>4395095000</v>
    <v>XOM</v>
    <v>EXXON MOBIL CORPORATION (XNYS:XOM)</v>
    <v>15538282</v>
    <v>14752803</v>
    <v>1882</v>
  </rv>
  <rv s="4">
    <v>47</v>
  </rv>
  <rv s="0">
    <v>https://www.bing.com/financeapi/forcetrigger?t=a1vmf2&amp;q=XNAS%3aINTC&amp;form=skydnc</v>
    <v>Learn more on Bing</v>
  </rv>
  <rv s="5">
    <v>7</v>
    <v>INTEL CORPORATION (XNAS:INTC)</v>
    <v>8</v>
    <v>9</v>
    <v>Finance</v>
    <v>5</v>
    <v>en-US</v>
    <v>a1vmf2</v>
    <v>268435456</v>
    <v>1</v>
    <v>Powered by Refinitiv</v>
    <v>51.28</v>
    <v>18.510000000000002</v>
    <v>1.0495000000000001</v>
    <v>-0.06</v>
    <v>-2.9759999999999999E-3</v>
    <v>USD</v>
    <v>Intel Corporation is engaged in designing and manufacturing of semiconductors. It operates through three segments: Intel Products, Intel Foundry, and All Other. Its Intel Products segment includes Client Computing Group (CCG), Data Center and AI (DCAI), Network and Edge (NEX). The CCG is focused on long-term operating system, system architecture, hardware, and application integration that enable PC experiences. Its DCAI segment offers workload-optimized solutions to cloud service providers and enterprise customers, along with silicon devices for communications service providers. Its NEX segment helps networks and edge compute systems from inflexible fixed-function hardware to general-purpose compute, acceleration, and networking devices running cloud-native software on programmable hardware. The Intel Foundry segment comprises Foundry Technology Development, Foundry Manufacturing and Supply Chain, and Foundry Services organizations. All Other segments include Altera, Mobileye, Other.</v>
    <v>124800</v>
    <v>Nasdaq Stock Market</v>
    <v>XNAS</v>
    <v>XNAS</v>
    <v>RNB-4-151, 2200 MISSION COLLEGE BLVD, SANTA CLARA, CA, 95054 US</v>
    <v>20.25</v>
    <v>Semiconductors &amp; Semiconductor Equipment</v>
    <v>Stock</v>
    <v>45637.873046758592</v>
    <v>49</v>
    <v>19.87</v>
    <v>86691300000</v>
    <v>INTEL CORPORATION</v>
    <v>INTEL CORPORATION</v>
    <v>20.13</v>
    <v>0</v>
    <v>20.16</v>
    <v>20.100000000000001</v>
    <v>4313000000</v>
    <v>INTC</v>
    <v>INTEL CORPORATION (XNAS:INTC)</v>
    <v>59079099</v>
    <v>79035681</v>
    <v>1989</v>
  </rv>
  <rv s="4">
    <v>50</v>
  </rv>
  <rv s="0">
    <v>http://en.wikipedia.org/wiki/IBM</v>
    <v>Wikipedia</v>
  </rv>
  <rv s="1">
    <v>0</v>
    <v>52</v>
  </rv>
  <rv s="2">
    <v>6</v>
    <v>https://www.bing.com/th?id=AMMS_41da901be1b295dc42c72dadb9c0f67d&amp;qlt=95</v>
    <v>53</v>
    <v>0</v>
    <v>https://www.bing.com/images/search?form=xlimg&amp;q=ibm</v>
    <v>Image of INTERNATIONAL BUSINESS MACHINES CORPORATION</v>
  </rv>
  <rv s="0">
    <v>https://www.bing.com/financeapi/forcetrigger?t=a1v6nm&amp;q=XNYS%3aIBM&amp;form=skydnc</v>
    <v>Learn more on Bing</v>
  </rv>
  <rv s="3">
    <v>0</v>
    <v>INTERNATIONAL BUSINESS MACHINES CORPORATION (XNYS:IBM)</v>
    <v>3</v>
    <v>4</v>
    <v>Finance</v>
    <v>5</v>
    <v>en-US</v>
    <v>a1v6nm</v>
    <v>268435456</v>
    <v>1</v>
    <v>Powered by Refinitiv</v>
    <v>239.35</v>
    <v>157.88499999999999</v>
    <v>0.72499999999999998</v>
    <v>-1.55</v>
    <v>-6.6890000000000005E-3</v>
    <v>USD</v>
    <v>International Business Machines Corporation is engaged in addressing the hybrid cloud and artificial intelligence (AI) opportunity with a platform-centric approach, focused on providing client value through a combination of technology and business expertise. Its segments include Software, Consulting, Infrastructure and Financing. Its Software segment comprises two business areas: Hybrid Platform &amp; Solutions, which includes software to help clients operate, manage and optimize their IT resources and business processes within hybrid, multi-cloud environments, and transaction processing, which includes software that supports client’s mission-critical, on-premises workloads in industries such as banking, airlines and retail. Consulting segment is engaged in business transformation, technology consulting and application operations. Infrastructure segment is engaged in hybrid infrastructure and infrastructure support. Financing segment is engaged in client financing and commercial financing.</v>
    <v>305300</v>
    <v>New York Stock Exchange</v>
    <v>XNYS</v>
    <v>XNYS</v>
    <v>One New Orchard Road, ARMONK, NY, 10504 US</v>
    <v>232.845</v>
    <v>54</v>
    <v>Software &amp; IT Services</v>
    <v>Stock</v>
    <v>45637.873052441406</v>
    <v>55</v>
    <v>229.13</v>
    <v>212825562667</v>
    <v>INTERNATIONAL BUSINESS MACHINES CORPORATION</v>
    <v>INTERNATIONAL BUSINESS MACHINES CORPORATION</v>
    <v>232.845</v>
    <v>31.724</v>
    <v>231.72</v>
    <v>230.17</v>
    <v>924645100</v>
    <v>IBM</v>
    <v>INTERNATIONAL BUSINESS MACHINES CORPORATION (XNYS:IBM)</v>
    <v>2637485</v>
    <v>3993435</v>
    <v>1911</v>
  </rv>
  <rv s="4">
    <v>56</v>
  </rv>
  <rv s="0">
    <v>https://www.bing.com/financeapi/forcetrigger?t=a1w8ec&amp;q=XNYS%3aJNJ&amp;form=skydnc</v>
    <v>Learn more on Bing</v>
  </rv>
  <rv s="5">
    <v>7</v>
    <v>JOHNSON &amp; JOHNSON (XNYS:JNJ)</v>
    <v>8</v>
    <v>9</v>
    <v>Finance</v>
    <v>5</v>
    <v>en-US</v>
    <v>a1w8ec</v>
    <v>268435456</v>
    <v>1</v>
    <v>Powered by Refinitiv</v>
    <v>168.85</v>
    <v>143.13</v>
    <v>0.49530000000000002</v>
    <v>-2.5299999999999998</v>
    <v>-1.6954E-2</v>
    <v>USD</v>
    <v>Johnson &amp; Johnson, through its subsidiaries, is engaged in the research and development, manufacture, and sale of a range of products in the healthcare field. The Company's primary focus is products related to human health and well-being. It operates through two segments: Innovative Medicine and MedTech. The Innovative Medicine segment is focused on various therapeutic areas, including immunology, infectious diseases, neuroscience, oncology, pulmonary hypertension, and cardiovascular and metabolic diseases. Products in this segment are distributed directly to retailers, wholesalers, distributors, hospitals, and healthcare professionals for prescription use. The MedTech segment includes a broad portfolio of products used in the orthopedic, surgery, interventional solutions, cardiovascular intervention, and vision fields. The MedTech segment also offers a commercially available intravascular lithotripsy (IVL) platform for coronary artery disease (CAD) and peripheral artery disease (PAD).</v>
    <v>131900</v>
    <v>New York Stock Exchange</v>
    <v>XNYS</v>
    <v>XNYS</v>
    <v>One Johnson &amp; Johnson Plaza, NEW BRUNSWICK, NJ, 08933 US</v>
    <v>148.46</v>
    <v>Pharmaceuticals</v>
    <v>Stock</v>
    <v>45637.873035589844</v>
    <v>58</v>
    <v>146.52000000000001</v>
    <v>353198294100</v>
    <v>JOHNSON &amp; JOHNSON</v>
    <v>JOHNSON &amp; JOHNSON</v>
    <v>148.36000000000001</v>
    <v>24.531300000000002</v>
    <v>149.22999999999999</v>
    <v>146.69999999999999</v>
    <v>2407623000</v>
    <v>JNJ</v>
    <v>JOHNSON &amp; JOHNSON (XNYS:JNJ)</v>
    <v>5608854</v>
    <v>8139711</v>
    <v>1887</v>
  </rv>
  <rv s="4">
    <v>59</v>
  </rv>
  <rv s="0">
    <v>https://www.bing.com/financeapi/forcetrigger?t=a1waa2&amp;q=XNYS%3aJPM&amp;form=skydnc</v>
    <v>Learn more on Bing</v>
  </rv>
  <rv s="5">
    <v>7</v>
    <v>JPMORGAN CHASE &amp; CO. (XNYS:JPM)</v>
    <v>8</v>
    <v>9</v>
    <v>Finance</v>
    <v>5</v>
    <v>en-US</v>
    <v>a1waa2</v>
    <v>268435456</v>
    <v>1</v>
    <v>Powered by Refinitiv</v>
    <v>254.31</v>
    <v>158.15</v>
    <v>1.1047</v>
    <v>0.85</v>
    <v>3.4999999999999996E-3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316043</v>
    <v>New York Stock Exchange</v>
    <v>XNYS</v>
    <v>XNYS</v>
    <v>383 Madison Avenue, NEW YORK, NY, 10179 US</v>
    <v>244.27</v>
    <v>Banking Services</v>
    <v>Stock</v>
    <v>45637.87303365703</v>
    <v>61</v>
    <v>242.18</v>
    <v>686126511400</v>
    <v>JPMORGAN CHASE &amp; CO.</v>
    <v>JPMORGAN CHASE &amp; CO.</v>
    <v>244.27</v>
    <v>13.5097</v>
    <v>242.86</v>
    <v>243.71</v>
    <v>2815340000</v>
    <v>JPM</v>
    <v>JPMORGAN CHASE &amp; CO. (XNYS:JPM)</v>
    <v>4550653</v>
    <v>8995198</v>
    <v>1968</v>
  </rv>
  <rv s="4">
    <v>62</v>
  </rv>
  <rv s="0">
    <v>https://www.bing.com/financeapi/forcetrigger?t=a1x2ur&amp;q=XNYS%3aLOW&amp;form=skydnc</v>
    <v>Learn more on Bing</v>
  </rv>
  <rv s="5">
    <v>7</v>
    <v>LOWE'S COMPANIES, INC. (XNYS:LOW)</v>
    <v>8</v>
    <v>9</v>
    <v>Finance</v>
    <v>5</v>
    <v>en-US</v>
    <v>a1x2ur</v>
    <v>268435456</v>
    <v>1</v>
    <v>Powered by Refinitiv</v>
    <v>287.01</v>
    <v>205.84</v>
    <v>1.091</v>
    <v>-2.625</v>
    <v>-9.7179999999999992E-3</v>
    <v>USD</v>
    <v>Lowe's Companies, Inc. is a home improvement company. The Company offers a complete line of products for construction, maintenance, repair, remodeling, and decorating. It offers home improvement products in various categories, including appliances, seasonal and outdoor living, lumber, lawn and garden, kitchens and bath, hardware, building materials, millwork, paint, rough plumbing, tools, electrical, flooring, and decor. It is focused on offering a wide selection of national brand-name merchandise complemented by its selection of private brands. Its services include installed sales and Lowe's Protection Plans and Repair Services. The Company offers installation services through independent contractors in many of its product categories. It offers extended protection plans for certain products within the appliances, kitchens and bath, decor, millwork, rough plumbing, electrical, seasonal and outdoor living, tools, and hardware categories. It operates over 1,700 home improvement stores.</v>
    <v>168000</v>
    <v>New York Stock Exchange</v>
    <v>XNYS</v>
    <v>XNYS</v>
    <v>1000 Lowes Blvd, MOORESVILLE, NC, 28117-8520 US</v>
    <v>273.33</v>
    <v>Specialty Retailers</v>
    <v>Stock</v>
    <v>45637.873048275003</v>
    <v>64</v>
    <v>267.48500000000001</v>
    <v>151035405250</v>
    <v>LOWE'S COMPANIES, INC.</v>
    <v>LOWE'S COMPANIES, INC.</v>
    <v>271.38</v>
    <v>22.532299999999999</v>
    <v>270.11</v>
    <v>267.48500000000001</v>
    <v>564650000</v>
    <v>LOW</v>
    <v>LOWE'S COMPANIES, INC. (XNYS:LOW)</v>
    <v>1710262</v>
    <v>2421089</v>
    <v>1952</v>
  </rv>
  <rv s="4">
    <v>65</v>
  </rv>
  <rv s="0">
    <v>https://www.bing.com/financeapi/forcetrigger?t=a1x8w7&amp;q=XNYS%3aMA&amp;form=skydnc</v>
    <v>Learn more on Bing</v>
  </rv>
  <rv s="5">
    <v>7</v>
    <v>MASTERCARD INCORPORATED. (XNYS:MA)</v>
    <v>8</v>
    <v>9</v>
    <v>Finance</v>
    <v>5</v>
    <v>en-US</v>
    <v>a1x8w7</v>
    <v>268435456</v>
    <v>1</v>
    <v>Powered by Refinitiv</v>
    <v>535.80999999999995</v>
    <v>411.6</v>
    <v>1.1000000000000001</v>
    <v>5.1100000000000003</v>
    <v>9.6600000000000002E-3</v>
    <v>USD</v>
    <v>Mastercard Incorporated is a technology company that connects consumers, financial institutions, merchants, governments and businesses across the world, enabling them to use electronic forms of payment. It allows users to make payments by creating a range of payment solutions and services using its brands: MasterCard, Maestro and Cirrus. It enables a variety of payments capabilities (including products and value-added services and solutions) over its multi-rail network among account holders, merchants, financial institutions, businesses, governments and others, offering customers one partner for their payment needs. Its products include consumer credit, consumer debit, prepaid, B2B accounts payable, commercial point of sale, disbursements and remittances, and others. It offers additional payment capabilities that include automated clearing house (ACH) transactions (both batch and real-time account-based payments). It also offers other services, such as cyber and intelligence solutions.</v>
    <v>33400</v>
    <v>New York Stock Exchange</v>
    <v>XNYS</v>
    <v>XNYS</v>
    <v>2000 Purchase St, PURCHASE, NY, 10577 US</v>
    <v>535.80999999999995</v>
    <v>Software &amp; IT Services</v>
    <v>Stock</v>
    <v>45637.87304513828</v>
    <v>67</v>
    <v>527.27009999999996</v>
    <v>490231947132</v>
    <v>MASTERCARD INCORPORATED.</v>
    <v>MASTERCARD INCORPORATED.</v>
    <v>529.03</v>
    <v>39.9863</v>
    <v>529.01</v>
    <v>534.12</v>
    <v>917831100</v>
    <v>MA</v>
    <v>MASTERCARD INCORPORATED. (XNYS:MA)</v>
    <v>1418391</v>
    <v>2567354</v>
    <v>2001</v>
  </rv>
  <rv s="4">
    <v>68</v>
  </rv>
  <rv s="0">
    <v>http://en.wikipedia.org/wiki/McDonald's</v>
    <v>Wikipedia</v>
  </rv>
  <rv s="1">
    <v>0</v>
    <v>70</v>
  </rv>
  <rv s="2">
    <v>6</v>
    <v>https://www.bing.com/th?id=AMMS_7d8255243964a8970376f8dd41121106&amp;qlt=95</v>
    <v>71</v>
    <v>0</v>
    <v>https://www.bing.com/images/search?form=xlimg&amp;q=mcdonald%27s</v>
    <v>Image of MCDONALD'S CORPORATION</v>
  </rv>
  <rv s="0">
    <v>https://www.bing.com/financeapi/forcetrigger?t=a1xdec&amp;q=XNYS%3aMCD&amp;form=skydnc</v>
    <v>Learn more on Bing</v>
  </rv>
  <rv s="3">
    <v>0</v>
    <v>MCDONALD'S CORPORATION (XNYS:MCD)</v>
    <v>3</v>
    <v>4</v>
    <v>Finance</v>
    <v>5</v>
    <v>en-US</v>
    <v>a1xdec</v>
    <v>268435456</v>
    <v>1</v>
    <v>Powered by Refinitiv</v>
    <v>317.89999999999998</v>
    <v>243.53</v>
    <v>0.73199999999999998</v>
    <v>-4.3710000000000004</v>
    <v>-1.4536E-2</v>
    <v>USD</v>
    <v>McDonald's Corporation is a foodservice retailer with over 40,000 locations in over 100 countries. The Company's segment includes United States, International Operated Markets and International Developmental Licensed Markets &amp; Corporate. The International Operated Markets segment is comprised of markets, or countries in which the Company operates and franchises restaurants, including Australia, Canada, France, Germany, Italy, Poland, Spain and the United Kingdom. This segment is over 89% franchised. The International Developmental Licensed Markets &amp; Corporate segment is comprised of developmental licensee and affiliate markets in the McDonald’s system. This segment is around 98% franchised. Its menu features hamburgers and cheeseburgers, the Big Mac, the Quarter Pounder with Cheese, the Filet-O-Fish, and several chicken sandwiches like the McChicken, McCrispy and McSpicy. Approximately 95% of McDonald’s restaurants worldwide are owned and operated by independent local business owners.</v>
    <v>150000</v>
    <v>New York Stock Exchange</v>
    <v>XNYS</v>
    <v>XNYS</v>
    <v>110 N Carpenter St, CHICAGO, IL, 60607-2104 US</v>
    <v>301.89999999999998</v>
    <v>72</v>
    <v>Hotels &amp; Entertainment Services</v>
    <v>Stock</v>
    <v>45637.873036203127</v>
    <v>73</v>
    <v>296.27999999999997</v>
    <v>212362365278</v>
    <v>MCDONALD'S CORPORATION</v>
    <v>MCDONALD'S CORPORATION</v>
    <v>301.54000000000002</v>
    <v>26.176100000000002</v>
    <v>300.70999999999998</v>
    <v>296.339</v>
    <v>716619700</v>
    <v>MCD</v>
    <v>MCDONALD'S CORPORATION (XNYS:MCD)</v>
    <v>1895111</v>
    <v>3072155</v>
    <v>1964</v>
  </rv>
  <rv s="4">
    <v>74</v>
  </rv>
  <rv s="0">
    <v>https://www.bing.com/financeapi/forcetrigger?t=a1slm7&amp;q=XNAS%3aMETA&amp;form=skydnc</v>
    <v>Learn more on Bing</v>
  </rv>
  <rv s="5">
    <v>7</v>
    <v>Meta Platforms, Inc. (XNAS:META)</v>
    <v>8</v>
    <v>9</v>
    <v>Finance</v>
    <v>5</v>
    <v>en-US</v>
    <v>a1slm7</v>
    <v>268435456</v>
    <v>1</v>
    <v>Powered by Refinitiv</v>
    <v>638.4</v>
    <v>319.995</v>
    <v>1.1957</v>
    <v>13.586600000000001</v>
    <v>2.1937999999999999E-2</v>
    <v>USD</v>
    <v>Meta Platforms, Inc. builds technology that helps people connect and share, find communities, and grow businesses. The Company’s products enable people to connect and share with friends and family through mobile devices, personal computers, virtual reality (VR) and mixed reality (MR) headsets, and wearables. It operates through two segments: Family of Apps (FoA) and Reality Labs (RL). The FoA segment includes Facebook, Instagram, Messenger, Threads and WhatsApp. The RL includes augmented, mixed and virtual reality related consumer hardware, software, and content. Instagram is a place where people and creators can connect and express themselves through photos, video, and private messaging, and discover and shop from their favorite businesses. Threads is an application for text-based updates and public conversations. Its RL product offerings in VR include Meta Quest devices, and software and content available through the Meta Quest Store, which enable a range of social experiences.</v>
    <v>72404</v>
    <v>Nasdaq Stock Market</v>
    <v>XNAS</v>
    <v>XNAS</v>
    <v>1 Meta Way, MENLO PARK, CA, 94025 US</v>
    <v>638.4</v>
    <v>Software &amp; IT Services</v>
    <v>Stock</v>
    <v>45637.873054803124</v>
    <v>76</v>
    <v>621.53489999999999</v>
    <v>1597765749727</v>
    <v>Meta Platforms, Inc.</v>
    <v>Meta Platforms, Inc.</v>
    <v>622.66999999999996</v>
    <v>28.8386</v>
    <v>619.32000000000005</v>
    <v>632.90660000000003</v>
    <v>2524489000</v>
    <v>META</v>
    <v>Meta Platforms, Inc. (XNAS:META)</v>
    <v>9085496</v>
    <v>11998067</v>
    <v>2004</v>
  </rv>
  <rv s="4">
    <v>77</v>
  </rv>
  <rv s="0">
    <v>https://en.wikipedia.org/wiki/Microsoft</v>
    <v>Wikipedia</v>
  </rv>
  <rv s="1">
    <v>0</v>
    <v>79</v>
  </rv>
  <rv s="2">
    <v>6</v>
    <v>https://www.bing.com/th?id=AMMS_e6e837c7bf3a77408619758b7447855a&amp;qlt=95</v>
    <v>80</v>
    <v>0</v>
    <v>https://www.bing.com/images/search?form=xlimg&amp;q=microsoft</v>
    <v>Image of MICROSOFT CORPORATION</v>
  </rv>
  <rv s="0">
    <v>https://www.bing.com/financeapi/forcetrigger?t=a1xzim&amp;q=XNAS%3aMSFT&amp;form=skydnc</v>
    <v>Learn more on Bing</v>
  </rv>
  <rv s="3">
    <v>0</v>
    <v>MICROSOFT CORPORATION (XNAS:MSFT)</v>
    <v>3</v>
    <v>4</v>
    <v>Finance</v>
    <v>5</v>
    <v>en-US</v>
    <v>a1xzim</v>
    <v>268435456</v>
    <v>1</v>
    <v>Powered by Refinitiv</v>
    <v>468.35</v>
    <v>364.13</v>
    <v>0.89300000000000002</v>
    <v>5.62</v>
    <v>1.2677000000000001E-2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98052-6399 US</v>
    <v>450.35</v>
    <v>81</v>
    <v>Software &amp; IT Services</v>
    <v>Stock</v>
    <v>45637.873040983592</v>
    <v>82</v>
    <v>444.05</v>
    <v>3337889824950</v>
    <v>MICROSOFT CORPORATION</v>
    <v>MICROSOFT CORPORATION</v>
    <v>444.05</v>
    <v>36.594200000000001</v>
    <v>443.33</v>
    <v>448.95</v>
    <v>7434881000</v>
    <v>MSFT</v>
    <v>MICROSOFT CORPORATION (XNAS:MSFT)</v>
    <v>10212734</v>
    <v>21642795</v>
    <v>1993</v>
  </rv>
  <rv s="4">
    <v>83</v>
  </rv>
  <rv s="0">
    <v>https://www.bing.com/financeapi/forcetrigger?t=a1xyjc&amp;q=XNYS%3aMS&amp;form=skydnc</v>
    <v>Learn more on Bing</v>
  </rv>
  <rv s="5">
    <v>7</v>
    <v>MORGAN STANLEY (XNYS:MS)</v>
    <v>8</v>
    <v>9</v>
    <v>Finance</v>
    <v>5</v>
    <v>en-US</v>
    <v>a1xyjc</v>
    <v>268435456</v>
    <v>1</v>
    <v>Powered by Refinitiv</v>
    <v>136.24</v>
    <v>81.96</v>
    <v>1.3501000000000001</v>
    <v>0.86</v>
    <v>6.783E-3</v>
    <v>USD</v>
    <v>Morgan Stanley is a global financial services company. The Company is engaged in providing a range of investment banking, securities, wealth management and investment management services. Its segments include Institutional Securities, Wealth Management and Investment Management. Its Institutional Securities segment provides a variety of products and services to corporations, governments, financial institutions and ultra-high net worth clients. Its Wealth Management segment provides a comprehensive array of financial services and solutions to individual investors and small to medium-sized businesses and institutions. Its Investment Management segment provides a range of investment strategies and products that span geographies, asset classes, and public and private markets to a diverse group of clients across institutional and intermediary channels. It operates in over 42 countries and serves clients worldwide including corporations, governments, institutions and individuals.</v>
    <v>80000</v>
    <v>New York Stock Exchange</v>
    <v>XNYS</v>
    <v>XNYS</v>
    <v>1585 Broadway, NEW YORK, NY, 10036 US</v>
    <v>128.02000000000001</v>
    <v>Investment Banking &amp; Investment Services</v>
    <v>Stock</v>
    <v>45637.873043217187</v>
    <v>85</v>
    <v>126.28</v>
    <v>205648745400</v>
    <v>MORGAN STANLEY</v>
    <v>MORGAN STANLEY</v>
    <v>128.02000000000001</v>
    <v>19.2714</v>
    <v>126.79</v>
    <v>127.65</v>
    <v>1611036000</v>
    <v>MS</v>
    <v>MORGAN STANLEY (XNYS:MS)</v>
    <v>3264098</v>
    <v>6942931</v>
    <v>1981</v>
  </rv>
  <rv s="4">
    <v>86</v>
  </rv>
  <rv s="0">
    <v>https://www.bing.com/financeapi/forcetrigger?t=a1ygoc&amp;q=XNAS%3aNFLX&amp;form=skydnc</v>
    <v>Learn more on Bing</v>
  </rv>
  <rv s="5">
    <v>7</v>
    <v>NETFLIX, INC. (XNAS:NFLX)</v>
    <v>8</v>
    <v>9</v>
    <v>Finance</v>
    <v>5</v>
    <v>en-US</v>
    <v>a1ygoc</v>
    <v>268435456</v>
    <v>1</v>
    <v>Powered by Refinitiv</v>
    <v>941.75</v>
    <v>457.21</v>
    <v>1.27</v>
    <v>23.87</v>
    <v>2.6135000000000002E-2</v>
    <v>USD</v>
    <v>Netflix, Inc. is a provider of entertainment services. The Company acquires, licenses and produces content, including original programming. The Company provides paid memberships in approximately 190 countries offering television (TV) series, films and games across a wide variety of genres and languages. Its members can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The Company also has agreements with various cable, satellite and telecommunications operators to make its service available through TV set-top boxes. The Company's paid plans range from the United States dollar equivalent of $1 to $28 per month, and pricing on its extra member sub accounts range from the United States dollar equivalent of $2 to $8 per month.</v>
    <v>13000</v>
    <v>Nasdaq Stock Market</v>
    <v>XNAS</v>
    <v>XNAS</v>
    <v>121 Albright Way, LOS GATOS, CA, 95032 US</v>
    <v>941.75</v>
    <v>Software &amp; IT Services</v>
    <v>Stock</v>
    <v>45637.873030717186</v>
    <v>88</v>
    <v>923.08</v>
    <v>400622280482</v>
    <v>NETFLIX, INC.</v>
    <v>NETFLIX, INC.</v>
    <v>924.71</v>
    <v>51.6798</v>
    <v>913.35</v>
    <v>937.22</v>
    <v>427458100</v>
    <v>NFLX</v>
    <v>NETFLIX, INC. (XNAS:NFLX)</v>
    <v>2739705</v>
    <v>3131001</v>
    <v>1997</v>
  </rv>
  <rv s="4">
    <v>89</v>
  </rv>
  <rv s="0">
    <v>https://www.bing.com/financeapi/forcetrigger?t=a1yjxm&amp;q=XNYS%3aNKE&amp;form=skydnc</v>
    <v>Learn more on Bing</v>
  </rv>
  <rv s="5">
    <v>7</v>
    <v>NIKE, INC. (XNYS:NKE)</v>
    <v>8</v>
    <v>9</v>
    <v>Finance</v>
    <v>5</v>
    <v>en-US</v>
    <v>a1yjxm</v>
    <v>268435456</v>
    <v>1</v>
    <v>Powered by Refinitiv</v>
    <v>123.3916</v>
    <v>70.750200000000007</v>
    <v>1.0185999999999999</v>
    <v>2.0150000000000001</v>
    <v>2.6257000000000003E-2</v>
    <v>USD</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The Company also designs, distributes and licenses casual sneakers, apparel and accessories under the Chuck Taylor, All Star, One Star, Star Chevron and Jack Purcell trademarks.</v>
    <v>79400</v>
    <v>New York Stock Exchange</v>
    <v>XNYS</v>
    <v>XNYS</v>
    <v>One Bowerman Dr, BEAVERTON, OR, 97005-6453 US</v>
    <v>78.97</v>
    <v>Textiles &amp; Apparel</v>
    <v>Stock</v>
    <v>45637.873048008594</v>
    <v>91</v>
    <v>76.31</v>
    <v>117226502480</v>
    <v>NIKE, INC.</v>
    <v>NIKE, INC.</v>
    <v>76.760000000000005</v>
    <v>22.009699999999999</v>
    <v>76.739999999999995</v>
    <v>78.754999999999995</v>
    <v>1488496000</v>
    <v>NKE</v>
    <v>NIKE, INC. (XNYS:NKE)</v>
    <v>8123561</v>
    <v>11036665</v>
    <v>1969</v>
  </rv>
  <rv s="4">
    <v>92</v>
  </rv>
  <rv s="0">
    <v>https://www.bing.com/financeapi/forcetrigger?t=a1yv52&amp;q=XNAS%3aNVDA&amp;form=skydnc</v>
    <v>Learn more on Bing</v>
  </rv>
  <rv s="5">
    <v>7</v>
    <v>NVIDIA CORPORATION (XNAS:NVDA)</v>
    <v>8</v>
    <v>9</v>
    <v>Finance</v>
    <v>5</v>
    <v>en-US</v>
    <v>a1yv52</v>
    <v>268435456</v>
    <v>1</v>
    <v>Powered by Refinitiv</v>
    <v>152.88999999999999</v>
    <v>45.83</v>
    <v>1.6353</v>
    <v>4.28</v>
    <v>3.1687E-2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three-dimensional Internet applications.</v>
    <v>29600</v>
    <v>Nasdaq Stock Market</v>
    <v>XNAS</v>
    <v>XNAS</v>
    <v>2788 San Tomas Expressway, SANTA CLARA, CA, 95051 US</v>
    <v>140.16999999999999</v>
    <v>Semiconductors &amp; Semiconductor Equipment</v>
    <v>Stock</v>
    <v>45637.873041596875</v>
    <v>94</v>
    <v>135.21</v>
    <v>3412681500000</v>
    <v>NVIDIA CORPORATION</v>
    <v>NVIDIA CORPORATION</v>
    <v>137.33000000000001</v>
    <v>53.721600000000002</v>
    <v>135.07</v>
    <v>139.35</v>
    <v>24490000000</v>
    <v>NVDA</v>
    <v>NVIDIA CORPORATION (XNAS:NVDA)</v>
    <v>153895977</v>
    <v>217247857</v>
    <v>1998</v>
  </rv>
  <rv s="4">
    <v>95</v>
  </rv>
  <rv s="0">
    <v>http://pt.wikipedia.org/wiki/Oracle_Corporation</v>
    <v>Wikipedia</v>
  </rv>
  <rv s="1">
    <v>0</v>
    <v>97</v>
  </rv>
  <rv s="2">
    <v>6</v>
    <v>https://www.bing.com/th?id=AMMS_672116c618c664d13b2515d6587ba357&amp;qlt=95</v>
    <v>98</v>
    <v>0</v>
    <v>https://www.bing.com/images/search?form=xlimg&amp;q=oracle+corporation</v>
    <v>Image of ORACLE CORPORATION</v>
  </rv>
  <rv s="0">
    <v>https://www.bing.com/financeapi/forcetrigger?t=a1zbec&amp;q=XNYS%3aORCL&amp;form=skydnc</v>
    <v>Learn more on Bing</v>
  </rv>
  <rv s="3">
    <v>0</v>
    <v>ORACLE CORPORATION (XNYS:ORCL)</v>
    <v>3</v>
    <v>4</v>
    <v>Finance</v>
    <v>5</v>
    <v>en-US</v>
    <v>a1zbec</v>
    <v>268435456</v>
    <v>1</v>
    <v>Powered by Refinitiv</v>
    <v>198.3099</v>
    <v>99.26</v>
    <v>1.0365</v>
    <v>0.98499999999999999</v>
    <v>5.5420000000000001E-3</v>
    <v>USD</v>
    <v>Oracle Corporation offers integrated suites of applications plus secure, autonomous infrastructure in the Oracle Cloud. The Company's segments include cloud and license, hardware, and services. The cloud and license segment markets, sells and delivers a broad spectrum of enterprise applications and infrastructure technologies through its cloud and license offerings. The hardware segment provides a broad selection of enterprise hardware products and hardware-related software products including Oracle Engineered Systems, servers, storage, operating systems, virtualization, management and other hardware-related software and related hardware support. The services segment helps customers and partners maximize the performance of their investments in Oracle applications and infrastructure technologies. Its products and services are delivered worldwide through a variety of flexible and interoperable IT deployment models. These models include on-premise, cloud-based and hybrid deployments.</v>
    <v>159000</v>
    <v>New York Stock Exchange</v>
    <v>XNYS</v>
    <v>XNYS</v>
    <v>2300 Oracle Way, AUSTIN, TX, 78741 US</v>
    <v>181.3691</v>
    <v>99</v>
    <v>Software &amp; IT Services</v>
    <v>Stock</v>
    <v>45637.873044745313</v>
    <v>100</v>
    <v>174.85</v>
    <v>495258234675</v>
    <v>ORACLE CORPORATION</v>
    <v>ORACLE CORPORATION</v>
    <v>177.93</v>
    <v>43.483400000000003</v>
    <v>177.74</v>
    <v>178.72499999999999</v>
    <v>2771063000</v>
    <v>ORCL</v>
    <v>ORACLE CORPORATION (XNYS:ORCL)</v>
    <v>10918524</v>
    <v>9210416</v>
    <v>2005</v>
  </rv>
  <rv s="4">
    <v>101</v>
  </rv>
  <rv s="0">
    <v>https://www.bing.com/financeapi/forcetrigger?t=a21icw&amp;q=XNAS%3aPYPL&amp;form=skydnc</v>
    <v>Learn more on Bing</v>
  </rv>
  <rv s="5">
    <v>7</v>
    <v>PAYPAL HOLDINGS, INC. (XNAS:PYPL)</v>
    <v>8</v>
    <v>9</v>
    <v>Finance</v>
    <v>5</v>
    <v>en-US</v>
    <v>a21icw</v>
    <v>268435456</v>
    <v>1</v>
    <v>Powered by Refinitiv</v>
    <v>93.66</v>
    <v>55.77</v>
    <v>1.4428000000000001</v>
    <v>2.08</v>
    <v>2.3434E-2</v>
    <v>USD</v>
    <v>PayPal Holdings, Inc. offers a technology platform that enables digital payments and simplifies commerce experiences on behalf of merchants and consumers worldwide. Its payment solutions enable its customers to connect, transact, and send and receive payments, whether they are online or in person. It provides payment solutions accepted by merchants that enable the completion of payments on its platform on behalf of its customers. It operates a global, two-sided network at scale that connects merchants and consumers with 426 million active accounts across 200 markets. Its brands include PayPal, Braintree, Venmo, Xoom, Hyperwallet, PayPal Zettle, PayPal Honey, and Paidy. It enables consumers to exchange funds with merchants using a variety of funding sources, which include a bank account, a PayPal or Venmo account balance, PayPal and Venmo branded credit products, including its installment products, a credit card, a debit card, certain cryptocurrencies, or other stored value products.</v>
    <v>27200</v>
    <v>Nasdaq Stock Market</v>
    <v>XNAS</v>
    <v>XNAS</v>
    <v>2211 N 1st St, SAN JOSE, CA, 95131 US</v>
    <v>91</v>
    <v>Professional &amp; Commercial Services</v>
    <v>Stock</v>
    <v>45637.87303317109</v>
    <v>103</v>
    <v>87.84</v>
    <v>91070642760</v>
    <v>PAYPAL HOLDINGS, INC.</v>
    <v>PAYPAL HOLDINGS, INC.</v>
    <v>88.62</v>
    <v>21.201000000000001</v>
    <v>88.76</v>
    <v>90.84</v>
    <v>1002539000</v>
    <v>PYPL</v>
    <v>PAYPAL HOLDINGS, INC. (XNAS:PYPL)</v>
    <v>4893432</v>
    <v>8848770</v>
    <v>2015</v>
  </rv>
  <rv s="4">
    <v>104</v>
  </rv>
  <rv s="0">
    <v>https://www.bing.com/financeapi/forcetrigger?t=a1zqnm&amp;q=XNYS%3aPFE&amp;form=skydnc</v>
    <v>Learn more on Bing</v>
  </rv>
  <rv s="6">
    <v>10</v>
    <v>PFIZER INC. (XNYS:PFE)</v>
    <v>8</v>
    <v>11</v>
    <v>Finance</v>
    <v>5</v>
    <v>en-US</v>
    <v>a1zqnm</v>
    <v>268435456</v>
    <v>1</v>
    <v>Powered by Refinitiv</v>
    <v>31.54</v>
    <v>24.48</v>
    <v>0.62260000000000004</v>
    <v>-0.32</v>
    <v>-1.2515E-2</v>
    <v>USD</v>
    <v>Pfizer Inc. is a research-based global biopharmaceutical company. The Company is engaged in the discovery, development, manufacture, marketing, sale and distribution of biopharmaceutical products worldwide. Its Biopharma segment is engaged in the science-based biopharmaceutical business. Its Biopharma segment includes the Pfizer Oncology Division, the Pfizer U.S. Commercial Division, and the Pfizer International Commercial Division. Its product categories include oncology, primary care and specialty care. Its Oncology products include Ibrance, Xtandi, Inlyta, Bosulif, Lorbrena, Braftovi, Mektovi, Padcev, Adcetris, Talzenna, Tukysa, Elrexfio and Tivdak. Its primary care products include Eliquis, Nurtec ODT/Vydura, Comirnaty, the Prevnar family, Abrysvo, FSME/IMMUN-TicoVac, Paxlovid and Lucira by Pfizer. Its specialty care products include Xeljanz, Enbrel (outside the U.S. and Canada), Inflectra, Cibinqo, Litfulo, Vyndaqel family, Genotropin, Sulperazon, Zavicefta, Medrol and Panzyga.</v>
    <v>88000</v>
    <v>New York Stock Exchange</v>
    <v>XNYS</v>
    <v>XNYS</v>
    <v>66 HUDSON BOULEVARD EAST, NEW YORK, NY, 10001-2192 US</v>
    <v>25.5137</v>
    <v>Pharmaceuticals</v>
    <v>Stock</v>
    <v>45637.873057314064</v>
    <v>106</v>
    <v>25.17</v>
    <v>143091497500</v>
    <v>PFIZER INC.</v>
    <v>PFIZER INC.</v>
    <v>25.37</v>
    <v>25.57</v>
    <v>25.25</v>
    <v>5666990000</v>
    <v>PFE</v>
    <v>PFIZER INC. (XNYS:PFE)</v>
    <v>31795711</v>
    <v>49138968</v>
    <v>1942</v>
  </rv>
  <rv s="4">
    <v>107</v>
  </rv>
  <rv s="0">
    <v>https://www.bing.com/financeapi/forcetrigger?t=a1zy3m&amp;q=XNYS%3aPLD&amp;form=skydnc</v>
    <v>Learn more on Bing</v>
  </rv>
  <rv s="5">
    <v>7</v>
    <v>PROLOGIS, INC. (XNYS:PLD)</v>
    <v>8</v>
    <v>9</v>
    <v>Finance</v>
    <v>5</v>
    <v>en-US</v>
    <v>a1zy3m</v>
    <v>268435456</v>
    <v>1</v>
    <v>Powered by Refinitiv</v>
    <v>137.52000000000001</v>
    <v>101.11</v>
    <v>1.0921000000000001</v>
    <v>-1.18</v>
    <v>-1.0428999999999999E-2</v>
    <v>USD</v>
    <v>Prologis, Inc. is a fully integrated real estate company. The Company operates through two segments: Real Estate Operations (Rental Operations and Development) and Strategic Capital. Its Real Estate Segment represents the ownership and development of operating properties. The Real Estate Segment also includes development activities that lead to rental operations, including land held for development and properties under development, and other real estate investments, including energy assets. Strategic Capital Segment represents the management of unconsolidated co-investment ventures. The Company is the general partner of Prologis, L.P. (the Operating Partnership or OP). Through the OP, it is engaged in the ownership, acquisition, development and management of logistics facilities with a focus on key markets in 20 countries on four continents. It operates, manages and measures the operating performance of its properties on an owned and managed (O&amp;M) basis.</v>
    <v>2574</v>
    <v>New York Stock Exchange</v>
    <v>XNYS</v>
    <v>XNYS</v>
    <v>PIER 1 BAY 1, SAN FRANCISCO, CA, 94111 US</v>
    <v>114.0759</v>
    <v>Residential &amp; Commercial REIT</v>
    <v>Stock</v>
    <v>45637.873051885937</v>
    <v>109</v>
    <v>111.29</v>
    <v>103703814750</v>
    <v>PROLOGIS, INC.</v>
    <v>PROLOGIS, INC.</v>
    <v>113.34</v>
    <v>34.182699999999997</v>
    <v>113.15</v>
    <v>111.97</v>
    <v>926175000</v>
    <v>PLD</v>
    <v>PROLOGIS, INC. (XNYS:PLD)</v>
    <v>1653047</v>
    <v>3676627</v>
    <v>1997</v>
  </rv>
  <rv s="4">
    <v>110</v>
  </rv>
  <rv s="0">
    <v>https://www.bing.com/financeapi/forcetrigger?t=a1qc1h&amp;q=XNYS%3aCRM&amp;form=skydnc</v>
    <v>Learn more on Bing</v>
  </rv>
  <rv s="5">
    <v>7</v>
    <v>SALESFORCE, INC. (XNYS:CRM)</v>
    <v>8</v>
    <v>9</v>
    <v>Finance</v>
    <v>5</v>
    <v>en-US</v>
    <v>a1qc1h</v>
    <v>268435456</v>
    <v>1</v>
    <v>Powered by Refinitiv</v>
    <v>369</v>
    <v>212</v>
    <v>1.3059000000000001</v>
    <v>6.89</v>
    <v>1.9752000000000002E-2</v>
    <v>USD</v>
    <v>Salesforce, Inc. is a provider of customer relationship management (CRM) technology. The Company's Customer 360 platform spans sales, service, marketing, commerce, collaboration, integration, artificial intelligence, analytics, automation, and others. It connects customer data across systems, applications and devices to create a complete view of customers. The Company also enables third parties to use its platform and developer tools to create additional functionality and applications that run on the Company’s platform. Its customers use its sales offering to store data, monitor leads and progress, forecast opportunities, gain insights through analytics and relationship intelligence and deliver quotes, contracts and invoices. Its service offering helps to connect its service agents with customers across any touchpoint. It helps customers to resolve routine issues with predictions and recommendations. The Company offers its services to businesses worldwide on a subscription basis.</v>
    <v>72682</v>
    <v>New York Stock Exchange</v>
    <v>XNYS</v>
    <v>XNYS</v>
    <v>SALESFORCE TOWER, 415 MISSION STREET 3RD FL, SAN FRANCISCO, CA, 94105 US</v>
    <v>360.2</v>
    <v>Software &amp; IT Services</v>
    <v>Stock</v>
    <v>45637.873054050782</v>
    <v>112</v>
    <v>351.88</v>
    <v>340414470000</v>
    <v>SALESFORCE, INC.</v>
    <v>SALESFORCE, INC.</v>
    <v>352.83</v>
    <v>57.358600000000003</v>
    <v>348.82</v>
    <v>355.71</v>
    <v>957000000</v>
    <v>CRM</v>
    <v>SALESFORCE, INC. (XNYS:CRM)</v>
    <v>5571346</v>
    <v>7619754</v>
    <v>1999</v>
  </rv>
  <rv s="4">
    <v>113</v>
  </rv>
  <rv s="0">
    <v>https://www.bing.com/financeapi/forcetrigger?t=a22k9c&amp;q=XNAS%3aSBUX&amp;form=skydnc</v>
    <v>Learn more on Bing</v>
  </rv>
  <rv s="5">
    <v>7</v>
    <v>STARBUCKS CORPORATION (XNAS:SBUX)</v>
    <v>8</v>
    <v>9</v>
    <v>Finance</v>
    <v>5</v>
    <v>en-US</v>
    <v>a22k9c</v>
    <v>268435456</v>
    <v>1</v>
    <v>Powered by Refinitiv</v>
    <v>103.32</v>
    <v>71.55</v>
    <v>0.96450000000000002</v>
    <v>0.22500000000000001</v>
    <v>2.2919999999999998E-3</v>
    <v>USD</v>
    <v>Starbucks Corporations is a coffee company, which roasts, markets and retails specialty coffee in the world. The Company operates in 86 markets and has approximately 38,000 stores worldwide. It has three segments: North America, International and Channel Development. North America segment includes the United States and Canada. International segment includes China, Japan, Asia Pacific, Europe, Middle East and Africa, Latin America and Caribbean. North America and International segments include both the Company-operated and licensed stores. Channel Development segment includes roasted whole bean and ground coffees, Starbucks- and Teavana-branded single-serve products, a variety of ready-to-drink beverages, such as Frappuccino and Starbucks Doubleshot, foodservice products and other branded products sold worldwide outside the Company-operated and licensed stores. A large portion of its Channel Development business operates under a licensed model of the Global Coffee Alliance with Nestle.</v>
    <v>361000</v>
    <v>Nasdaq Stock Market</v>
    <v>XNAS</v>
    <v>XNAS</v>
    <v>P O Box 34067, SEATTLE, WA, 98124-1067 US</v>
    <v>99.385800000000003</v>
    <v>Hotels &amp; Entertainment Services</v>
    <v>Stock</v>
    <v>45637.87304953672</v>
    <v>115</v>
    <v>97.98</v>
    <v>111548913000</v>
    <v>STARBUCKS CORPORATION</v>
    <v>STARBUCKS CORPORATION</v>
    <v>98.37</v>
    <v>29.686699999999998</v>
    <v>98.16</v>
    <v>98.385000000000005</v>
    <v>1133800000</v>
    <v>SBUX</v>
    <v>STARBUCKS CORPORATION (XNAS:SBUX)</v>
    <v>3341749</v>
    <v>7182400</v>
    <v>1985</v>
  </rv>
  <rv s="4">
    <v>116</v>
  </rv>
  <rv s="0">
    <v>https://www.bing.com/financeapi/forcetrigger?t=a246z2&amp;q=XNYS%3aTGT&amp;form=skydnc</v>
    <v>Learn more on Bing</v>
  </rv>
  <rv s="5">
    <v>7</v>
    <v>TARGET CORPORATION (XNYS:TGT)</v>
    <v>8</v>
    <v>9</v>
    <v>Finance</v>
    <v>5</v>
    <v>en-US</v>
    <v>a246z2</v>
    <v>268435456</v>
    <v>1</v>
    <v>Powered by Refinitiv</v>
    <v>181.86</v>
    <v>120.21</v>
    <v>1.171</v>
    <v>1.0149999999999999</v>
    <v>7.5160000000000001E-3</v>
    <v>USD</v>
    <v>Target Corporation is a general merchandise retailer selling products to its guests through its stores and digital channels. The Company serves guests at nearly 2,000 stores and at Target.com. It offers to its customers, referred to as guests, everyday essentials and fashionable, differentiated merchandise at discounted prices. The majority of its stores offer a wide assortment of general merchandise and food. Its merchandise categories include apparel and accessories, beauty and household essentials, food and beverage, hardlines, and home furnishings and decor. Most of its stores larger than 170,000 square feet offer a variety of general merchandise and a full line of food items comparable to traditional supermarkets. Its digital channels include a wide merchandise and food assortment, including many items found in its stores, along with a complementary assortment sold by the Company and third parties. Its brands include A New Day, Ava &amp; Viv, Cloud Island, Favorite Day, and others.</v>
    <v>415000</v>
    <v>New York Stock Exchange</v>
    <v>XNYS</v>
    <v>XNYS</v>
    <v>1000 Nicollet Mall, MINNEAPOLIS, MN, 55403 US</v>
    <v>137.745</v>
    <v>Diversified Retail</v>
    <v>Stock</v>
    <v>45637.8730517125</v>
    <v>118</v>
    <v>134.51</v>
    <v>62346602173</v>
    <v>TARGET CORPORATION</v>
    <v>TARGET CORPORATION</v>
    <v>134.81</v>
    <v>14.3101</v>
    <v>135.05000000000001</v>
    <v>136.065</v>
    <v>458211900</v>
    <v>TGT</v>
    <v>TARGET CORPORATION (XNYS:TGT)</v>
    <v>3677485</v>
    <v>9881672</v>
    <v>1902</v>
  </rv>
  <rv s="4">
    <v>119</v>
  </rv>
  <rv s="0">
    <v>https://www.bing.com/financeapi/forcetrigger?t=a1o4ec&amp;q=XNYS%3aBA&amp;form=skydnc</v>
    <v>Learn more on Bing</v>
  </rv>
  <rv s="6">
    <v>10</v>
    <v>THE BOEING COMPANY (XNYS:BA)</v>
    <v>8</v>
    <v>11</v>
    <v>Finance</v>
    <v>5</v>
    <v>en-US</v>
    <v>a1o4ec</v>
    <v>268435456</v>
    <v>1</v>
    <v>Powered by Refinitiv</v>
    <v>267.54000000000002</v>
    <v>137.03</v>
    <v>1.5677000000000001</v>
    <v>1.93</v>
    <v>1.1760999999999999E-2</v>
    <v>USD</v>
    <v>The Boeing Company is an aerospace company. The Company operates in three segments: Commercial Airplanes (BCA), Defense, Space &amp; Security (BDS), Global Services (BGS). Its BCA segment develops, produces and markets commercial jet aircraft to the commercial airline industry worldwide. Its family of commercial jet aircraft in production includes the 737 narrow-body model and the 767, 777 and 787 wide-body models. Its BDS segment is engaged in the research, development, production and modification of manned and unmanned military aircraft and weapons systems strike, surveillance and mobility. Its BGS segment provides services to its commercial and defense customers worldwide. It sustains aerospace platforms and systems with a range of products and services, including supply chain and logistics management, engineering, maintenance and modifications, upgrades and conversions, spare parts, pilot and maintenance training systems and services, technical and maintenance documents, and others.</v>
    <v>171000</v>
    <v>New York Stock Exchange</v>
    <v>XNYS</v>
    <v>XNYS</v>
    <v>929 Long Bridge Drive, ARLINGTON, VA, 22202 US</v>
    <v>169.3</v>
    <v>Aerospace &amp; Defense</v>
    <v>Stock</v>
    <v>45637.87302446719</v>
    <v>121</v>
    <v>164.38499999999999</v>
    <v>124052767924</v>
    <v>THE BOEING COMPANY</v>
    <v>THE BOEING COMPANY</v>
    <v>165.62</v>
    <v>164.1</v>
    <v>166.03</v>
    <v>747170800</v>
    <v>BA</v>
    <v>THE BOEING COMPANY (XNYS:BA)</v>
    <v>11583644</v>
    <v>12476621</v>
    <v>1934</v>
  </rv>
  <rv s="4">
    <v>122</v>
  </rv>
  <rv s="0">
    <v>https://www.bing.com/financeapi/forcetrigger?t=a1wljc&amp;q=XNYS%3aKO&amp;form=skydnc</v>
    <v>Learn more on Bing</v>
  </rv>
  <rv s="5">
    <v>7</v>
    <v>THE COCA-COLA COMPANY (XNYS:KO)</v>
    <v>8</v>
    <v>9</v>
    <v>Finance</v>
    <v>5</v>
    <v>en-US</v>
    <v>a1wljc</v>
    <v>268435456</v>
    <v>1</v>
    <v>Powered by Refinitiv</v>
    <v>73.53</v>
    <v>57.47</v>
    <v>0.60899999999999999</v>
    <v>-0.215</v>
    <v>-3.418E-3</v>
    <v>USD</v>
    <v>The Coca-Cola Company is a beverage company. The Company's segments include Europe, Middle East and Africa, Latin America, North America, Asia Pacific, Global Ventures and Bottling Investments. It owns or licenses and markets various beverage brands, which are grouped into categories, such as Trademark Coca-Cola; sparkling flavors; water, sports, coffee and tea; juice, value-added dairy and plant-based beverages and emerging beverages. It owns and markets various nonalcoholic sparkling soft drink brands, including Coca-Cola, Diet Coke/Coca-Cola Light, Coca-Cola Zero Sugar, Fanta, Fresca, Schweppes, Sprite and Thums Up. Its water, sports, coffee and tea brands include Aquarius, Ayataka, BODYARMOR, Ciel, Costa, Dasani, dogadan, FUZE TEA, Georgia, glaceau smartwater, glaceau vitaminwater, Gold Peak, Ice Dew, I LOHAS, Powerade and Topo Chico. Its juice, value-added dairy and plant-based beverages brands include AdeS, Del Valle, fairlife, innocent, Minute Maid, Minute Maid Pulpy and Simply.</v>
    <v>79100</v>
    <v>New York Stock Exchange</v>
    <v>XNYS</v>
    <v>XNYS</v>
    <v>1 Coca Cola Plz NW, ATLANTA, GA, 30313-2420 US</v>
    <v>63.63</v>
    <v>Beverages</v>
    <v>Stock</v>
    <v>45637.873061318751</v>
    <v>124</v>
    <v>62.4</v>
    <v>270077332915</v>
    <v>THE COCA-COLA COMPANY</v>
    <v>THE COCA-COLA COMPANY</v>
    <v>63</v>
    <v>26.124400000000001</v>
    <v>62.91</v>
    <v>62.695</v>
    <v>4307797000</v>
    <v>KO</v>
    <v>THE COCA-COLA COMPANY (XNYS:KO)</v>
    <v>13479733</v>
    <v>18093796</v>
    <v>1919</v>
  </rv>
  <rv s="4">
    <v>125</v>
  </rv>
  <rv s="0">
    <v>https://www.bing.com/financeapi/forcetrigger?t=a1u7xm&amp;q=XNYS%3aGS&amp;form=skydnc</v>
    <v>Learn more on Bing</v>
  </rv>
  <rv s="5">
    <v>7</v>
    <v>THE GOLDMAN SACHS GROUP, INC. (XNYS:GS)</v>
    <v>8</v>
    <v>9</v>
    <v>Finance</v>
    <v>5</v>
    <v>en-US</v>
    <v>a1u7xm</v>
    <v>268435456</v>
    <v>1</v>
    <v>Powered by Refinitiv</v>
    <v>612.72990000000004</v>
    <v>349.05</v>
    <v>1.3731</v>
    <v>7.77</v>
    <v>1.3281000000000001E-2</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46400</v>
    <v>New York Stock Exchange</v>
    <v>XNYS</v>
    <v>XNYS</v>
    <v>200 West St, NEW YORK, NY, 10282 US</v>
    <v>593.69500000000005</v>
    <v>Investment Banking &amp; Investment Services</v>
    <v>Stock</v>
    <v>45637.873059027341</v>
    <v>127</v>
    <v>587</v>
    <v>186085729440</v>
    <v>THE GOLDMAN SACHS GROUP, INC.</v>
    <v>THE GOLDMAN SACHS GROUP, INC.</v>
    <v>590.77</v>
    <v>17.163399999999999</v>
    <v>585.03</v>
    <v>592.79999999999995</v>
    <v>313909800</v>
    <v>GS</v>
    <v>THE GOLDMAN SACHS GROUP, INC. (XNYS:GS)</v>
    <v>1074274</v>
    <v>2328116</v>
    <v>1998</v>
  </rv>
  <rv s="4">
    <v>128</v>
  </rv>
  <rv s="0">
    <v>https://www.bing.com/financeapi/forcetrigger?t=a1uj52&amp;q=XNYS%3aHD&amp;form=skydnc</v>
    <v>Learn more on Bing</v>
  </rv>
  <rv s="5">
    <v>7</v>
    <v>THE HOME DEPOT, INC. (XNYS:HD)</v>
    <v>8</v>
    <v>9</v>
    <v>Finance</v>
    <v>5</v>
    <v>en-US</v>
    <v>a1uj52</v>
    <v>268435456</v>
    <v>1</v>
    <v>Powered by Refinitiv</v>
    <v>439.37</v>
    <v>323.77</v>
    <v>1.0373000000000001</v>
    <v>-1.27</v>
    <v>-3.0049999999999999E-3</v>
    <v>USD</v>
    <v>The Home Depot, Inc. is a home improvement retailer. The Company offers a wide assortment of building materials, home improvement products, lawn and garden products, decor products, and facilities maintenance, repair, and operations products. It also provides various services, including home improvement installation services and tool and equipment rental. The Company operates approximately 2,335 stores located throughout the United States including the Commonwealth of Puerto Rico and the territories of the U.S. Virgin Islands and Guam, Canada, and Mexico. The Home Depot stores average approximately 104,000 square feet of enclosed space, with approximately 24,000 additional square feet of outside garden area. It also maintains a network of distribution and fulfillment centers, as well as various e-commerce websites in the United States, Canada, and Mexico. The Company serves two primary customer groups: do-it-yourself (DIY) Customers and Professional Customers (Pros).</v>
    <v>463100</v>
    <v>New York Stock Exchange</v>
    <v>XNYS</v>
    <v>XNYS</v>
    <v>2455 Paces Ferry Road, ATLANTA, GA, 30339 US</v>
    <v>428</v>
    <v>Specialty Retailers</v>
    <v>Stock</v>
    <v>45637.873046839843</v>
    <v>130</v>
    <v>421.32</v>
    <v>418523530632</v>
    <v>THE HOME DEPOT, INC.</v>
    <v>THE HOME DEPOT, INC.</v>
    <v>424.54</v>
    <v>28.706099999999999</v>
    <v>422.59</v>
    <v>421.32</v>
    <v>993362600</v>
    <v>HD</v>
    <v>THE HOME DEPOT, INC. (XNYS:HD)</v>
    <v>2231765</v>
    <v>3528131</v>
    <v>1978</v>
  </rv>
  <rv s="4">
    <v>131</v>
  </rv>
  <rv s="0">
    <v>https://www.bing.com/financeapi/forcetrigger?t=a1zsjc&amp;q=XNYS%3aPG&amp;form=skydnc</v>
    <v>Learn more on Bing</v>
  </rv>
  <rv s="5">
    <v>7</v>
    <v>THE PROCTER &amp; GAMBLE COMPANY (XNYS:PG)</v>
    <v>8</v>
    <v>9</v>
    <v>Finance</v>
    <v>5</v>
    <v>en-US</v>
    <v>a1zsjc</v>
    <v>268435456</v>
    <v>1</v>
    <v>Powered by Refinitiv</v>
    <v>180.43</v>
    <v>142.5</v>
    <v>0.43680000000000002</v>
    <v>-1.7849999999999999</v>
    <v>-1.0361E-2</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108000</v>
    <v>New York Stock Exchange</v>
    <v>XNYS</v>
    <v>XNYS</v>
    <v>One Procter &amp; Gamble Plaza, CINCINNATI, OH, 45202 US</v>
    <v>173.39</v>
    <v>Personal &amp; Household Products &amp; Services</v>
    <v>Stock</v>
    <v>45637.873018217186</v>
    <v>133</v>
    <v>170.39500000000001</v>
    <v>401522885790</v>
    <v>THE PROCTER &amp; GAMBLE COMPANY</v>
    <v>THE PROCTER &amp; GAMBLE COMPANY</v>
    <v>173.01</v>
    <v>29.714200000000002</v>
    <v>172.28</v>
    <v>170.495</v>
    <v>2355042000</v>
    <v>PG</v>
    <v>THE PROCTER &amp; GAMBLE COMPANY (XNYS:PG)</v>
    <v>3052436</v>
    <v>7368266</v>
    <v>1905</v>
  </rv>
  <rv s="4">
    <v>134</v>
  </rv>
  <rv s="0">
    <v>http://en.wikipedia.org/wiki/The_Walt_Disney_Company</v>
    <v>Wikipedia</v>
  </rv>
  <rv s="1">
    <v>0</v>
    <v>136</v>
  </rv>
  <rv s="2">
    <v>6</v>
    <v>https://www.bing.com/th?id=AMMS_0aa288ba528f6f45e3de87d97e250136&amp;qlt=95</v>
    <v>137</v>
    <v>0</v>
    <v>https://www.bing.com/images/search?form=xlimg&amp;q=the+walt+disney+company</v>
    <v>Image of THE WALT DISNEY COMPANY</v>
  </rv>
  <rv s="0">
    <v>https://www.bing.com/financeapi/forcetrigger?t=a1r2z2&amp;q=XNYS%3aDIS&amp;form=skydnc</v>
    <v>Learn more on Bing</v>
  </rv>
  <rv s="3">
    <v>0</v>
    <v>THE WALT DISNEY COMPANY (XNYS:DIS)</v>
    <v>3</v>
    <v>4</v>
    <v>Finance</v>
    <v>5</v>
    <v>en-US</v>
    <v>a1r2z2</v>
    <v>268435456</v>
    <v>1</v>
    <v>Powered by Refinitiv</v>
    <v>123.74</v>
    <v>83.91</v>
    <v>1.4306000000000001</v>
    <v>-3.5000000000000003E-2</v>
    <v>-3.0509999999999999E-4</v>
    <v>USD</v>
    <v>The Walt Disney Company is a diversified worldwide entertainment company. The Company's segments include Entertainment, Sports and Experiences. The Entertainment segment generally encompasses the Company’s non-sports focused global film, television and direct-to-consumer (DTC) video streaming content production and distribution activities. Its line of business includes Linear Networks, Direct-to-Consumer, and Content Sales/Licensing. The Sports segment generally encompasses the Company’s sports-focused global television and DTC video streaming content production and distribution activities. Its line of business includes ESPN and Star. Experiences segment includes Parks and Experiences and Consumer Products. Parks and Experiences consists of Walt Disney World Resort in Florida, Disneyland Resort in California, Disney Cruise Line, Disney Vacation Club, and Disneyland Paris, among others. Consumer Products includes licensing of its trade names, characters, visual, literary and other IPs.</v>
    <v>233000</v>
    <v>New York Stock Exchange</v>
    <v>XNYS</v>
    <v>XNYS</v>
    <v>500 South Buena Vista Street, BURBANK, CA, 91521-0001 US</v>
    <v>115.05</v>
    <v>138</v>
    <v>Media &amp; Publishing</v>
    <v>Stock</v>
    <v>45637.873032638279</v>
    <v>139</v>
    <v>113.98</v>
    <v>207705648605</v>
    <v>THE WALT DISNEY COMPANY</v>
    <v>THE WALT DISNEY COMPANY</v>
    <v>114.33</v>
    <v>42.235700000000001</v>
    <v>114.73</v>
    <v>114.69499999999999</v>
    <v>1810939000</v>
    <v>DIS</v>
    <v>THE WALT DISNEY COMPANY (XNYS:DIS)</v>
    <v>4538535</v>
    <v>11766532</v>
    <v>2018</v>
  </rv>
  <rv s="4">
    <v>140</v>
  </rv>
  <rv s="0">
    <v>https://www.bing.com/financeapi/forcetrigger?t=a251gh&amp;q=XNYS%3aUSB&amp;form=skydnc</v>
    <v>Learn more on Bing</v>
  </rv>
  <rv s="5">
    <v>7</v>
    <v>U.S. BANCORP (XNYS:USB)</v>
    <v>8</v>
    <v>9</v>
    <v>Finance</v>
    <v>5</v>
    <v>en-US</v>
    <v>a251gh</v>
    <v>268435456</v>
    <v>1</v>
    <v>Powered by Refinitiv</v>
    <v>53.98</v>
    <v>37.81</v>
    <v>1.0556000000000001</v>
    <v>-0.26500000000000001</v>
    <v>-5.1390000000000003E-3</v>
    <v>USD</v>
    <v>U.S. Bancorp is a financial service holding company. The Company’s major lines of business are Wealth, Corporate, Commercial and Institutional Banking, Consumer and Business Banking, Payment Services, and Treasury and Corporate Support. The Company provides a range of financial services, including lending and depository services, cash management, capital markets, and trust and investment management services. It also engages in credit card services, merchant and ATM processing, and others. Its banking subsidiary, U.S. Bank National Association (USBNA), is engaged in the banking business, principally in domestic markets. USBNA provides a range of products and services to individuals, businesses, institutional organizations, governmental entities, and other financial institutions. Its non-banking subsidiaries offer investment and insurance products to the Company’s customers principally within its domestic markets, and fund administration services to a range of mutual and other funds.</v>
    <v>70000</v>
    <v>New York Stock Exchange</v>
    <v>XNYS</v>
    <v>XNYS</v>
    <v>800 Nicollet Mall, MINNEAPOLIS, MN, 55402-7020 US</v>
    <v>52.24</v>
    <v>Banking Services</v>
    <v>Stock</v>
    <v>45637.873048193753</v>
    <v>142</v>
    <v>51.25</v>
    <v>80037441760</v>
    <v>U.S. BANCORP</v>
    <v>U.S. BANCORP</v>
    <v>51.99</v>
    <v>15.7721</v>
    <v>51.57</v>
    <v>51.305</v>
    <v>1560032000</v>
    <v>USB</v>
    <v>U.S. BANCORP (XNYS:USB)</v>
    <v>5548419</v>
    <v>7506052</v>
    <v>1929</v>
  </rv>
  <rv s="4">
    <v>143</v>
  </rv>
  <rv s="0">
    <v>https://www.bing.com/financeapi/forcetrigger?t=a24xlh&amp;q=XNYS%3aUNH&amp;form=skydnc</v>
    <v>Learn more on Bing</v>
  </rv>
  <rv s="5">
    <v>7</v>
    <v>UNITEDHEALTH GROUP INCORPORATED (XNYS:UNH)</v>
    <v>8</v>
    <v>9</v>
    <v>Finance</v>
    <v>5</v>
    <v>en-US</v>
    <v>a24xlh</v>
    <v>268435456</v>
    <v>1</v>
    <v>Powered by Refinitiv</v>
    <v>630.73</v>
    <v>436.38</v>
    <v>0.59319999999999995</v>
    <v>-31.83</v>
    <v>-5.6317000000000006E-2</v>
    <v>USD</v>
    <v>UnitedHealth Group Incorporated is a healthcare company. The Company has two businesses, Optum and UnitedHealthcare. Optum serves the health care marketplace, including patients and consumers, payers, care providers, employers, governments and life sciences companies. UnitedHealthcare offers a full range of health benefits designed to simplify the health care experience and make it more affordable for consumers to access care. UnitedHealthcare Employer &amp; Individual serves consumers and employers, ranging from sole proprietorships to large, multi-site and national employers and public sector employers. UnitedHealthcare Medicare &amp; Retirement delivers health and well-being benefits to seniors and other Medicare eligible consumers. The Company’s segments include Optum Health, Optum Insight, Optum Rx and UnitedHealthcare. UnitedHealthcare segment includes UnitedHealthcare Employer &amp; Individual, UnitedHealthcare Medicare &amp; Retirement and UnitedHealthcare Community &amp; State.</v>
    <v>440000</v>
    <v>New York Stock Exchange</v>
    <v>XNYS</v>
    <v>XNYS</v>
    <v>9900 BREN ROAD EAST, MINNETONKA, MN, 55343 US</v>
    <v>558.1</v>
    <v>Healthcare Providers &amp; Services</v>
    <v>Stock</v>
    <v>45637.873026758592</v>
    <v>145</v>
    <v>533.16999999999996</v>
    <v>490842834248</v>
    <v>UNITEDHEALTH GROUP INCORPORATED</v>
    <v>UNITEDHEALTH GROUP INCORPORATED</v>
    <v>557.86</v>
    <v>36.751600000000003</v>
    <v>565.19000000000005</v>
    <v>533.36</v>
    <v>920284300</v>
    <v>UNH</v>
    <v>UNITEDHEALTH GROUP INCORPORATED (XNYS:UNH)</v>
    <v>7656331</v>
    <v>4145456</v>
    <v>2015</v>
  </rv>
  <rv s="4">
    <v>146</v>
  </rv>
  <rv s="0">
    <v>https://www.bing.com/financeapi/forcetrigger?t=a25obh&amp;q=XNYS%3aVZ&amp;form=skydnc</v>
    <v>Learn more on Bing</v>
  </rv>
  <rv s="5">
    <v>7</v>
    <v>VERIZON COMMUNICATIONS INC. (XNYS:VZ)</v>
    <v>8</v>
    <v>9</v>
    <v>Finance</v>
    <v>5</v>
    <v>en-US</v>
    <v>a25obh</v>
    <v>268435456</v>
    <v>1</v>
    <v>Powered by Refinitiv</v>
    <v>45.36</v>
    <v>36.46</v>
    <v>0.42949999999999999</v>
    <v>-0.24</v>
    <v>-5.6740000000000002E-3</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brands.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v>
    <v>103900</v>
    <v>New York Stock Exchange</v>
    <v>XNYS</v>
    <v>XNYS</v>
    <v>1095 Avenue Of The Americas, NEW YORK, NY, 10036 US</v>
    <v>42.46</v>
    <v>Telecommunications Services</v>
    <v>Stock</v>
    <v>45637.873061469531</v>
    <v>148</v>
    <v>41.89</v>
    <v>177056869560</v>
    <v>VERIZON COMMUNICATIONS INC.</v>
    <v>VERIZON COMMUNICATIONS INC.</v>
    <v>42.18</v>
    <v>18.103400000000001</v>
    <v>42.3</v>
    <v>42.06</v>
    <v>4209626000</v>
    <v>VZ</v>
    <v>VERIZON COMMUNICATIONS INC. (XNYS:VZ)</v>
    <v>8835182</v>
    <v>16863296</v>
    <v>1983</v>
  </rv>
  <rv s="4">
    <v>149</v>
  </rv>
  <rv s="0">
    <v>https://www.bing.com/financeapi/forcetrigger?t=a256cw&amp;q=XNYS%3aV&amp;form=skydnc</v>
    <v>Learn more on Bing</v>
  </rv>
  <rv s="5">
    <v>7</v>
    <v>VISA INC. (XNYS:V)</v>
    <v>8</v>
    <v>9</v>
    <v>Finance</v>
    <v>5</v>
    <v>en-US</v>
    <v>a256cw</v>
    <v>268435456</v>
    <v>1</v>
    <v>Powered by Refinitiv</v>
    <v>317.42</v>
    <v>252.7</v>
    <v>0.96220000000000006</v>
    <v>1.1200000000000001</v>
    <v>3.5849999999999996E-3</v>
    <v>USD</v>
    <v>Visa Inc. is a global payments technology company. It facilitates global commerce and money movement across more than 200 countries and territories among a global set of consumers, merchants, financial institutions and government entities through technologies. It operates through the Payment Services segment. It provides transaction processing services (primarily authorization, clearing and settlement) to its financial institution and merchant clients through VisaNet, its proprietary advanced transaction processing network. It offers a range of Visa-branded payment products that its clients, including nearly 14,500 financial institutions, use to develop and offer payment solutions or services, including credit, debit, prepaid and cash access programs for individual, business and government account holders. It also provides value-added services to its clients, including issuing solutions, acceptance solutions, risk and identity solutions, open banking solutions and advisory services.</v>
    <v>31600</v>
    <v>New York Stock Exchange</v>
    <v>XNYS</v>
    <v>XNYS</v>
    <v>P.O. Box 8999, SAN FRANCISCO, CA, 94128-8999 US</v>
    <v>315.52</v>
    <v>Software &amp; IT Services</v>
    <v>Stock</v>
    <v>45637.873053286719</v>
    <v>151</v>
    <v>311.21499999999997</v>
    <v>614784159000</v>
    <v>VISA INC.</v>
    <v>VISA INC.</v>
    <v>312.99</v>
    <v>32.0839</v>
    <v>312.38</v>
    <v>313.5</v>
    <v>1961034000</v>
    <v>V</v>
    <v>VISA INC. (XNYS:V)</v>
    <v>2948918</v>
    <v>5745852</v>
    <v>2007</v>
  </rv>
  <rv s="4">
    <v>152</v>
  </rv>
  <rv s="0">
    <v>https://www.bing.com/financeapi/forcetrigger?t=a25ya2&amp;q=XNYS%3aWMT&amp;form=skydnc</v>
    <v>Learn more on Bing</v>
  </rv>
  <rv s="5">
    <v>7</v>
    <v>WALMART INC. (XNYS:WMT)</v>
    <v>8</v>
    <v>9</v>
    <v>Finance</v>
    <v>5</v>
    <v>en-US</v>
    <v>a25ya2</v>
    <v>268435456</v>
    <v>1</v>
    <v>Powered by Refinitiv</v>
    <v>96.18</v>
    <v>49.846600000000002</v>
    <v>0.54510000000000003</v>
    <v>0.25</v>
    <v>2.6440000000000001E-3</v>
    <v>USD</v>
    <v>Walmart Inc. is a technology-powered omnichannel retailer. The Company is engaged in the operation of retail and wholesale stores and clubs, as well as e-commerce websites and mobile applications, located throughout the United States, Africa, Canada, Central America, Chile, China, India and Mexico. It operates through three segments: Walmart U.S., Walmart International and Sam's Club. The Walmart U.S. segment includes the Company's mass merchant concept in the United States, as well as e-commerce, which includes omni-channel initiatives and certain other business offerings such as advertising services through Walmart Connect. It operates under the Walmart and Walmart Neighborhood Market brands. The Walmart International segment consists of the Company's operations outside of the United States, as well as e-commerce and omni-channel initiatives. The Sam's Club segment includes the warehouse membership clubs in the United States, as well as e-commerce and omni-channel initiatives.</v>
    <v>2100000</v>
    <v>New York Stock Exchange</v>
    <v>XNYS</v>
    <v>XNYS</v>
    <v>702 SW 8th St, BENTONVILLE, AR, 72716-6209 US</v>
    <v>95.69</v>
    <v>Food &amp; Drug Retailing</v>
    <v>Stock</v>
    <v>45637.873045682813</v>
    <v>154</v>
    <v>94.5</v>
    <v>761564992800</v>
    <v>WALMART INC.</v>
    <v>WALMART INC.</v>
    <v>94.54</v>
    <v>47.737200000000001</v>
    <v>94.55</v>
    <v>94.8</v>
    <v>8033386000</v>
    <v>WMT</v>
    <v>WALMART INC. (XNYS:WMT)</v>
    <v>8094129</v>
    <v>17744242</v>
    <v>1969</v>
  </rv>
  <rv s="4">
    <v>155</v>
  </rv>
  <rv s="0">
    <v>https://www.bing.com/financeapi/forcetrigger?t=a25tgh&amp;q=XNYS%3aWFC&amp;form=skydnc</v>
    <v>Learn more on Bing</v>
  </rv>
  <rv s="5">
    <v>7</v>
    <v>WELLS FARGO &amp; COMPANY (XNYS:WFC)</v>
    <v>8</v>
    <v>9</v>
    <v>Finance</v>
    <v>5</v>
    <v>en-US</v>
    <v>a25tgh</v>
    <v>268435456</v>
    <v>1</v>
    <v>Powered by Refinitiv</v>
    <v>78.13</v>
    <v>45.57</v>
    <v>1.1714</v>
    <v>-0.315</v>
    <v>-4.372E-3</v>
    <v>USD</v>
    <v>Wells Fargo &amp; Company is a financial services company. It provides a diversified set of banking, investment and mortgage products and services, and consumer and commercial finance, through banking locations and offices, the Internet (www.wellsfargo.com) and other distribution channels to individuals, businesses and institutions in all 50 states, the District of Columbia and in countries outside the United States. Its segments include Consumer Banking and Lending; Commercial Banking; Corporate and Investment Banking, and Wealth and Investment Management. The Wealth and Investment Management segment provides personalized wealth management, brokerage, financial planning, lending, private banking, trust and fiduciary products and services to affluent, high-net worth and ultra-high-net worth clients. Commercial Banking products and services include banking and credit products across multiple industry sectors and municipalities, secured lending and lease products, and treasury management.</v>
    <v>220167</v>
    <v>New York Stock Exchange</v>
    <v>XNYS</v>
    <v>XNYS</v>
    <v>420 Montgomery Street, SAN FRANCISCO, CA, 94104 US</v>
    <v>72.92</v>
    <v>Banking Services</v>
    <v>Stock</v>
    <v>45637.873026770314</v>
    <v>157</v>
    <v>71.45</v>
    <v>239989442500</v>
    <v>WELLS FARGO &amp; COMPANY</v>
    <v>WELLS FARGO &amp; COMPANY</v>
    <v>72.59</v>
    <v>14.9663</v>
    <v>72.05</v>
    <v>71.734999999999999</v>
    <v>3345500000</v>
    <v>WFC</v>
    <v>WELLS FARGO &amp; COMPANY (XNYS:WFC)</v>
    <v>8110689</v>
    <v>18601662</v>
    <v>1929</v>
  </rv>
  <rv s="4">
    <v>158</v>
  </rv>
  <rv s="7">
    <fb>45272</fb>
    <v>12</v>
  </rv>
  <rv s="7">
    <fb>45273</fb>
    <v>12</v>
  </rv>
  <rv s="7">
    <fb>45274</fb>
    <v>12</v>
  </rv>
  <rv s="7">
    <fb>45275</fb>
    <v>12</v>
  </rv>
  <rv s="7">
    <fb>45278</fb>
    <v>12</v>
  </rv>
  <rv s="7">
    <fb>45279</fb>
    <v>12</v>
  </rv>
  <rv s="7">
    <fb>45280</fb>
    <v>12</v>
  </rv>
  <rv s="7">
    <fb>45281</fb>
    <v>12</v>
  </rv>
  <rv s="7">
    <fb>45282</fb>
    <v>12</v>
  </rv>
  <rv s="7">
    <fb>45286</fb>
    <v>12</v>
  </rv>
  <rv s="7">
    <fb>45287</fb>
    <v>12</v>
  </rv>
  <rv s="7">
    <fb>45288</fb>
    <v>12</v>
  </rv>
  <rv s="7">
    <fb>45289</fb>
    <v>12</v>
  </rv>
  <rv s="7">
    <fb>45293</fb>
    <v>12</v>
  </rv>
  <rv s="7">
    <fb>45294</fb>
    <v>12</v>
  </rv>
  <rv s="7">
    <fb>45295</fb>
    <v>12</v>
  </rv>
  <rv s="7">
    <fb>45296</fb>
    <v>12</v>
  </rv>
  <rv s="7">
    <fb>45299</fb>
    <v>12</v>
  </rv>
  <rv s="7">
    <fb>45300</fb>
    <v>12</v>
  </rv>
  <rv s="7">
    <fb>45301</fb>
    <v>12</v>
  </rv>
  <rv s="7">
    <fb>45302</fb>
    <v>12</v>
  </rv>
  <rv s="7">
    <fb>45303</fb>
    <v>12</v>
  </rv>
  <rv s="7">
    <fb>45307</fb>
    <v>12</v>
  </rv>
  <rv s="7">
    <fb>45308</fb>
    <v>12</v>
  </rv>
  <rv s="7">
    <fb>45309</fb>
    <v>12</v>
  </rv>
  <rv s="7">
    <fb>45310</fb>
    <v>12</v>
  </rv>
  <rv s="7">
    <fb>45313</fb>
    <v>12</v>
  </rv>
  <rv s="7">
    <fb>45314</fb>
    <v>12</v>
  </rv>
  <rv s="7">
    <fb>45315</fb>
    <v>12</v>
  </rv>
  <rv s="7">
    <fb>45316</fb>
    <v>12</v>
  </rv>
  <rv s="7">
    <fb>45317</fb>
    <v>12</v>
  </rv>
  <rv s="7">
    <fb>45320</fb>
    <v>12</v>
  </rv>
  <rv s="7">
    <fb>45321</fb>
    <v>12</v>
  </rv>
  <rv s="7">
    <fb>45322</fb>
    <v>12</v>
  </rv>
  <rv s="7">
    <fb>45323</fb>
    <v>12</v>
  </rv>
  <rv s="7">
    <fb>45324</fb>
    <v>12</v>
  </rv>
  <rv s="7">
    <fb>45327</fb>
    <v>12</v>
  </rv>
  <rv s="7">
    <fb>45328</fb>
    <v>12</v>
  </rv>
  <rv s="7">
    <fb>45329</fb>
    <v>12</v>
  </rv>
  <rv s="7">
    <fb>45330</fb>
    <v>12</v>
  </rv>
  <rv s="7">
    <fb>45331</fb>
    <v>12</v>
  </rv>
  <rv s="7">
    <fb>45334</fb>
    <v>12</v>
  </rv>
  <rv s="7">
    <fb>45335</fb>
    <v>12</v>
  </rv>
  <rv s="7">
    <fb>45336</fb>
    <v>12</v>
  </rv>
  <rv s="7">
    <fb>45337</fb>
    <v>12</v>
  </rv>
  <rv s="7">
    <fb>45338</fb>
    <v>12</v>
  </rv>
  <rv s="7">
    <fb>45342</fb>
    <v>12</v>
  </rv>
  <rv s="7">
    <fb>45343</fb>
    <v>12</v>
  </rv>
  <rv s="7">
    <fb>45344</fb>
    <v>12</v>
  </rv>
  <rv s="7">
    <fb>45345</fb>
    <v>12</v>
  </rv>
  <rv s="7">
    <fb>45348</fb>
    <v>12</v>
  </rv>
  <rv s="7">
    <fb>45349</fb>
    <v>12</v>
  </rv>
  <rv s="7">
    <fb>45350</fb>
    <v>12</v>
  </rv>
  <rv s="7">
    <fb>45351</fb>
    <v>12</v>
  </rv>
  <rv s="7">
    <fb>45352</fb>
    <v>12</v>
  </rv>
  <rv s="7">
    <fb>45355</fb>
    <v>12</v>
  </rv>
  <rv s="7">
    <fb>45356</fb>
    <v>12</v>
  </rv>
  <rv s="7">
    <fb>45357</fb>
    <v>12</v>
  </rv>
  <rv s="7">
    <fb>45358</fb>
    <v>12</v>
  </rv>
  <rv s="7">
    <fb>45359</fb>
    <v>12</v>
  </rv>
  <rv s="7">
    <fb>45362</fb>
    <v>12</v>
  </rv>
  <rv s="7">
    <fb>45363</fb>
    <v>12</v>
  </rv>
  <rv s="7">
    <fb>45364</fb>
    <v>12</v>
  </rv>
  <rv s="7">
    <fb>45365</fb>
    <v>12</v>
  </rv>
  <rv s="7">
    <fb>45366</fb>
    <v>12</v>
  </rv>
  <rv s="7">
    <fb>45369</fb>
    <v>12</v>
  </rv>
  <rv s="7">
    <fb>45370</fb>
    <v>12</v>
  </rv>
  <rv s="7">
    <fb>45371</fb>
    <v>12</v>
  </rv>
  <rv s="7">
    <fb>45372</fb>
    <v>12</v>
  </rv>
  <rv s="7">
    <fb>45373</fb>
    <v>12</v>
  </rv>
  <rv s="7">
    <fb>45376</fb>
    <v>12</v>
  </rv>
  <rv s="7">
    <fb>45377</fb>
    <v>12</v>
  </rv>
  <rv s="7">
    <fb>45378</fb>
    <v>12</v>
  </rv>
  <rv s="7">
    <fb>45379</fb>
    <v>12</v>
  </rv>
  <rv s="7">
    <fb>45383</fb>
    <v>12</v>
  </rv>
  <rv s="7">
    <fb>45384</fb>
    <v>12</v>
  </rv>
  <rv s="7">
    <fb>45385</fb>
    <v>12</v>
  </rv>
  <rv s="7">
    <fb>45386</fb>
    <v>12</v>
  </rv>
  <rv s="7">
    <fb>45387</fb>
    <v>12</v>
  </rv>
  <rv s="7">
    <fb>45390</fb>
    <v>12</v>
  </rv>
  <rv s="7">
    <fb>45391</fb>
    <v>12</v>
  </rv>
  <rv s="7">
    <fb>45392</fb>
    <v>12</v>
  </rv>
  <rv s="7">
    <fb>45393</fb>
    <v>12</v>
  </rv>
  <rv s="7">
    <fb>45394</fb>
    <v>12</v>
  </rv>
  <rv s="7">
    <fb>45397</fb>
    <v>12</v>
  </rv>
  <rv s="7">
    <fb>45398</fb>
    <v>12</v>
  </rv>
  <rv s="7">
    <fb>45399</fb>
    <v>12</v>
  </rv>
  <rv s="7">
    <fb>45400</fb>
    <v>12</v>
  </rv>
  <rv s="7">
    <fb>45401</fb>
    <v>12</v>
  </rv>
  <rv s="7">
    <fb>45404</fb>
    <v>12</v>
  </rv>
  <rv s="7">
    <fb>45405</fb>
    <v>12</v>
  </rv>
  <rv s="7">
    <fb>45406</fb>
    <v>12</v>
  </rv>
  <rv s="7">
    <fb>45407</fb>
    <v>12</v>
  </rv>
  <rv s="7">
    <fb>45408</fb>
    <v>12</v>
  </rv>
  <rv s="7">
    <fb>45411</fb>
    <v>12</v>
  </rv>
  <rv s="7">
    <fb>45412</fb>
    <v>12</v>
  </rv>
  <rv s="7">
    <fb>45413</fb>
    <v>12</v>
  </rv>
  <rv s="7">
    <fb>45414</fb>
    <v>12</v>
  </rv>
  <rv s="7">
    <fb>45415</fb>
    <v>12</v>
  </rv>
  <rv s="7">
    <fb>45418</fb>
    <v>12</v>
  </rv>
  <rv s="7">
    <fb>45419</fb>
    <v>12</v>
  </rv>
  <rv s="7">
    <fb>45420</fb>
    <v>12</v>
  </rv>
  <rv s="7">
    <fb>45421</fb>
    <v>12</v>
  </rv>
  <rv s="7">
    <fb>45422</fb>
    <v>12</v>
  </rv>
  <rv s="7">
    <fb>45425</fb>
    <v>12</v>
  </rv>
  <rv s="7">
    <fb>45426</fb>
    <v>12</v>
  </rv>
  <rv s="7">
    <fb>45427</fb>
    <v>12</v>
  </rv>
  <rv s="7">
    <fb>45428</fb>
    <v>12</v>
  </rv>
  <rv s="7">
    <fb>45429</fb>
    <v>12</v>
  </rv>
  <rv s="7">
    <fb>45432</fb>
    <v>12</v>
  </rv>
  <rv s="7">
    <fb>45433</fb>
    <v>12</v>
  </rv>
  <rv s="7">
    <fb>45434</fb>
    <v>12</v>
  </rv>
  <rv s="7">
    <fb>45435</fb>
    <v>12</v>
  </rv>
  <rv s="7">
    <fb>45436</fb>
    <v>12</v>
  </rv>
  <rv s="7">
    <fb>45440</fb>
    <v>12</v>
  </rv>
  <rv s="7">
    <fb>45441</fb>
    <v>12</v>
  </rv>
  <rv s="7">
    <fb>45442</fb>
    <v>12</v>
  </rv>
  <rv s="7">
    <fb>45443</fb>
    <v>12</v>
  </rv>
  <rv s="7">
    <fb>45446</fb>
    <v>12</v>
  </rv>
  <rv s="7">
    <fb>45447</fb>
    <v>12</v>
  </rv>
  <rv s="7">
    <fb>45448</fb>
    <v>12</v>
  </rv>
  <rv s="7">
    <fb>45449</fb>
    <v>12</v>
  </rv>
  <rv s="7">
    <fb>45450</fb>
    <v>12</v>
  </rv>
  <rv s="7">
    <fb>45453</fb>
    <v>12</v>
  </rv>
  <rv s="7">
    <fb>45454</fb>
    <v>12</v>
  </rv>
  <rv s="7">
    <fb>45455</fb>
    <v>12</v>
  </rv>
  <rv s="7">
    <fb>45456</fb>
    <v>12</v>
  </rv>
  <rv s="7">
    <fb>45457</fb>
    <v>12</v>
  </rv>
  <rv s="7">
    <fb>45460</fb>
    <v>12</v>
  </rv>
  <rv s="7">
    <fb>45461</fb>
    <v>12</v>
  </rv>
  <rv s="7">
    <fb>45463</fb>
    <v>12</v>
  </rv>
  <rv s="7">
    <fb>45464</fb>
    <v>12</v>
  </rv>
  <rv s="7">
    <fb>45467</fb>
    <v>12</v>
  </rv>
  <rv s="7">
    <fb>45468</fb>
    <v>12</v>
  </rv>
  <rv s="7">
    <fb>45469</fb>
    <v>12</v>
  </rv>
  <rv s="7">
    <fb>45470</fb>
    <v>12</v>
  </rv>
  <rv s="7">
    <fb>45471</fb>
    <v>12</v>
  </rv>
  <rv s="7">
    <fb>45474</fb>
    <v>12</v>
  </rv>
  <rv s="7">
    <fb>45475</fb>
    <v>12</v>
  </rv>
  <rv s="7">
    <fb>45476</fb>
    <v>12</v>
  </rv>
  <rv s="7">
    <fb>45478</fb>
    <v>12</v>
  </rv>
  <rv s="7">
    <fb>45481</fb>
    <v>12</v>
  </rv>
  <rv s="7">
    <fb>45482</fb>
    <v>12</v>
  </rv>
  <rv s="7">
    <fb>45483</fb>
    <v>12</v>
  </rv>
  <rv s="7">
    <fb>45484</fb>
    <v>12</v>
  </rv>
  <rv s="7">
    <fb>45485</fb>
    <v>12</v>
  </rv>
  <rv s="7">
    <fb>45488</fb>
    <v>12</v>
  </rv>
  <rv s="7">
    <fb>45489</fb>
    <v>12</v>
  </rv>
  <rv s="7">
    <fb>45490</fb>
    <v>12</v>
  </rv>
  <rv s="7">
    <fb>45491</fb>
    <v>12</v>
  </rv>
  <rv s="7">
    <fb>45492</fb>
    <v>12</v>
  </rv>
  <rv s="7">
    <fb>45495</fb>
    <v>12</v>
  </rv>
  <rv s="7">
    <fb>45496</fb>
    <v>12</v>
  </rv>
  <rv s="7">
    <fb>45497</fb>
    <v>12</v>
  </rv>
  <rv s="7">
    <fb>45498</fb>
    <v>12</v>
  </rv>
  <rv s="7">
    <fb>45499</fb>
    <v>12</v>
  </rv>
  <rv s="7">
    <fb>45502</fb>
    <v>12</v>
  </rv>
  <rv s="7">
    <fb>45503</fb>
    <v>12</v>
  </rv>
  <rv s="7">
    <fb>45504</fb>
    <v>12</v>
  </rv>
  <rv s="7">
    <fb>45505</fb>
    <v>12</v>
  </rv>
  <rv s="7">
    <fb>45506</fb>
    <v>12</v>
  </rv>
  <rv s="7">
    <fb>45509</fb>
    <v>12</v>
  </rv>
  <rv s="7">
    <fb>45510</fb>
    <v>12</v>
  </rv>
  <rv s="7">
    <fb>45511</fb>
    <v>12</v>
  </rv>
  <rv s="7">
    <fb>45512</fb>
    <v>12</v>
  </rv>
  <rv s="7">
    <fb>45513</fb>
    <v>12</v>
  </rv>
  <rv s="7">
    <fb>45516</fb>
    <v>12</v>
  </rv>
  <rv s="7">
    <fb>45517</fb>
    <v>12</v>
  </rv>
  <rv s="7">
    <fb>45518</fb>
    <v>12</v>
  </rv>
  <rv s="7">
    <fb>45519</fb>
    <v>12</v>
  </rv>
  <rv s="7">
    <fb>45520</fb>
    <v>12</v>
  </rv>
  <rv s="7">
    <fb>45523</fb>
    <v>12</v>
  </rv>
  <rv s="7">
    <fb>45524</fb>
    <v>12</v>
  </rv>
  <rv s="7">
    <fb>45525</fb>
    <v>12</v>
  </rv>
  <rv s="7">
    <fb>45526</fb>
    <v>12</v>
  </rv>
  <rv s="7">
    <fb>45527</fb>
    <v>12</v>
  </rv>
  <rv s="7">
    <fb>45530</fb>
    <v>12</v>
  </rv>
  <rv s="7">
    <fb>45531</fb>
    <v>12</v>
  </rv>
  <rv s="7">
    <fb>45532</fb>
    <v>12</v>
  </rv>
  <rv s="7">
    <fb>45533</fb>
    <v>12</v>
  </rv>
  <rv s="7">
    <fb>45534</fb>
    <v>12</v>
  </rv>
  <rv s="7">
    <fb>45538</fb>
    <v>12</v>
  </rv>
  <rv s="7">
    <fb>45539</fb>
    <v>12</v>
  </rv>
  <rv s="7">
    <fb>45540</fb>
    <v>12</v>
  </rv>
  <rv s="7">
    <fb>45541</fb>
    <v>12</v>
  </rv>
  <rv s="7">
    <fb>45544</fb>
    <v>12</v>
  </rv>
  <rv s="7">
    <fb>45545</fb>
    <v>12</v>
  </rv>
  <rv s="7">
    <fb>45546</fb>
    <v>12</v>
  </rv>
  <rv s="7">
    <fb>45547</fb>
    <v>12</v>
  </rv>
  <rv s="7">
    <fb>45548</fb>
    <v>12</v>
  </rv>
  <rv s="7">
    <fb>45551</fb>
    <v>12</v>
  </rv>
  <rv s="7">
    <fb>45552</fb>
    <v>12</v>
  </rv>
  <rv s="7">
    <fb>45553</fb>
    <v>12</v>
  </rv>
  <rv s="7">
    <fb>45554</fb>
    <v>12</v>
  </rv>
  <rv s="7">
    <fb>45555</fb>
    <v>12</v>
  </rv>
  <rv s="7">
    <fb>45558</fb>
    <v>12</v>
  </rv>
  <rv s="7">
    <fb>45559</fb>
    <v>12</v>
  </rv>
  <rv s="7">
    <fb>45560</fb>
    <v>12</v>
  </rv>
  <rv s="7">
    <fb>45561</fb>
    <v>12</v>
  </rv>
  <rv s="7">
    <fb>45562</fb>
    <v>12</v>
  </rv>
  <rv s="7">
    <fb>45565</fb>
    <v>12</v>
  </rv>
  <rv s="7">
    <fb>45566</fb>
    <v>12</v>
  </rv>
  <rv s="7">
    <fb>45567</fb>
    <v>12</v>
  </rv>
  <rv s="7">
    <fb>45568</fb>
    <v>12</v>
  </rv>
  <rv s="7">
    <fb>45569</fb>
    <v>12</v>
  </rv>
  <rv s="7">
    <fb>45572</fb>
    <v>12</v>
  </rv>
  <rv s="7">
    <fb>45573</fb>
    <v>12</v>
  </rv>
  <rv s="7">
    <fb>45574</fb>
    <v>12</v>
  </rv>
  <rv s="7">
    <fb>45575</fb>
    <v>12</v>
  </rv>
  <rv s="7">
    <fb>45576</fb>
    <v>12</v>
  </rv>
  <rv s="7">
    <fb>45579</fb>
    <v>12</v>
  </rv>
  <rv s="7">
    <fb>45580</fb>
    <v>12</v>
  </rv>
  <rv s="7">
    <fb>45581</fb>
    <v>12</v>
  </rv>
  <rv s="7">
    <fb>45582</fb>
    <v>12</v>
  </rv>
  <rv s="7">
    <fb>45583</fb>
    <v>12</v>
  </rv>
  <rv s="7">
    <fb>45586</fb>
    <v>12</v>
  </rv>
  <rv s="7">
    <fb>45587</fb>
    <v>12</v>
  </rv>
  <rv s="7">
    <fb>45588</fb>
    <v>12</v>
  </rv>
  <rv s="7">
    <fb>45589</fb>
    <v>12</v>
  </rv>
  <rv s="7">
    <fb>45590</fb>
    <v>12</v>
  </rv>
  <rv s="7">
    <fb>45593</fb>
    <v>12</v>
  </rv>
  <rv s="7">
    <fb>45594</fb>
    <v>12</v>
  </rv>
  <rv s="7">
    <fb>45595</fb>
    <v>12</v>
  </rv>
  <rv s="7">
    <fb>45596</fb>
    <v>12</v>
  </rv>
  <rv s="7">
    <fb>45597</fb>
    <v>12</v>
  </rv>
  <rv s="7">
    <fb>45600</fb>
    <v>12</v>
  </rv>
  <rv s="7">
    <fb>45601</fb>
    <v>12</v>
  </rv>
  <rv s="7">
    <fb>45602</fb>
    <v>12</v>
  </rv>
  <rv s="7">
    <fb>45603</fb>
    <v>12</v>
  </rv>
  <rv s="7">
    <fb>45604</fb>
    <v>12</v>
  </rv>
  <rv s="7">
    <fb>45607</fb>
    <v>12</v>
  </rv>
  <rv s="7">
    <fb>45608</fb>
    <v>12</v>
  </rv>
  <rv s="7">
    <fb>45609</fb>
    <v>12</v>
  </rv>
  <rv s="7">
    <fb>45610</fb>
    <v>12</v>
  </rv>
  <rv s="7">
    <fb>45611</fb>
    <v>12</v>
  </rv>
  <rv s="7">
    <fb>45614</fb>
    <v>12</v>
  </rv>
  <rv s="7">
    <fb>45615</fb>
    <v>12</v>
  </rv>
  <rv s="7">
    <fb>45616</fb>
    <v>12</v>
  </rv>
  <rv s="7">
    <fb>45617</fb>
    <v>12</v>
  </rv>
  <rv s="7">
    <fb>45618</fb>
    <v>12</v>
  </rv>
  <rv s="7">
    <fb>45621</fb>
    <v>12</v>
  </rv>
  <rv s="7">
    <fb>45622</fb>
    <v>12</v>
  </rv>
  <rv s="7">
    <fb>45623</fb>
    <v>12</v>
  </rv>
  <rv s="7">
    <fb>45625</fb>
    <v>12</v>
  </rv>
  <rv s="7">
    <fb>45628</fb>
    <v>12</v>
  </rv>
  <rv s="7">
    <fb>45629</fb>
    <v>12</v>
  </rv>
  <rv s="7">
    <fb>45630</fb>
    <v>12</v>
  </rv>
  <rv s="7">
    <fb>45631</fb>
    <v>12</v>
  </rv>
  <rv s="7">
    <fb>45632</fb>
    <v>12</v>
  </rv>
  <rv s="7">
    <fb>45635</fb>
    <v>12</v>
  </rv>
  <rv s="7">
    <fb>45636</fb>
    <v>12</v>
  </rv>
  <rv s="7">
    <fb>633.66</fb>
    <v>13</v>
  </rv>
  <rv s="7">
    <fb>624.26</fb>
    <v>13</v>
  </rv>
  <rv s="7">
    <fb>584.64</fb>
    <v>13</v>
  </rv>
  <rv s="7">
    <fb>584.67999999999995</fb>
    <v>13</v>
  </rv>
  <rv s="7">
    <fb>599.13</fb>
    <v>13</v>
  </rv>
  <rv s="7">
    <fb>604.64</fb>
    <v>13</v>
  </rv>
  <rv s="7">
    <fb>596.05999999999995</fb>
    <v>13</v>
  </rv>
  <rv s="7">
    <fb>600.14</fb>
    <v>13</v>
  </rv>
  <rv s="7">
    <fb>598.75</fb>
    <v>13</v>
  </rv>
  <rv s="7">
    <fb>598.26</fb>
    <v>13</v>
  </rv>
  <rv s="7">
    <fb>596.08000000000004</fb>
    <v>13</v>
  </rv>
  <rv s="7">
    <fb>595.52</fb>
    <v>13</v>
  </rv>
  <rv s="7">
    <fb>596.6</fb>
    <v>13</v>
  </rv>
  <rv s="7">
    <fb>580.07000000000005</fb>
    <v>13</v>
  </rv>
  <rv s="7">
    <fb>571.79</fb>
    <v>13</v>
  </rv>
  <rv s="7">
    <fb>567.04999999999995</fb>
    <v>13</v>
  </rv>
  <rv s="7">
    <fb>564.6</fb>
    <v>13</v>
  </rv>
  <rv s="7">
    <fb>580.54999999999995</fb>
    <v>13</v>
  </rv>
  <rv s="7">
    <fb>586.20000000000005</fb>
    <v>13</v>
  </rv>
  <rv s="7">
    <fb>591.03</fb>
    <v>13</v>
  </rv>
  <rv s="7">
    <fb>597.49</fb>
    <v>13</v>
  </rv>
  <rv s="7">
    <fb>596.54</fb>
    <v>13</v>
  </rv>
  <rv s="7">
    <fb>597.67999999999995</fb>
    <v>13</v>
  </rv>
  <rv s="7">
    <fb>596.1</fb>
    <v>13</v>
  </rv>
  <rv s="7">
    <fb>593.70000000000005</fb>
    <v>13</v>
  </rv>
  <rv s="7">
    <fb>611.54999999999995</fb>
    <v>13</v>
  </rv>
  <rv s="7">
    <fb>603.59</fb>
    <v>13</v>
  </rv>
  <rv s="7">
    <fb>597.17999999999995</fb>
    <v>13</v>
  </rv>
  <rv s="7">
    <fb>606.48</fb>
    <v>13</v>
  </rv>
  <rv s="7">
    <fb>622.58000000000004</fb>
    <v>13</v>
  </rv>
  <rv s="7">
    <fb>613.92999999999995</fb>
    <v>13</v>
  </rv>
  <rv s="7">
    <fb>630.23</fb>
    <v>13</v>
  </rv>
  <rv s="7">
    <fb>627.96</fb>
    <v>13</v>
  </rv>
  <rv s="7">
    <fb>617.78</fb>
    <v>13</v>
  </rv>
  <rv s="7">
    <fb>627.91</fb>
    <v>13</v>
  </rv>
  <rv s="7">
    <fb>634.76</fb>
    <v>13</v>
  </rv>
  <rv s="7">
    <fb>630.5</fb>
    <v>13</v>
  </rv>
  <rv s="7">
    <fb>607.14</fb>
    <v>13</v>
  </rv>
  <rv s="7">
    <fb>615.85</fb>
    <v>13</v>
  </rv>
  <rv s="7">
    <fb>615.86</fb>
    <v>13</v>
  </rv>
  <rv s="7">
    <fb>627.21</fb>
    <v>13</v>
  </rv>
  <rv s="7">
    <fb>611.84</fb>
    <v>13</v>
  </rv>
  <rv s="7">
    <fb>601.89</fb>
    <v>13</v>
  </rv>
  <rv s="7">
    <fb>604.66</fb>
    <v>13</v>
  </rv>
  <rv s="7">
    <fb>590.44000000000005</fb>
    <v>13</v>
  </rv>
  <rv s="7">
    <fb>546.66</fb>
    <v>13</v>
  </rv>
  <rv s="7">
    <fb>541.91</fb>
    <v>13</v>
  </rv>
  <rv s="7">
    <fb>538.52</fb>
    <v>13</v>
  </rv>
  <rv s="7">
    <fb>537.57000000000005</fb>
    <v>13</v>
  </rv>
  <rv s="7">
    <fb>553.44000000000005</fb>
    <v>13</v>
  </rv>
  <rv s="7">
    <fb>560.48</fb>
    <v>13</v>
  </rv>
  <rv s="7">
    <fb>552.49</fb>
    <v>13</v>
  </rv>
  <rv s="7">
    <fb>551.82000000000005</fb>
    <v>13</v>
  </rv>
  <rv s="7">
    <fb>560.28</fb>
    <v>13</v>
  </rv>
  <rv s="7">
    <fb>570.92999999999995</fb>
    <v>13</v>
  </rv>
  <rv s="7">
    <fb>567.94000000000005</fb>
    <v>13</v>
  </rv>
  <rv s="7">
    <fb>544.84</fb>
    <v>13</v>
  </rv>
  <rv s="7">
    <fb>543.09</fb>
    <v>13</v>
  </rv>
  <rv s="7">
    <fb>556.04</fb>
    <v>13</v>
  </rv>
  <rv s="7">
    <fb>551.69000000000005</fb>
    <v>13</v>
  </rv>
  <rv s="7">
    <fb>560.41999999999996</fb>
    <v>13</v>
  </rv>
  <rv s="7">
    <fb>579.14</fb>
    <v>13</v>
  </rv>
  <rv s="7">
    <fb>573.54999999999995</fb>
    <v>13</v>
  </rv>
  <rv s="7">
    <fb>570.45000000000005</fb>
    <v>13</v>
  </rv>
  <rv s="7">
    <fb>492.46</fb>
    <v>13</v>
  </rv>
  <rv s="7">
    <fb>513.86</fb>
    <v>13</v>
  </rv>
  <rv s="7">
    <fb>521.19000000000005</fb>
    <v>13</v>
  </rv>
  <rv s="7">
    <fb>519.14</fb>
    <v>13</v>
  </rv>
  <rv s="7">
    <fb>511.25</fb>
    <v>13</v>
  </rv>
  <rv s="7">
    <fb>499.52</fb>
    <v>13</v>
  </rv>
  <rv s="7">
    <fb>507.23</fb>
    <v>13</v>
  </rv>
  <rv s="7">
    <fb>507.6</fb>
    <v>13</v>
  </rv>
  <rv s="7">
    <fb>504.4</fb>
    <v>13</v>
  </rv>
  <rv s="7">
    <fb>504.6</fb>
    <v>13</v>
  </rv>
  <rv s="7">
    <fb>502.09</fb>
    <v>13</v>
  </rv>
  <rv s="7">
    <fb>499.21</fb>
    <v>13</v>
  </rv>
  <rv s="7">
    <fb>497.01</fb>
    <v>13</v>
  </rv>
  <rv s="7">
    <fb>487.11</fb>
    <v>13</v>
  </rv>
  <rv s="7">
    <fb>485.12</fb>
    <v>13</v>
  </rv>
  <rv s="7">
    <fb>484.28</fb>
    <v>13</v>
  </rv>
  <rv s="7">
    <fb>492.55</fb>
    <v>13</v>
  </rv>
  <rv s="7">
    <fb>487.22</fb>
    <v>13</v>
  </rv>
  <rv s="7">
    <fb>474.09</fb>
    <v>13</v>
  </rv>
  <rv s="7">
    <fb>470.1</fb>
    <v>13</v>
  </rv>
  <rv s="7">
    <fb>476.22</fb>
    <v>13</v>
  </rv>
  <rv s="7">
    <fb>474.45</fb>
    <v>13</v>
  </rv>
  <rv s="7">
    <fb>473.18</fb>
    <v>13</v>
  </rv>
  <rv s="7">
    <fb>465.02</fb>
    <v>13</v>
  </rv>
  <rv s="7">
    <fb>466.89</fb>
    <v>13</v>
  </rv>
  <rv s="7">
    <fb>472.9</fb>
    <v>13</v>
  </rv>
  <rv s="7">
    <fb>477.12</fb>
    <v>13</v>
  </rv>
  <rv s="7">
    <fb>473.44</fb>
    <v>13</v>
  </rv>
  <rv s="7">
    <fb>477.56</fb>
    <v>13</v>
  </rv>
  <rv s="7">
    <fb>473.07</fb>
    <v>13</v>
  </rv>
  <rv s="7">
    <fb>462.83</fb>
    <v>13</v>
  </rv>
  <rv s="7">
    <fb>469.39</fb>
    <v>13</v>
  </rv>
  <rv s="7">
    <fb>476.57</fb>
    <v>13</v>
  </rv>
  <rv s="7">
    <fb>486.18</fb>
    <v>13</v>
  </rv>
  <rv s="7">
    <fb>493.59</fb>
    <v>13</v>
  </rv>
  <rv s="7">
    <fb>492.27</fb>
    <v>13</v>
  </rv>
  <rv s="7">
    <fb>488.1</fb>
    <v>13</v>
  </rv>
  <rv s="7">
    <fb>482.65</fb>
    <v>13</v>
  </rv>
  <rv s="7">
    <fb>482.29</fb>
    <v>13</v>
  </rv>
  <rv s="7">
    <fb>483.11</fb>
    <v>13</v>
  </rv>
  <rv s="7">
    <fb>475.95</fb>
    <v>13</v>
  </rv>
  <rv s="7">
    <fb>485.35</fb>
    <v>13</v>
  </rv>
  <rv s="7">
    <fb>482.88</fb>
    <v>13</v>
  </rv>
  <rv s="7">
    <fb>483.43</fb>
    <v>13</v>
  </rv>
  <rv s="7">
    <fb>484.69</fb>
    <v>13</v>
  </rv>
  <rv s="7">
    <fb>481.85</fb>
    <v>13</v>
  </rv>
  <rv s="7">
    <fb>483.93</fb>
    <v>13</v>
  </rv>
  <rv s="7">
    <fb>483.31</fb>
    <v>13</v>
  </rv>
  <rv s="7">
    <fb>475.43</fb>
    <v>13</v>
  </rv>
  <rv s="7">
    <fb>478.43</fb>
    <v>13</v>
  </rv>
  <rv s="7">
    <fb>477.6</fb>
    <v>13</v>
  </rv>
  <rv s="7">
    <fb>445.87</fb>
    <v>13</v>
  </rv>
  <rv s="7">
    <fb>444.76</fb>
    <v>13</v>
  </rv>
  <rv s="7">
    <fb>439.02</fb>
    <v>13</v>
  </rv>
  <rv s="7">
    <fb>448.37</fb>
    <v>13</v>
  </rv>
  <rv s="7">
    <fb>455.8</fb>
    <v>13</v>
  </rv>
  <rv s="7">
    <fb>458.13</fb>
    <v>13</v>
  </rv>
  <rv s="7">
    <fb>465.43</fb>
    <v>13</v>
  </rv>
  <rv s="7">
    <fb>459.94</fb>
    <v>13</v>
  </rv>
  <rv s="7">
    <fb>462.69</fb>
    <v>13</v>
  </rv>
  <rv s="7">
    <fb>459.87</fb>
    <v>13</v>
  </rv>
  <rv s="7">
    <fb>458.74</fb>
    <v>13</v>
  </rv>
  <rv s="7">
    <fb>525.30999999999995</fb>
    <v>13</v>
  </rv>
  <rv s="7">
    <fb>518.74</fb>
    <v>13</v>
  </rv>
  <rv s="7">
    <fb>522.25</fb>
    <v>13</v>
  </rv>
  <rv s="7">
    <fb>522.95000000000005</fb>
    <v>13</v>
  </rv>
  <rv s="7">
    <fb>533.44000000000005</fb>
    <v>13</v>
  </rv>
  <rv s="7">
    <fb>524.16999999999996</fb>
    <v>13</v>
  </rv>
  <rv s="7">
    <fb>526.88</fb>
    <v>13</v>
  </rv>
  <rv s="7">
    <fb>528.66</fb>
    <v>13</v>
  </rv>
  <rv s="7">
    <fb>546.76</fb>
    <v>13</v>
  </rv>
  <rv s="7">
    <fb>555.54</fb>
    <v>13</v>
  </rv>
  <rv s="7">
    <fb>560.01</fb>
    <v>13</v>
  </rv>
  <rv s="7">
    <fb>567.71</fb>
    <v>13</v>
  </rv>
  <rv s="7">
    <fb>570.15</fb>
    <v>13</v>
  </rv>
  <rv s="7">
    <fb>578.34</fb>
    <v>13</v>
  </rv>
  <rv s="7">
    <fb>575.4</fb>
    <v>13</v>
  </rv>
  <rv s="7">
    <fb>566.02</fb>
    <v>13</v>
  </rv>
  <rv s="7">
    <fb>564.54999999999995</fb>
    <v>13</v>
  </rv>
  <rv s="7">
    <fb>557.63</fb>
    <v>13</v>
  </rv>
  <rv s="7">
    <fb>559.04999999999995</fb>
    <v>13</v>
  </rv>
  <rv s="7">
    <fb>565.71</fb>
    <v>13</v>
  </rv>
  <rv s="7">
    <fb>566.54</fb>
    <v>13</v>
  </rv>
  <rv s="7">
    <fb>563.09</fb>
    <v>13</v>
  </rv>
  <rv s="7">
    <fb>556.85</fb>
    <v>13</v>
  </rv>
  <rv s="7">
    <fb>551</fb>
    <v>13</v>
  </rv>
  <rv s="7">
    <fb>554.82000000000005</fb>
    <v>13</v>
  </rv>
  <rv s="7">
    <fb>546.01</fb>
    <v>13</v>
  </rv>
  <rv s="7">
    <fb>531.04</fb>
    <v>13</v>
  </rv>
  <rv s="7">
    <fb>532.15</fb>
    <v>13</v>
  </rv>
  <rv s="7">
    <fb>542.44000000000005</fb>
    <v>13</v>
  </rv>
  <rv s="7">
    <fb>536.61</fb>
    <v>13</v>
  </rv>
  <rv s="7">
    <fb>538.71</fb>
    <v>13</v>
  </rv>
  <rv s="7">
    <fb>551.65</fb>
    <v>13</v>
  </rv>
  <rv s="7">
    <fb>546.41</fb>
    <v>13</v>
  </rv>
  <rv s="7">
    <fb>526.16999999999996</fb>
    <v>13</v>
  </rv>
  <rv s="7">
    <fb>509.32</fb>
    <v>13</v>
  </rv>
  <rv s="7">
    <fb>514.20000000000005</fb>
    <v>13</v>
  </rv>
  <rv s="7">
    <fb>513.62</fb>
    <v>13</v>
  </rv>
  <rv s="7">
    <fb>530.24</fb>
    <v>13</v>
  </rv>
  <rv s="7">
    <fb>536.29999999999995</fb>
    <v>13</v>
  </rv>
  <rv s="7">
    <fb>530.92999999999995</fb>
    <v>13</v>
  </rv>
  <rv s="7">
    <fb>535.22</fb>
    <v>13</v>
  </rv>
  <rv s="7">
    <fb>539.79</fb>
    <v>13</v>
  </rv>
  <rv s="7">
    <fb>554.16</fb>
    <v>13</v>
  </rv>
  <rv s="7">
    <fb>553.46</fb>
    <v>13</v>
  </rv>
  <rv s="7">
    <fb>563.12</fb>
    <v>13</v>
  </rv>
  <rv s="7">
    <fb>562.25</fb>
    <v>13</v>
  </rv>
  <rv s="7">
    <fb>565.79</fb>
    <v>13</v>
  </rv>
  <rv s="7">
    <fb>557.44000000000005</fb>
    <v>13</v>
  </rv>
  <rv s="7">
    <fb>558.29999999999995</fb>
    <v>13</v>
  </rv>
  <rv s="7">
    <fb>559.44000000000005</fb>
    <v>13</v>
  </rv>
  <rv s="7">
    <fb>567.82000000000005</fb>
    <v>13</v>
  </rv>
  <rv s="7">
    <fb>560.54</fb>
    <v>13</v>
  </rv>
  <rv s="7">
    <fb>569.63</fb>
    <v>13</v>
  </rv>
  <rv s="7">
    <fb>574.41</fb>
    <v>13</v>
  </rv>
  <rv s="7">
    <fb>571.04</fb>
    <v>13</v>
  </rv>
  <rv s="7">
    <fb>575.25</fb>
    <v>13</v>
  </rv>
  <rv s="7">
    <fb>567.92999999999995</fb>
    <v>13</v>
  </rv>
  <rv s="7">
    <fb>563.41</fb>
    <v>13</v>
  </rv>
  <rv s="7">
    <fb>569.88</fb>
    <v>13</v>
  </rv>
  <rv s="7">
    <fb>574.48</fb>
    <v>13</v>
  </rv>
  <rv s="7">
    <fb>580.38</fb>
    <v>13</v>
  </rv>
  <rv s="7">
    <fb>586.54999999999995</fb>
    <v>13</v>
  </rv>
  <rv s="7">
    <fb>536.87</fb>
    <v>13</v>
  </rv>
  <rv s="7">
    <fb>521.5</fb>
    <v>13</v>
  </rv>
  <rv s="7">
    <fb>515.03</fb>
    <v>13</v>
  </rv>
  <rv s="7">
    <fb>508.13</fb>
    <v>13</v>
  </rv>
  <rv s="7">
    <fb>526.44000000000005</fb>
    <v>13</v>
  </rv>
  <rv s="7">
    <fb>522.29999999999995</fb>
    <v>13</v>
  </rv>
  <rv s="7">
    <fb>527.87</fb>
    <v>13</v>
  </rv>
  <rv s="7">
    <fb>524.07000000000005</fb>
    <v>13</v>
  </rv>
  <rv s="7">
    <fb>517.9</fb>
    <v>13</v>
  </rv>
  <rv s="7">
    <fb>515.38</fb>
    <v>13</v>
  </rv>
  <rv s="7">
    <fb>515.48</fb>
    <v>13</v>
  </rv>
  <rv s="7">
    <fb>517.78</fb>
    <v>13</v>
  </rv>
  <rv s="7">
    <fb>502.8</fb>
    <v>13</v>
  </rv>
  <rv s="7">
    <fb>505.81</fb>
    <v>13</v>
  </rv>
  <rv s="7">
    <fb>503.8</fb>
    <v>13</v>
  </rv>
  <rv s="7">
    <fb>507.22</fb>
    <v>13</v>
  </rv>
  <rv s="7">
    <fb>487.3</fb>
    <v>13</v>
  </rv>
  <rv s="7">
    <fb>496.24</fb>
    <v>13</v>
  </rv>
  <rv s="7">
    <fb>494.08</fb>
    <v>13</v>
  </rv>
  <rv s="7">
    <fb>503.57</fb>
    <v>13</v>
  </rv>
  <rv s="7">
    <fb>495.42</fb>
    <v>13</v>
  </rv>
  <rv s="7">
    <fb>509.65</fb>
    <v>13</v>
  </rv>
  <rv s="7">
    <fb>508.03</fb>
    <v>13</v>
  </rv>
  <rv s="7">
    <fb>502.54</fb>
    <v>13</v>
  </rv>
  <rv s="7">
    <fb>496.83</fb>
    <v>13</v>
  </rv>
  <rv s="7">
    <fb>494.9</fb>
    <v>13</v>
  </rv>
  <rv s="7">
    <fb>497.71</fb>
    <v>13</v>
  </rv>
  <rv s="7">
    <fb>493.11</fb>
    <v>13</v>
  </rv>
  <rv s="7">
    <fb>485.03</fb>
    <v>13</v>
  </rv>
  <rv s="7">
    <fb>482.87</fb>
    <v>13</v>
  </rv>
  <rv s="7">
    <fb>483.72</fb>
    <v>13</v>
  </rv>
  <rv s="7">
    <fb>481.04</fb>
    <v>13</v>
  </rv>
  <rv s="7">
    <fb>485.39</fb>
    <v>13</v>
  </rv>
  <rv s="7">
    <fb>486.68</fb>
    <v>13</v>
  </rv>
  <rv s="7">
    <fb>478.08</fb>
    <v>13</v>
  </rv>
  <rv s="7">
    <fb>482.8</fb>
    <v>13</v>
  </rv>
  <rv s="7">
    <fb>481.35</fb>
    <v>13</v>
  </rv>
  <rv s="7">
    <fb>486.42</fb>
    <v>13</v>
  </rv>
  <rv s="7">
    <fb>504.83</fb>
    <v>13</v>
  </rv>
  <rv s="7">
    <fb>500.92</fb>
    <v>13</v>
  </rv>
  <rv s="7">
    <fb>494.68</fb>
    <v>13</v>
  </rv>
  <rv s="7">
    <fb>504.48</fb>
    <v>13</v>
  </rv>
  <rv s="7">
    <fb>526.41999999999996</fb>
    <v>13</v>
  </rv>
  <rv s="7">
    <fb>532.5</fb>
    <v>13</v>
  </rv>
  <rv s="7">
    <fb>529.87</fb>
    <v>13</v>
  </rv>
  <rv s="7">
    <fb>503.37</fb>
    <v>13</v>
  </rv>
  <rv s="7">
    <fb>499.51</fb>
    <v>13</v>
  </rv>
  <rv s="7">
    <fb>499.61</fb>
    <v>13</v>
  </rv>
  <rv s="7">
    <fb>499.5</fb>
    <v>13</v>
  </rv>
  <rv s="7">
    <fb>504.44</fb>
    <v>13</v>
  </rv>
  <rv s="7">
    <fb>512.15</fb>
    <v>13</v>
  </rv>
  <rv s="7">
    <fb>518.73</fb>
    <v>13</v>
  </rv>
  <rv s="7">
    <fb>525.29999999999995</fb>
    <v>13</v>
  </rv>
  <rv s="7">
    <fb>513.67999999999995</fb>
    <v>13</v>
  </rv>
  <rv s="7">
    <fb>515.92999999999995</fb>
    <v>13</v>
  </rv>
  <rv s="7">
    <fb>516.20000000000005</fb>
    <v>13</v>
  </rv>
  <rv s="7">
    <fb>516.26</fb>
    <v>13</v>
  </rv>
  <rv s="7">
    <fb>536.49</fb>
    <v>13</v>
  </rv>
  <rv s="7">
    <fb>538.22</fb>
    <v>13</v>
  </rv>
  <rv s="7">
    <fb>552.96</fb>
    <v>13</v>
  </rv>
  <rv s="7">
    <fb>547.92999999999995</fb>
    <v>13</v>
  </rv>
  <rv s="7">
    <fb>547.04999999999995</fb>
    <v>13</v>
  </rv>
  <rv s="7">
    <fb>137.61000000000001</fb>
    <v>13</v>
  </rv>
  <rv s="7">
    <fb>138.19</fb>
    <v>13</v>
  </rv>
  <rv s="7">
    <fb>138</fb>
    <v>13</v>
  </rv>
  <rv s="7">
    <fb>139.15</fb>
    <v>13</v>
  </rv>
  <rv s="7">
    <fb>138.9</fb>
    <v>13</v>
  </rv>
  <rv s="7">
    <fb>140.15</fb>
    <v>13</v>
  </rv>
  <rv s="7">
    <fb>135.47</fb>
    <v>13</v>
  </rv>
  <rv s="7">
    <fb>139.91</fb>
    <v>13</v>
  </rv>
  <rv s="7">
    <fb>139.6</fb>
    <v>13</v>
  </rv>
  <rv s="7">
    <fb>143.41</fb>
    <v>13</v>
  </rv>
  <rv s="7">
    <fb>146.07</fb>
    <v>13</v>
  </rv>
  <rv s="7">
    <fb>148.76</fb>
    <v>13</v>
  </rv>
  <rv s="7">
    <fb>147.41</fb>
    <v>13</v>
  </rv>
  <rv s="7">
    <fb>138.58000000000001</fb>
    <v>13</v>
  </rv>
  <rv s="7">
    <fb>135.32</fb>
    <v>13</v>
  </rv>
  <rv s="7">
    <fb>136.01</fb>
    <v>13</v>
  </rv>
  <rv s="7">
    <fb>146.18</fb>
    <v>13</v>
  </rv>
  <rv s="7">
    <fb>149.26</fb>
    <v>13</v>
  </rv>
  <rv s="7">
    <fb>148.54</fb>
    <v>13</v>
  </rv>
  <rv s="7">
    <fb>148.02000000000001</fb>
    <v>13</v>
  </rv>
  <rv s="7">
    <fb>146.56</fb>
    <v>13</v>
  </rv>
  <rv s="7">
    <fb>158.74</fb>
    <v>13</v>
  </rv>
  <rv s="7">
    <fb>160.16999999999999</fb>
    <v>13</v>
  </rv>
  <rv s="7">
    <fb>162.66999999999999</fb>
    <v>13</v>
  </rv>
  <rv s="7">
    <fb>174.23</fb>
    <v>13</v>
  </rv>
  <rv s="7">
    <fb>168.18</fb>
    <v>13</v>
  </rv>
  <rv s="7">
    <fb>168.42</fb>
    <v>13</v>
  </rv>
  <rv s="7">
    <fb>178.29</fb>
    <v>13</v>
  </rv>
  <rv s="7">
    <fb>180.33</fb>
    <v>13</v>
  </rv>
  <rv s="7">
    <fb>177.25</fb>
    <v>13</v>
  </rv>
  <rv s="7">
    <fb>177.83</fb>
    <v>13</v>
  </rv>
  <rv s="7">
    <fb>172.06</fb>
    <v>13</v>
  </rv>
  <rv s="7">
    <fb>167.69</fb>
    <v>13</v>
  </rv>
  <rv s="7">
    <fb>170.48</fb>
    <v>13</v>
  </rv>
  <rv s="7">
    <fb>177.66</fb>
    <v>13</v>
  </rv>
  <rv s="7">
    <fb>167.88</fb>
    <v>13</v>
  </rv>
  <rv s="7">
    <fb>170.94</fb>
    <v>13</v>
  </rv>
  <rv s="7">
    <fb>169.35</fb>
    <v>13</v>
  </rv>
  <rv s="7">
    <fb>172.48</fb>
    <v>13</v>
  </rv>
  <rv s="7">
    <fb>171.91</fb>
    <v>13</v>
  </rv>
  <rv s="7">
    <fb>171.54</fb>
    <v>13</v>
  </rv>
  <rv s="7">
    <fb>178.7</fb>
    <v>13</v>
  </rv>
  <rv s="7">
    <fb>176.76</fb>
    <v>13</v>
  </rv>
  <rv s="7">
    <fb>173.87</fb>
    <v>13</v>
  </rv>
  <rv s="7">
    <fb>165.69</fb>
    <v>13</v>
  </rv>
  <rv s="7">
    <fb>164.29</fb>
    <v>13</v>
  </rv>
  <rv s="7">
    <fb>181.86</fb>
    <v>13</v>
  </rv>
  <rv s="7">
    <fb>176.52</fb>
    <v>13</v>
  </rv>
  <rv s="7">
    <fb>176.01</fb>
    <v>13</v>
  </rv>
  <rv s="7">
    <fb>178</fb>
    <v>13</v>
  </rv>
  <rv s="7">
    <fb>176.54</fb>
    <v>13</v>
  </rv>
  <rv s="7">
    <fb>192.53</fb>
    <v>13</v>
  </rv>
  <rv s="7">
    <fb>202.64</fb>
    <v>13</v>
  </rv>
  <rv s="7">
    <fb>205.36</fb>
    <v>13</v>
  </rv>
  <rv s="7">
    <fb>205.13</fb>
    <v>13</v>
  </rv>
  <rv s="7">
    <fb>210.63</fb>
    <v>13</v>
  </rv>
  <rv s="7">
    <fb>211.38</fb>
    <v>13</v>
  </rv>
  <rv s="7">
    <fb>207.39</fb>
    <v>13</v>
  </rv>
  <rv s="7">
    <fb>198.39</fb>
    <v>13</v>
  </rv>
  <rv s="7">
    <fb>202.76</fb>
    <v>13</v>
  </rv>
  <rv s="7">
    <fb>194.79</fb>
    <v>13</v>
  </rv>
  <rv s="7">
    <fb>187.06</fb>
    <v>13</v>
  </rv>
  <rv s="7">
    <fb>191.06</fb>
    <v>13</v>
  </rv>
  <rv s="7">
    <fb>190.65</fb>
    <v>13</v>
  </rv>
  <rv s="7">
    <fb>181.42</fb>
    <v>13</v>
  </rv>
  <rv s="7">
    <fb>179.73</fb>
    <v>13</v>
  </rv>
  <rv s="7">
    <fb>178.68</fb>
    <v>13</v>
  </rv>
  <rv s="7">
    <fb>179.65</fb>
    <v>13</v>
  </rv>
  <rv s="7">
    <fb>178.63</fb>
    <v>13</v>
  </rv>
  <rv s="7">
    <fb>177.87</fb>
    <v>13</v>
  </rv>
  <rv s="7">
    <fb>179.59</fb>
    <v>13</v>
  </rv>
  <rv s="7">
    <fb>180.49</fb>
    <v>13</v>
  </rv>
  <rv s="7">
    <fb>183.34</fb>
    <v>13</v>
  </rv>
  <rv s="7">
    <fb>180.77</fb>
    <v>13</v>
  </rv>
  <rv s="7">
    <fb>165.83</fb>
    <v>13</v>
  </rv>
  <rv s="7">
    <fb>170.42</fb>
    <v>13</v>
  </rv>
  <rv s="7">
    <fb>169.9</fb>
    <v>13</v>
  </rv>
  <rv s="7">
    <fb>170.78</fb>
    <v>13</v>
  </rv>
  <rv s="7">
    <fb>167.14</fb>
    <v>13</v>
  </rv>
  <rv s="7">
    <fb>170.5</fb>
    <v>13</v>
  </rv>
  <rv s="7">
    <fb>163.28</fb>
    <v>13</v>
  </rv>
  <rv s="7">
    <fb>160.32</fb>
    <v>13</v>
  </rv>
  <rv s="7">
    <fb>163.46</fb>
    <v>13</v>
  </rv>
  <rv s="7">
    <fb>154.02000000000001</fb>
    <v>13</v>
  </rv>
  <rv s="7">
    <fb>155.08000000000001</fb>
    <v>13</v>
  </rv>
  <rv s="7">
    <fb>146.63999999999999</fb>
    <v>13</v>
  </rv>
  <rv s="7">
    <fb>148.63999999999999</fb>
    <v>13</v>
  </rv>
  <rv s="7">
    <fb>152.27000000000001</fb>
    <v>13</v>
  </rv>
  <rv s="7">
    <fb>151.74</fb>
    <v>13</v>
  </rv>
  <rv s="7">
    <fb>153.76</fb>
    <v>13</v>
  </rv>
  <rv s="7">
    <fb>157.4</fb>
    <v>13</v>
  </rv>
  <rv s="7">
    <fb>160.19999999999999</fb>
    <v>13</v>
  </rv>
  <rv s="7">
    <fb>158.38</fb>
    <v>13</v>
  </rv>
  <rv s="7">
    <fb>144.27000000000001</fb>
    <v>13</v>
  </rv>
  <rv s="7">
    <fb>146.16</fb>
    <v>13</v>
  </rv>
  <rv s="7">
    <fb>150.6</fb>
    <v>13</v>
  </rv>
  <rv s="7">
    <fb>155.78</fb>
    <v>13</v>
  </rv>
  <rv s="7">
    <fb>154.43</fb>
    <v>13</v>
  </rv>
  <rv s="7">
    <fb>153.62</fb>
    <v>13</v>
  </rv>
  <rv s="7">
    <fb>152.38999999999999</fb>
    <v>13</v>
  </rv>
  <rv s="7">
    <fb>151.91999999999999</fb>
    <v>13</v>
  </rv>
  <rv s="7">
    <fb>150.56</fb>
    <v>13</v>
  </rv>
  <rv s="7">
    <fb>153.16</fb>
    <v>13</v>
  </rv>
  <rv s="7">
    <fb>159.66999999999999</fb>
    <v>13</v>
  </rv>
  <rv s="7">
    <fb>162.62</fb>
    <v>13</v>
  </rv>
  <rv s="7">
    <fb>164.47</fb>
    <v>13</v>
  </rv>
  <rv s="7">
    <fb>166.33</fb>
    <v>13</v>
  </rv>
  <rv s="7">
    <fb>164.66</fb>
    <v>13</v>
  </rv>
  <rv s="7">
    <fb>165.52</fb>
    <v>13</v>
  </rv>
  <rv s="7">
    <fb>160.43</fb>
    <v>13</v>
  </rv>
  <rv s="7">
    <fb>166.36</fb>
    <v>13</v>
  </rv>
  <rv s="7">
    <fb>171.61</fb>
    <v>13</v>
  </rv>
  <rv s="7">
    <fb>165.14</fb>
    <v>13</v>
  </rv>
  <rv s="7">
    <fb>166.75</fb>
    <v>13</v>
  </rv>
  <rv s="7">
    <fb>166.9</fb>
    <v>13</v>
  </rv>
  <rv s="7">
    <fb>163.55000000000001</fb>
    <v>13</v>
  </rv>
  <rv s="7">
    <fb>159.99</fb>
    <v>13</v>
  </rv>
  <rv s="7">
    <fb>166.17</fb>
    <v>13</v>
  </rv>
  <rv s="7">
    <fb>166.78</fb>
    <v>13</v>
  </rv>
  <rv s="7">
    <fb>167.87</fb>
    <v>13</v>
  </rv>
  <rv s="7">
    <fb>160.34</fb>
    <v>13</v>
  </rv>
  <rv s="7">
    <fb>158.96</fb>
    <v>13</v>
  </rv>
  <rv s="7">
    <fb>160.24</fb>
    <v>13</v>
  </rv>
  <rv s="7">
    <fb>159.9</fb>
    <v>13</v>
  </rv>
  <rv s="7">
    <fb>159.63</fb>
    <v>13</v>
  </rv>
  <rv s="7">
    <fb>158.4</fb>
    <v>13</v>
  </rv>
  <rv s="7">
    <fb>154.63</fb>
    <v>13</v>
  </rv>
  <rv s="7">
    <fb>161.78</fb>
    <v>13</v>
  </rv>
  <rv s="7">
    <fb>161.22999999999999</fb>
    <v>13</v>
  </rv>
  <rv s="7">
    <fb>160.25</fb>
    <v>13</v>
  </rv>
  <rv s="7">
    <fb>157.54</fb>
    <v>13</v>
  </rv>
  <rv s="7">
    <fb>159.47</fb>
    <v>13</v>
  </rv>
  <rv s="7">
    <fb>162.21</fb>
    <v>13</v>
  </rv>
  <rv s="7">
    <fb>157.69</fb>
    <v>13</v>
  </rv>
  <rv s="7">
    <fb>164.31</fb>
    <v>13</v>
  </rv>
  <rv s="7">
    <fb>163.9</fb>
    <v>13</v>
  </rv>
  <rv s="7">
    <fb>171.9</fb>
    <v>13</v>
  </rv>
  <rv s="7">
    <fb>178.69</fb>
    <v>13</v>
  </rv>
  <rv s="7">
    <fb>177.1</fb>
    <v>13</v>
  </rv>
  <rv s="7">
    <fb>183.96</fb>
    <v>13</v>
  </rv>
  <rv s="7">
    <fb>181.94</fb>
    <v>13</v>
  </rv>
  <rv s="7">
    <fb>181.61</fb>
    <v>13</v>
  </rv>
  <rv s="7">
    <fb>179.83</fb>
    <v>13</v>
  </rv>
  <rv s="7">
    <fb>177.55</fb>
    <v>13</v>
  </rv>
  <rv s="7">
    <fb>159.43</fb>
    <v>13</v>
  </rv>
  <rv s="7">
    <fb>155.77000000000001</fb>
    <v>13</v>
  </rv>
  <rv s="7">
    <fb>151.58000000000001</fb>
    <v>13</v>
  </rv>
  <rv s="7">
    <fb>155.87</fb>
    <v>13</v>
  </rv>
  <rv s="7">
    <fb>154</fb>
    <v>13</v>
  </rv>
  <rv s="7">
    <fb>144.63</fb>
    <v>13</v>
  </rv>
  <rv s="7">
    <fb>138.32</fb>
    <v>13</v>
  </rv>
  <rv s="7">
    <fb>139.99</fb>
    <v>13</v>
  </rv>
  <rv s="7">
    <fb>139.75</fb>
    <v>13</v>
  </rv>
  <rv s="7">
    <fb>138.44</fb>
    <v>13</v>
  </rv>
  <rv s="7">
    <fb>144.47999999999999</fb>
    <v>13</v>
  </rv>
  <rv s="7">
    <fb>132.54</fb>
    <v>13</v>
  </rv>
  <rv s="7">
    <fb>132.5</fb>
    <v>13</v>
  </rv>
  <rv s="7">
    <fb>134.82</fb>
    <v>13</v>
  </rv>
  <rv s="7">
    <fb>130.18</fb>
    <v>13</v>
  </rv>
  <rv s="7">
    <fb>128.66999999999999</fb>
    <v>13</v>
  </rv>
  <rv s="7">
    <fb>136.32</fb>
    <v>13</v>
  </rv>
  <rv s="7">
    <fb>134.27000000000001</fb>
    <v>13</v>
  </rv>
  <rv s="7">
    <fb>136.77000000000001</fb>
    <v>13</v>
  </rv>
  <rv s="7">
    <fb>141.13</fb>
    <v>13</v>
  </rv>
  <rv s="7">
    <fb>140.75</fb>
    <v>13</v>
  </rv>
  <rv s="7">
    <fb>147.36000000000001</fb>
    <v>13</v>
  </rv>
  <rv s="7">
    <fb>148.56</fb>
    <v>13</v>
  </rv>
  <rv s="7">
    <fb>155.28</fb>
    <v>13</v>
  </rv>
  <rv s="7">
    <fb>156.4</fb>
    <v>13</v>
  </rv>
  <rv s="7">
    <fb>157.81</fb>
    <v>13</v>
  </rv>
  <rv s="7">
    <fb>151.69999999999999</fb>
    <v>13</v>
  </rv>
  <rv s="7">
    <fb>154.97999999999999</fb>
    <v>13</v>
  </rv>
  <rv s="7">
    <fb>149.99</fb>
    <v>13</v>
  </rv>
  <rv s="7">
    <fb>150.5</fb>
    <v>13</v>
  </rv>
  <rv s="7">
    <fb>146.36000000000001</fb>
    <v>13</v>
  </rv>
  <rv s="7">
    <fb>145.49</fb>
    <v>13</v>
  </rv>
  <rv s="7">
    <fb>136.94</fb>
    <v>13</v>
  </rv>
  <rv s="7">
    <fb>140.87</fb>
    <v>13</v>
  </rv>
  <rv s="7">
    <fb>139.44</fb>
    <v>13</v>
  </rv>
  <rv s="7">
    <fb>134.35</fb>
    <v>13</v>
  </rv>
  <rv s="7">
    <fb>138.15</fb>
    <v>13</v>
  </rv>
  <rv s="7">
    <fb>142.84</fb>
    <v>13</v>
  </rv>
  <rv s="7">
    <fb>149.86000000000001</fb>
    <v>13</v>
  </rv>
  <rv s="7">
    <fb>150.77000000000001</fb>
    <v>13</v>
  </rv>
  <rv s="7">
    <fb>152.31</fb>
    <v>13</v>
  </rv>
  <rv s="7">
    <fb>152.08000000000001</fb>
    <v>13</v>
  </rv>
  <rv s="7">
    <fb>150.82</fb>
    <v>13</v>
  </rv>
  <rv s="7">
    <fb>148.29</fb>
    <v>13</v>
  </rv>
  <rv s="7">
    <fb>156.74</fb>
    <v>13</v>
  </rv>
  <rv s="7">
    <fb>155.94999999999999</fb>
    <v>13</v>
  </rv>
  <rv s="7">
    <fb>156.75</fb>
    <v>13</v>
  </rv>
  <rv s="7">
    <fb>158.32</fb>
    <v>13</v>
  </rv>
  <rv s="7">
    <fb>162.02000000000001</fb>
    <v>13</v>
  </rv>
  <rv s="7">
    <fb>167.49</fb>
    <v>13</v>
  </rv>
  <rv s="7">
    <fb>164.35</fb>
    <v>13</v>
  </rv>
  <rv s="7">
    <fb>164.08</fb>
    <v>13</v>
  </rv>
  <rv s="7">
    <fb>159.75</fb>
    <v>13</v>
  </rv>
  <rv s="7">
    <fb>159.78</fb>
    <v>13</v>
  </rv>
  <rv s="7">
    <fb>162.85</fb>
    <v>13</v>
  </rv>
  <rv s="7">
    <fb>170.9</fb>
    <v>13</v>
  </rv>
  <rv s="7">
    <fb>170.97</fb>
    <v>13</v>
  </rv>
  <rv s="7">
    <fb>172.8</fb>
    <v>13</v>
  </rv>
  <rv s="7">
    <fb>171.02</fb>
    <v>13</v>
  </rv>
  <rv s="7">
    <fb>164.18</fb>
    <v>13</v>
  </rv>
  <rv s="7">
    <fb>167.89</fb>
    <v>13</v>
  </rv>
  <rv s="7">
    <fb>165.27</fb>
    <v>13</v>
  </rv>
  <rv s="7">
    <fb>156.63999999999999</fb>
    <v>13</v>
  </rv>
  <rv s="7">
    <fb>156.13</fb>
    <v>13</v>
  </rv>
  <rv s="7">
    <fb>156.25</fb>
    <v>13</v>
  </rv>
  <rv s="7">
    <fb>155.97</fb>
    <v>13</v>
  </rv>
  <rv s="7">
    <fb>157.9</fb>
    <v>13</v>
  </rv>
  <rv s="7">
    <fb>154.09</fb>
    <v>13</v>
  </rv>
  <rv s="7">
    <fb>152.91</fb>
    <v>13</v>
  </rv>
  <rv s="7">
    <fb>153.44</fb>
    <v>13</v>
  </rv>
  <rv s="7">
    <fb>156.22999999999999</fb>
    <v>13</v>
  </rv>
  <rv s="7">
    <fb>159.91999999999999</fb>
    <v>13</v>
  </rv>
  <rv s="7">
    <fb>166.25</fb>
    <v>13</v>
  </rv>
  <rv s="7">
    <fb>148.6</fb>
    <v>13</v>
  </rv>
  <rv s="7">
    <fb>144.07</fb>
    <v>13</v>
  </rv>
  <rv s="7">
    <fb>141.86000000000001</fb>
    <v>13</v>
  </rv>
  <rv s="7">
    <fb>140.71</fb>
    <v>13</v>
  </rv>
  <rv s="7">
    <fb>141.66</fb>
    <v>13</v>
  </rv>
  <rv s="7">
    <fb>145.1</fb>
    <v>13</v>
  </rv>
  <rv s="7">
    <fb>149.82</fb>
    <v>13</v>
  </rv>
  <rv s="7">
    <fb>147.94999999999999</fb>
    <v>13</v>
  </rv>
  <rv s="7">
    <fb>147.35</fb>
    <v>13</v>
  </rv>
  <rv s="7">
    <fb>143.63</fb>
    <v>13</v>
  </rv>
  <rv s="7">
    <fb>139.30000000000001</fb>
    <v>13</v>
  </rv>
  <rv s="7">
    <fb>138.84</fb>
    <v>13</v>
  </rv>
  <rv s="7">
    <fb>134.9</fb>
    <v>13</v>
  </rv>
  <rv s="7">
    <fb>138.93</fb>
    <v>13</v>
  </rv>
  <rv s="7">
    <fb>139.38999999999999</fb>
    <v>13</v>
  </rv>
  <rv s="7">
    <fb>137.6</fb>
    <v>13</v>
  </rv>
  <rv s="7">
    <fb>137.49</fb>
    <v>13</v>
  </rv>
  <rv s="7">
    <fb>138.35</fb>
    <v>13</v>
  </rv>
  <rv s="7">
    <fb>137.72</fb>
    <v>13</v>
  </rv>
  <rv s="7">
    <fb>136.24</fb>
    <v>13</v>
  </rv>
  <rv s="7">
    <fb>137.17500000000001</fb>
    <v>13</v>
  </rv>
  <rv s="7">
    <fb>142.06</fb>
    <v>13</v>
  </rv>
  <rv s="7">
    <fb>141.97999999999999</fb>
    <v>13</v>
  </rv>
  <rv s="7">
    <fb>143.99</fb>
    <v>13</v>
  </rv>
  <rv s="7">
    <fb>141.36000000000001</fb>
    <v>13</v>
  </rv>
  <rv s="7">
    <fb>138.59</fb>
    <v>13</v>
  </rv>
  <rv s="7">
    <fb>130.87</fb>
    <v>13</v>
  </rv>
  <rv s="7">
    <fb>127.74</fb>
    <v>13</v>
  </rv>
  <rv s="7">
    <fb>133.63999999999999</fb>
    <v>13</v>
  </rv>
  <rv s="7">
    <fb>133.97</fb>
    <v>13</v>
  </rv>
  <rv s="7">
    <fb>133.19999999999999</fb>
    <v>13</v>
  </rv>
  <rv s="7">
    <fb>133.84</fb>
    <v>13</v>
  </rv>
  <rv s="7">
    <fb>137.19</fb>
    <v>13</v>
  </rv>
  <rv s="7">
    <fb>138.1</fb>
    <v>13</v>
  </rv>
  <rv s="7">
    <fb>139.66</fb>
    <v>13</v>
  </rv>
  <rv s="7">
    <fb>141.80000000000001</fb>
    <v>13</v>
  </rv>
  <rv s="7">
    <fb>142.72</fb>
    <v>13</v>
  </rv>
  <rv s="7">
    <fb>142.82</fb>
    <v>13</v>
  </rv>
  <rv s="7">
    <fb>141.44</fb>
    <v>13</v>
  </rv>
  <rv s="7">
    <fb>141.28</fb>
    <v>13</v>
  </rv>
  <rv s="7">
    <fb>140.93</fb>
    <v>13</v>
  </rv>
  <rv s="7">
    <fb>139.56</fb>
    <v>13</v>
  </rv>
  <rv s="7">
    <fb>140.36000000000001</fb>
    <v>13</v>
  </rv>
  <rv s="7">
    <fb>138.04</fb>
    <v>13</v>
  </rv>
  <rv s="7">
    <fb>137.38999999999999</fb>
    <v>13</v>
  </rv>
  <rv s="7">
    <fb>140.53</fb>
    <v>13</v>
  </rv>
  <rv s="7">
    <fb>142.56</fb>
    <v>13</v>
  </rv>
  <rv s="7">
    <fb>143.80000000000001</fb>
    <v>13</v>
  </rv>
  <rv s="7">
    <fb>143.66999999999999</fb>
    <v>13</v>
  </rv>
  <rv s="7">
    <fb>144.24</fb>
    <v>13</v>
  </rv>
  <rv s="7">
    <fb>144.08000000000001</fb>
    <v>13</v>
  </rv>
  <rv s="7">
    <fb>142.88999999999999</fb>
    <v>13</v>
  </rv>
  <rv s="7">
    <fb>144.99</fb>
    <v>13</v>
  </rv>
  <rv s="7">
    <fb>147.97</fb>
    <v>13</v>
  </rv>
  <rv s="7">
    <fb>147.71</fb>
    <v>13</v>
  </rv>
  <rv s="7">
    <fb>148.68</fb>
    <v>13</v>
  </rv>
  <rv s="7">
    <fb>150.35</fb>
    <v>13</v>
  </rv>
  <rv s="7">
    <fb>153.63999999999999</fb>
    <v>13</v>
  </rv>
  <rv s="7">
    <fb>153.79</fb>
    <v>13</v>
  </rv>
  <rv s="7">
    <fb>154.84</fb>
    <v>13</v>
  </rv>
  <rv s="7">
    <fb>153.05000000000001</fb>
    <v>13</v>
  </rv>
  <rv s="7">
    <fb>142.71</fb>
    <v>13</v>
  </rv>
  <rv s="7">
    <fb>143.54</fb>
    <v>13</v>
  </rv>
  <rv s="7">
    <fb>144.93</fb>
    <v>13</v>
  </rv>
  <rv s="7">
    <fb>145.41</fb>
    <v>13</v>
  </rv>
  <rv s="7">
    <fb>146.68</fb>
    <v>13</v>
  </rv>
  <rv s="7">
    <fb>147.22</fb>
    <v>13</v>
  </rv>
  <rv s="7">
    <fb>150.22</fb>
    <v>13</v>
  </rv>
  <rv s="7">
    <fb>148.72999999999999</fb>
    <v>13</v>
  </rv>
  <rv s="7">
    <fb>146.37</fb>
    <v>13</v>
  </rv>
  <rv s="7">
    <fb>147.13999999999999</fb>
    <v>13</v>
  </rv>
  <rv s="7">
    <fb>143.94</fb>
    <v>13</v>
  </rv>
  <rv s="7">
    <fb>141.76</fb>
    <v>13</v>
  </rv>
  <rv s="7">
    <fb>142.19999999999999</fb>
    <v>13</v>
  </rv>
  <rv s="7">
    <fb>143.84</fb>
    <v>13</v>
  </rv>
  <rv s="7">
    <fb>145.32</fb>
    <v>13</v>
  </rv>
  <rv s="7">
    <fb>145.29</fb>
    <v>13</v>
  </rv>
  <rv s="7">
    <fb>138.75</fb>
    <v>13</v>
  </rv>
  <rv s="7">
    <fb>140.1</fb>
    <v>13</v>
  </rv>
  <rv s="7">
    <fb>137.43</fb>
    <v>13</v>
  </rv>
  <rv s="7">
    <fb>139.78</fb>
    <v>13</v>
  </rv>
  <rv s="7">
    <fb>138.08000000000001</fb>
    <v>13</v>
  </rv>
  <rv s="7">
    <fb>134.19999999999999</fb>
    <v>13</v>
  </rv>
  <rv s="7">
    <fb>133.78</fb>
    <v>13</v>
  </rv>
  <rv s="7">
    <fb>132.56</fb>
    <v>13</v>
  </rv>
  <rv s="7">
    <fb>135.24</fb>
    <v>13</v>
  </rv>
  <rv s="7">
    <fb>136.29</fb>
    <v>13</v>
  </rv>
  <rv s="7">
    <fb>138.94</fb>
    <v>13</v>
  </rv>
  <rv s="7">
    <fb>139.62</fb>
    <v>13</v>
  </rv>
  <rv s="7">
    <fb>140.77000000000001</fb>
    <v>13</v>
  </rv>
  <rv s="7">
    <fb>144.34</fb>
    <v>13</v>
  </rv>
  <rv s="7">
    <fb>142.16999999999999</fb>
    <v>13</v>
  </rv>
  <rv s="7">
    <fb>148.47999999999999</fb>
    <v>13</v>
  </rv>
  <rv s="7">
    <fb>147.91999999999999</fb>
    <v>13</v>
  </rv>
  <rv s="7">
    <fb>149.68</fb>
    <v>13</v>
  </rv>
  <rv s="7">
    <fb>148.74</fb>
    <v>13</v>
  </rv>
  <rv s="7">
    <fb>151.77000000000001</fb>
    <v>13</v>
  </rv>
  <rv s="7">
    <fb>151.15</fb>
    <v>13</v>
  </rv>
  <rv s="7">
    <fb>151.94</fb>
    <v>13</v>
  </rv>
  <rv s="7">
    <fb>152.26</fb>
    <v>13</v>
  </rv>
  <rv s="7">
    <fb>156.5</fb>
    <v>13</v>
  </rv>
  <rv s="7">
    <fb>156.37</fb>
    <v>13</v>
  </rv>
  <rv s="7">
    <fb>153.94</fb>
    <v>13</v>
  </rv>
  <rv s="7">
    <fb>156.13999999999999</fb>
    <v>13</v>
  </rv>
  <rv s="7">
    <fb>158.13999999999999</fb>
    <v>13</v>
  </rv>
  <rv s="7">
    <fb>157.66</fb>
    <v>13</v>
  </rv>
  <rv s="7">
    <fb>160.79</fb>
    <v>13</v>
  </rv>
  <rv s="7">
    <fb>159.19</fb>
    <v>13</v>
  </rv>
  <rv s="7">
    <fb>156.33000000000001</fb>
    <v>13</v>
  </rv>
  <rv s="7">
    <fb>156</fb>
    <v>13</v>
  </rv>
  <rv s="7">
    <fb>156.88</fb>
    <v>13</v>
  </rv>
  <rv s="7">
    <fb>157.46</fb>
    <v>13</v>
  </rv>
  <rv s="7">
    <fb>155.72</fb>
    <v>13</v>
  </rv>
  <rv s="7">
    <fb>157.94999999999999</fb>
    <v>13</v>
  </rv>
  <rv s="7">
    <fb>161.1</fb>
    <v>13</v>
  </rv>
  <rv s="7">
    <fb>173.69</fb>
    <v>13</v>
  </rv>
  <rv s="7">
    <fb>167.9</fb>
    <v>13</v>
  </rv>
  <rv s="7">
    <fb>164.64</fb>
    <v>13</v>
  </rv>
  <rv s="7">
    <fb>165.57</fb>
    <v>13</v>
  </rv>
  <rv s="7">
    <fb>168.46</fb>
    <v>13</v>
  </rv>
  <rv s="7">
    <fb>168.99</fb>
    <v>13</v>
  </rv>
  <rv s="7">
    <fb>169.83</fb>
    <v>13</v>
  </rv>
  <rv s="7">
    <fb>172.98</fb>
    <v>13</v>
  </rv>
  <rv s="7">
    <fb>171.16</fb>
    <v>13</v>
  </rv>
  <rv s="7">
    <fb>171.58</fb>
    <v>13</v>
  </rv>
  <rv s="7">
    <fb>170.29</fb>
    <v>13</v>
  </rv>
  <rv s="7">
    <fb>171.93</fb>
    <v>13</v>
  </rv>
  <rv s="7">
    <fb>173.88</fb>
    <v>13</v>
  </rv>
  <rv s="7">
    <fb>175.43</fb>
    <v>13</v>
  </rv>
  <rv s="7">
    <fb>177.29</fb>
    <v>13</v>
  </rv>
  <rv s="7">
    <fb>178.46</fb>
    <v>13</v>
  </rv>
  <rv s="7">
    <fb>179.54</fb>
    <v>13</v>
  </rv>
  <rv s="7">
    <fb>175.06</fb>
    <v>13</v>
  </rv>
  <rv s="7">
    <fb>176.33</fb>
    <v>13</v>
  </rv>
  <rv s="7">
    <fb>178.02</fb>
    <v>13</v>
  </rv>
  <rv s="7">
    <fb>177.4</fb>
    <v>13</v>
  </rv>
  <rv s="7">
    <fb>173.56</fb>
    <v>13</v>
  </rv>
  <rv s="7">
    <fb>173.96</fb>
    <v>13</v>
  </rv>
  <rv s="7">
    <fb>174.42</fb>
    <v>13</v>
  </rv>
  <rv s="7">
    <fb>175.13</fb>
    <v>13</v>
  </rv>
  <rv s="7">
    <fb>177.07</fb>
    <v>13</v>
  </rv>
  <rv s="7">
    <fb>178.35</fb>
    <v>13</v>
  </rv>
  <rv s="7">
    <fb>175.95</fb>
    <v>13</v>
  </rv>
  <rv s="7">
    <fb>176.63</fb>
    <v>13</v>
  </rv>
  <rv s="7">
    <fb>178.19</fb>
    <v>13</v>
  </rv>
  <rv s="7">
    <fb>179.56</fb>
    <v>13</v>
  </rv>
  <rv s="7">
    <fb>176.74</fb>
    <v>13</v>
  </rv>
  <rv s="7">
    <fb>178.37</fb>
    <v>13</v>
  </rv>
  <rv s="7">
    <fb>178.78</fb>
    <v>13</v>
  </rv>
  <rv s="7">
    <fb>176.45</fb>
    <v>13</v>
  </rv>
  <rv s="7">
    <fb>177.71</fb>
    <v>13</v>
  </rv>
  <rv s="7">
    <fb>180.26</fb>
    <v>13</v>
  </rv>
  <rv s="7">
    <fb>180.79</fb>
    <v>13</v>
  </rv>
  <rv s="7">
    <fb>185.58</fb>
    <v>13</v>
  </rv>
  <rv s="7">
    <fb>185.37</fb>
    <v>13</v>
  </rv>
  <rv s="7">
    <fb>186.86</fb>
    <v>13</v>
  </rv>
  <rv s="7">
    <fb>183.42</fb>
    <v>13</v>
  </rv>
  <rv s="7">
    <fb>184.49</fb>
    <v>13</v>
  </rv>
  <rv s="7">
    <fb>186.61</fb>
    <v>13</v>
  </rv>
  <rv s="7">
    <fb>187.39</fb>
    <v>13</v>
  </rv>
  <rv s="7">
    <fb>191.96</fb>
    <v>13</v>
  </rv>
  <rv s="7">
    <fb>190.48</fb>
    <v>13</v>
  </rv>
  <rv s="7">
    <fb>190.44</fb>
    <v>13</v>
  </rv>
  <rv s="7">
    <fb>192.66</fb>
    <v>13</v>
  </rv>
  <rv s="7">
    <fb>187.3</fb>
    <v>13</v>
  </rv>
  <rv s="7">
    <fb>186.78</fb>
    <v>13</v>
  </rv>
  <rv s="7">
    <fb>188.19</fb>
    <v>13</v>
  </rv>
  <rv s="7">
    <fb>185.5</fb>
    <v>13</v>
  </rv>
  <rv s="7">
    <fb>182.62</fb>
    <v>13</v>
  </rv>
  <rv s="7">
    <fb>179.22</fb>
    <v>13</v>
  </rv>
  <rv s="7">
    <fb>179.39</fb>
    <v>13</v>
  </rv>
  <rv s="7">
    <fb>183.35</fb>
    <v>13</v>
  </rv>
  <rv s="7">
    <fb>183.6</fb>
    <v>13</v>
  </rv>
  <rv s="7">
    <fb>174.37</fb>
    <v>13</v>
  </rv>
  <rv s="7">
    <fb>169.16</fb>
    <v>13</v>
  </rv>
  <rv s="7">
    <fb>168.68</fb>
    <v>13</v>
  </rv>
  <rv s="7">
    <fb>171.13</fb>
    <v>13</v>
  </rv>
  <rv s="7">
    <fb>171.86</fb>
    <v>13</v>
  </rv>
  <rv s="7">
    <fb>173.15</fb>
    <v>13</v>
  </rv>
  <rv s="7">
    <fb>172.45</fb>
    <v>13</v>
  </rv>
  <rv s="7">
    <fb>168.4</fb>
    <v>13</v>
  </rv>
  <rv s="7">
    <fb>160.63999999999999</fb>
    <v>13</v>
  </rv>
  <rv s="7">
    <fb>160.54</fb>
    <v>13</v>
  </rv>
  <rv s="7">
    <fb>160.75</fb>
    <v>13</v>
  </rv>
  <rv s="7">
    <fb>163.84</fb>
    <v>13</v>
  </rv>
  <rv s="7">
    <fb>165.39</fb>
    <v>13</v>
  </rv>
  <rv s="7">
    <fb>163.95</fb>
    <v>13</v>
  </rv>
  <rv s="7">
    <fb>165.93</fb>
    <v>13</v>
  </rv>
  <rv s="7">
    <fb>162.03</fb>
    <v>13</v>
  </rv>
  <rv s="7">
    <fb>163.16999999999999</fb>
    <v>13</v>
  </rv>
  <rv s="7">
    <fb>164.74</fb>
    <v>13</v>
  </rv>
  <rv s="7">
    <fb>168.96</fb>
    <v>13</v>
  </rv>
  <rv s="7">
    <fb>167.63</fb>
    <v>13</v>
  </rv>
  <rv s="7">
    <fb>165.49</fb>
    <v>13</v>
  </rv>
  <rv s="7">
    <fb>167.43</fb>
    <v>13</v>
  </rv>
  <rv s="7">
    <fb>167.93</fb>
    <v>13</v>
  </rv>
  <rv s="7">
    <fb>166.38</fb>
    <v>13</v>
  </rv>
  <rv s="7">
    <fb>164.5</fb>
    <v>13</v>
  </rv>
  <rv s="7">
    <fb>163.4</fb>
    <v>13</v>
  </rv>
  <rv s="7">
    <fb>165.11</fb>
    <v>13</v>
  </rv>
  <rv s="7">
    <fb>158.61000000000001</fb>
    <v>13</v>
  </rv>
  <rv s="7">
    <fb>158.6</fb>
    <v>13</v>
  </rv>
  <rv s="7">
    <fb>152.13</fb>
    <v>13</v>
  </rv>
  <rv s="7">
    <fb>149.54</fb>
    <v>13</v>
  </rv>
  <rv s="7">
    <fb>150.01</fb>
    <v>13</v>
  </rv>
  <rv s="7">
    <fb>152.15</fb>
    <v>13</v>
  </rv>
  <rv s="7">
    <fb>155.54</fb>
    <v>13</v>
  </rv>
  <rv s="7">
    <fb>158.37</fb>
    <v>13</v>
  </rv>
  <rv s="7">
    <fb>158.99</fb>
    <v>13</v>
  </rv>
  <rv s="7">
    <fb>160.28</fb>
    <v>13</v>
  </rv>
  <rv s="7">
    <fb>160.81</fb>
    <v>13</v>
  </rv>
  <rv s="7">
    <fb>163.24</fb>
    <v>13</v>
  </rv>
  <rv s="7">
    <fb>163.07</fb>
    <v>13</v>
  </rv>
  <rv s="7">
    <fb>163.63999999999999</fb>
    <v>13</v>
  </rv>
  <rv s="7">
    <fb>162.99</fb>
    <v>13</v>
  </rv>
  <rv s="7">
    <fb>163.83000000000001</fb>
    <v>13</v>
  </rv>
  <rv s="7">
    <fb>165.29</fb>
    <v>13</v>
  </rv>
  <rv s="7">
    <fb>167.19</fb>
    <v>13</v>
  </rv>
  <rv s="7">
    <fb>167.31</fb>
    <v>13</v>
  </rv>
  <rv s="7">
    <fb>167.21</fb>
    <v>13</v>
  </rv>
  <rv s="7">
    <fb>168.56</fb>
    <v>13</v>
  </rv>
  <rv s="7">
    <fb>164.39</fb>
    <v>13</v>
  </rv>
  <rv s="7">
    <fb>165.7</fb>
    <v>13</v>
  </rv>
  <rv s="7">
    <fb>163.06</fb>
    <v>13</v>
  </rv>
  <rv s="7">
    <fb>163.18</fb>
    <v>13</v>
  </rv>
  <rv s="7">
    <fb>164.52</fb>
    <v>13</v>
  </rv>
  <rv s="7">
    <fb>166.35</fb>
    <v>13</v>
  </rv>
  <rv s="7">
    <fb>166.74</fb>
    <v>13</v>
  </rv>
  <rv s="7">
    <fb>164.51</fb>
    <v>13</v>
  </rv>
  <rv s="7">
    <fb>165.05</fb>
    <v>13</v>
  </rv>
  <rv s="7">
    <fb>165.8</fb>
    <v>13</v>
  </rv>
  <rv s="7">
    <fb>166.82</fb>
    <v>13</v>
  </rv>
  <rv s="7">
    <fb>164.48</fb>
    <v>13</v>
  </rv>
  <rv s="7">
    <fb>164.53</fb>
    <v>13</v>
  </rv>
  <rv s="7">
    <fb>166.99</fb>
    <v>13</v>
  </rv>
  <rv s="7">
    <fb>168.34</fb>
    <v>13</v>
  </rv>
  <rv s="7">
    <fb>171.14</fb>
    <v>13</v>
  </rv>
  <rv s="7">
    <fb>176.14</fb>
    <v>13</v>
  </rv>
  <rv s="7">
    <fb>172.69</fb>
    <v>13</v>
  </rv>
  <rv s="7">
    <fb>172.65</fb>
    <v>13</v>
  </rv>
  <rv s="7">
    <fb>170.68</fb>
    <v>13</v>
  </rv>
  <rv s="7">
    <fb>171.41</fb>
    <v>13</v>
  </rv>
  <rv s="7">
    <fb>178.33</fb>
    <v>13</v>
  </rv>
  <rv s="7">
    <fb>182.28</fb>
    <v>13</v>
  </rv>
  <rv s="7">
    <fb>179.86</fb>
    <v>13</v>
  </rv>
  <rv s="7">
    <fb>181.97</fb>
    <v>13</v>
  </rv>
  <rv s="7">
    <fb>183.32</fb>
    <v>13</v>
  </rv>
  <rv s="7">
    <fb>177.35</fb>
    <v>13</v>
  </rv>
  <rv s="7">
    <fb>173.89</fb>
    <v>13</v>
  </rv>
  <rv s="7">
    <fb>176.8</fb>
    <v>13</v>
  </rv>
  <rv s="7">
    <fb>179.58</fb>
    <v>13</v>
  </rv>
  <rv s="7">
    <fb>177.33</fb>
    <v>13</v>
  </rv>
  <rv s="7">
    <fb>169.24</fb>
    <v>13</v>
  </rv>
  <rv s="7">
    <fb>166.57</fb>
    <v>13</v>
  </rv>
  <rv s="7">
    <fb>169.43</fb>
    <v>13</v>
  </rv>
  <rv s="7">
    <fb>170.62</fb>
    <v>13</v>
  </rv>
  <rv s="7">
    <fb>170.82</fb>
    <v>13</v>
  </rv>
  <rv s="7">
    <fb>170.49</fb>
    <v>13</v>
  </rv>
  <rv s="7">
    <fb>173.02</fb>
    <v>13</v>
  </rv>
  <rv s="7">
    <fb>176.09</fb>
    <v>13</v>
  </rv>
  <rv s="7">
    <fb>174.31</fb>
    <v>13</v>
  </rv>
  <rv s="7">
    <fb>176.49</fb>
    <v>13</v>
  </rv>
  <rv s="7">
    <fb>186.53</fb>
    <v>13</v>
  </rv>
  <rv s="7">
    <fb>132.52000000000001</fb>
    <v>13</v>
  </rv>
  <rv s="7">
    <fb>132.57</fb>
    <v>13</v>
  </rv>
  <rv s="7">
    <fb>131.94</fb>
    <v>13</v>
  </rv>
  <rv s="7">
    <fb>132.6</fb>
    <v>13</v>
  </rv>
  <rv s="7">
    <fb>135.80000000000001</fb>
    <v>13</v>
  </rv>
  <rv s="7">
    <fb>136.65</fb>
    <v>13</v>
  </rv>
  <rv s="7">
    <fb>138.34</fb>
    <v>13</v>
  </rv>
  <rv s="7">
    <fb>140.41999999999999</fb>
    <v>13</v>
  </rv>
  <rv s="7">
    <fb>141.49</fb>
    <v>13</v>
  </rv>
  <rv s="7">
    <fb>141.52000000000001</fb>
    <v>13</v>
  </rv>
  <rv s="7">
    <fb>140.37</fb>
    <v>13</v>
  </rv>
  <rv s="7">
    <fb>140.22999999999999</fb>
    <v>13</v>
  </rv>
  <rv s="7">
    <fb>139.69</fb>
    <v>13</v>
  </rv>
  <rv s="7">
    <fb>138.16999999999999</fb>
    <v>13</v>
  </rv>
  <rv s="7">
    <fb>138.91999999999999</fb>
    <v>13</v>
  </rv>
  <rv s="7">
    <fb>136.38999999999999</fb>
    <v>13</v>
  </rv>
  <rv s="7">
    <fb>135.72999999999999</fb>
    <v>13</v>
  </rv>
  <rv s="7">
    <fb>140.94999999999999</fb>
    <v>13</v>
  </rv>
  <rv s="7">
    <fb>142.28</fb>
    <v>13</v>
  </rv>
  <rv s="7">
    <fb>142.08000000000001</fb>
    <v>13</v>
  </rv>
  <rv s="7">
    <fb>142.65</fb>
    <v>13</v>
  </rv>
  <rv s="7">
    <fb>142.49</fb>
    <v>13</v>
  </rv>
  <rv s="7">
    <fb>141.47</fb>
    <v>13</v>
  </rv>
  <rv s="7">
    <fb>143.47999999999999</fb>
    <v>13</v>
  </rv>
  <rv s="7">
    <fb>146.38</fb>
    <v>13</v>
  </rv>
  <rv s="7">
    <fb>145.99</fb>
    <v>13</v>
  </rv>
  <rv s="7">
    <fb>147.04</fb>
    <v>13</v>
  </rv>
  <rv s="7">
    <fb>148.69999999999999</fb>
    <v>13</v>
  </rv>
  <rv s="7">
    <fb>151.87</fb>
    <v>13</v>
  </rv>
  <rv s="7">
    <fb>152.185</fb>
    <v>13</v>
  </rv>
  <rv s="7">
    <fb>153.51</fb>
    <v>13</v>
  </rv>
  <rv s="7">
    <fb>151.46</fb>
    <v>13</v>
  </rv>
  <rv s="7">
    <fb>141.16</fb>
    <v>13</v>
  </rv>
  <rv s="7">
    <fb>142.38</fb>
    <v>13</v>
  </rv>
  <rv s="7">
    <fb>143.68</fb>
    <v>13</v>
  </rv>
  <rv s="7">
    <fb>144.1</fb>
    <v>13</v>
  </rv>
  <rv s="7">
    <fb>145.54</fb>
    <v>13</v>
  </rv>
  <rv s="7">
    <fb>145.91</fb>
    <v>13</v>
  </rv>
  <rv s="7">
    <fb>149</fb>
    <v>13</v>
  </rv>
  <rv s="7">
    <fb>147.53</fb>
    <v>13</v>
  </rv>
  <rv s="7">
    <fb>145.13999999999999</fb>
    <v>13</v>
  </rv>
  <rv s="7">
    <fb>145.94</fb>
    <v>13</v>
  </rv>
  <rv s="7">
    <fb>142.77000000000001</fb>
    <v>13</v>
  </rv>
  <rv s="7">
    <fb>140.52000000000001</fb>
    <v>13</v>
  </rv>
  <rv s="7">
    <fb>141.12</fb>
    <v>13</v>
  </rv>
  <rv s="7">
    <fb>142.55000000000001</fb>
    <v>13</v>
  </rv>
  <rv s="7">
    <fb>144.09</fb>
    <v>13</v>
  </rv>
  <rv s="7">
    <fb>143.96</fb>
    <v>13</v>
  </rv>
  <rv s="7">
    <fb>137.57</fb>
    <v>13</v>
  </rv>
  <rv s="7">
    <fb>138.88</fb>
    <v>13</v>
  </rv>
  <rv s="7">
    <fb>136.38</fb>
    <v>13</v>
  </rv>
  <rv s="7">
    <fb>138.46</fb>
    <v>13</v>
  </rv>
  <rv s="7">
    <fb>137.13999999999999</fb>
    <v>13</v>
  </rv>
  <rv s="7">
    <fb>133.35</fb>
    <v>13</v>
  </rv>
  <rv s="7">
    <fb>132.66999999999999</fb>
    <v>13</v>
  </rv>
  <rv s="7">
    <fb>131.4</fb>
    <v>13</v>
  </rv>
  <rv s="7">
    <fb>134.38</fb>
    <v>13</v>
  </rv>
  <rv s="7">
    <fb>135.41</fb>
    <v>13</v>
  </rv>
  <rv s="7">
    <fb>137.66999999999999</fb>
    <v>13</v>
  </rv>
  <rv s="7">
    <fb>138.5</fb>
    <v>13</v>
  </rv>
  <rv s="7">
    <fb>139.79</fb>
    <v>13</v>
  </rv>
  <rv s="7">
    <fb>143.1</fb>
    <v>13</v>
  </rv>
  <rv s="7">
    <fb>141.18</fb>
    <v>13</v>
  </rv>
  <rv s="7">
    <fb>147.68</fb>
    <v>13</v>
  </rv>
  <rv s="7">
    <fb>147.03</fb>
    <v>13</v>
  </rv>
  <rv s="7">
    <fb>147.6</fb>
    <v>13</v>
  </rv>
  <rv s="7">
    <fb>150.07</fb>
    <v>13</v>
  </rv>
  <rv s="7">
    <fb>150.66999999999999</fb>
    <v>13</v>
  </rv>
  <rv s="7">
    <fb>150.87</fb>
    <v>13</v>
  </rv>
  <rv s="7">
    <fb>150.93</fb>
    <v>13</v>
  </rv>
  <rv s="7">
    <fb>155.49</fb>
    <v>13</v>
  </rv>
  <rv s="7">
    <fb>154.56</fb>
    <v>13</v>
  </rv>
  <rv s="7">
    <fb>154.91999999999999</fb>
    <v>13</v>
  </rv>
  <rv s="7">
    <fb>150.53</fb>
    <v>13</v>
  </rv>
  <rv s="7">
    <fb>152.5</fb>
    <v>13</v>
  </rv>
  <rv s="7">
    <fb>154.85</fb>
    <v>13</v>
  </rv>
  <rv s="7">
    <fb>156.6</fb>
    <v>13</v>
  </rv>
  <rv s="7">
    <fb>159.41</fb>
    <v>13</v>
  </rv>
  <rv s="7">
    <fb>157.72999999999999</fb>
    <v>13</v>
  </rv>
  <rv s="7">
    <fb>154.86000000000001</fb>
    <v>13</v>
  </rv>
  <rv s="7">
    <fb>154.4</fb>
    <v>13</v>
  </rv>
  <rv s="7">
    <fb>155.47</fb>
    <v>13</v>
  </rv>
  <rv s="7">
    <fb>156.01</fb>
    <v>13</v>
  </rv>
  <rv s="7">
    <fb>156.28</fb>
    <v>13</v>
  </rv>
  <rv s="7">
    <fb>158.26</fb>
    <v>13</v>
  </rv>
  <rv s="7">
    <fb>159.13</fb>
    <v>13</v>
  </rv>
  <rv s="7">
    <fb>171.95</fb>
    <v>13</v>
  </rv>
  <rv s="7">
    <fb>166.15</fb>
    <v>13</v>
  </rv>
  <rv s="7">
    <fb>162.78</fb>
    <v>13</v>
  </rv>
  <rv s="7">
    <fb>163.86</fb>
    <v>13</v>
  </rv>
  <rv s="7">
    <fb>166.62</fb>
    <v>13</v>
  </rv>
  <rv s="7">
    <fb>167.24</fb>
    <v>13</v>
  </rv>
  <rv s="7">
    <fb>168.1</fb>
    <v>13</v>
  </rv>
  <rv s="7">
    <fb>171.25</fb>
    <v>13</v>
  </rv>
  <rv s="7">
    <fb>169.38</fb>
    <v>13</v>
  </rv>
  <rv s="7">
    <fb>169.96</fb>
    <v>13</v>
  </rv>
  <rv s="7">
    <fb>168.65</fb>
    <v>13</v>
  </rv>
  <rv s="7">
    <fb>169.14</fb>
    <v>13</v>
  </rv>
  <rv s="7">
    <fb>170.34</fb>
    <v>13</v>
  </rv>
  <rv s="7">
    <fb>172.51</fb>
    <v>13</v>
  </rv>
  <rv s="7">
    <fb>174.18</fb>
    <v>13</v>
  </rv>
  <rv s="7">
    <fb>176.06</fb>
    <v>13</v>
  </rv>
  <rv s="7">
    <fb>176.92</fb>
    <v>13</v>
  </rv>
  <rv s="7">
    <fb>177.85</fb>
    <v>13</v>
  </rv>
  <rv s="7">
    <fb>176.38</fb>
    <v>13</v>
  </rv>
  <rv s="7">
    <fb>173.55</fb>
    <v>13</v>
  </rv>
  <rv s="7">
    <fb>174.99</fb>
    <v>13</v>
  </rv>
  <rv s="7">
    <fb>176.4</fb>
    <v>13</v>
  </rv>
  <rv s="7">
    <fb>175.9</fb>
    <v>13</v>
  </rv>
  <rv s="7">
    <fb>172.11</fb>
    <v>13</v>
  </rv>
  <rv s="7">
    <fb>172.5</fb>
    <v>13</v>
  </rv>
  <rv s="7">
    <fb>173.17</fb>
    <v>13</v>
  </rv>
  <rv s="7">
    <fb>173.79</fb>
    <v>13</v>
  </rv>
  <rv s="7">
    <fb>175.41</fb>
    <v>13</v>
  </rv>
  <rv s="7">
    <fb>176.73</fb>
    <v>13</v>
  </rv>
  <rv s="7">
    <fb>174.46</fb>
    <v>13</v>
  </rv>
  <rv s="7">
    <fb>175.01</fb>
    <v>13</v>
  </rv>
  <rv s="7">
    <fb>176.62</fb>
    <v>13</v>
  </rv>
  <rv s="7">
    <fb>177.79</fb>
    <v>13</v>
  </rv>
  <rv s="7">
    <fb>175.16</fb>
    <v>13</v>
  </rv>
  <rv s="7">
    <fb>176.79</fb>
    <v>13</v>
  </rv>
  <rv s="7">
    <fb>177.24</fb>
    <v>13</v>
  </rv>
  <rv s="7">
    <fb>175.09</fb>
    <v>13</v>
  </rv>
  <rv s="7">
    <fb>176.3</fb>
    <v>13</v>
  </rv>
  <rv s="7">
    <fb>179.63</fb>
    <v>13</v>
  </rv>
  <rv s="7">
    <fb>184.03</fb>
    <v>13</v>
  </rv>
  <rv s="7">
    <fb>183.88</fb>
    <v>13</v>
  </rv>
  <rv s="7">
    <fb>185.41</fb>
    <v>13</v>
  </rv>
  <rv s="7">
    <fb>182.15</fb>
    <v>13</v>
  </rv>
  <rv s="7">
    <fb>182.99</fb>
    <v>13</v>
  </rv>
  <rv s="7">
    <fb>185.24</fb>
    <v>13</v>
  </rv>
  <rv s="7">
    <fb>185.82</fb>
    <v>13</v>
  </rv>
  <rv s="7">
    <fb>190.6</fb>
    <v>13</v>
  </rv>
  <rv s="7">
    <fb>189.03</fb>
    <v>13</v>
  </rv>
  <rv s="7">
    <fb>188.98</fb>
    <v>13</v>
  </rv>
  <rv s="7">
    <fb>191.18</fb>
    <v>13</v>
  </rv>
  <rv s="7">
    <fb>185.57</fb>
    <v>13</v>
  </rv>
  <rv s="7">
    <fb>185.07</fb>
    <v>13</v>
  </rv>
  <rv s="7">
    <fb>183.92</fb>
    <v>13</v>
  </rv>
  <rv s="7">
    <fb>181.02</fb>
    <v>13</v>
  </rv>
  <rv s="7">
    <fb>177.69</fb>
    <v>13</v>
  </rv>
  <rv s="7">
    <fb>181.67</fb>
    <v>13</v>
  </rv>
  <rv s="7">
    <fb>181.79</fb>
    <v>13</v>
  </rv>
  <rv s="7">
    <fb>172.63</fb>
    <v>13</v>
  </rv>
  <rv s="7">
    <fb>167.28</fb>
    <v>13</v>
  </rv>
  <rv s="7">
    <fb>167</fb>
    <v>13</v>
  </rv>
  <rv s="7">
    <fb>169.53</fb>
    <v>13</v>
  </rv>
  <rv s="7">
    <fb>170.76</fb>
    <v>13</v>
  </rv>
  <rv s="7">
    <fb>166.66</fb>
    <v>13</v>
  </rv>
  <rv s="7">
    <fb>159.25</fb>
    <v>13</v>
  </rv>
  <rv s="7">
    <fb>158.29</fb>
    <v>13</v>
  </rv>
  <rv s="7">
    <fb>158.94</fb>
    <v>13</v>
  </rv>
  <rv s="7">
    <fb>163.66999999999999</fb>
    <v>13</v>
  </rv>
  <rv s="7">
    <fb>162.29</fb>
    <v>13</v>
  </rv>
  <rv s="7">
    <fb>164.16</fb>
    <v>13</v>
  </rv>
  <rv s="7">
    <fb>160.37</fb>
    <v>13</v>
  </rv>
  <rv s="7">
    <fb>161.30000000000001</fb>
    <v>13</v>
  </rv>
  <rv s="7">
    <fb>162.96</fb>
    <v>13</v>
  </rv>
  <rv s="7">
    <fb>166.67</fb>
    <v>13</v>
  </rv>
  <rv s="7">
    <fb>167.18</fb>
    <v>13</v>
  </rv>
  <rv s="7">
    <fb>165.85</fb>
    <v>13</v>
  </rv>
  <rv s="7">
    <fb>163.80000000000001</fb>
    <v>13</v>
  </rv>
  <rv s="7">
    <fb>165.62</fb>
    <v>13</v>
  </rv>
  <rv s="7">
    <fb>166.16</fb>
    <v>13</v>
  </rv>
  <rv s="7">
    <fb>164.68</fb>
    <v>13</v>
  </rv>
  <rv s="7">
    <fb>163.38</fb>
    <v>13</v>
  </rv>
  <rv s="7">
    <fb>157.36000000000001</fb>
    <v>13</v>
  </rv>
  <rv s="7">
    <fb>156.44999999999999</fb>
    <v>13</v>
  </rv>
  <rv s="7">
    <fb>157.24</fb>
    <v>13</v>
  </rv>
  <rv s="7">
    <fb>150.91999999999999</fb>
    <v>13</v>
  </rv>
  <rv s="7">
    <fb>148.71</fb>
    <v>13</v>
  </rv>
  <rv s="7">
    <fb>148.66</fb>
    <v>13</v>
  </rv>
  <rv s="7">
    <fb>151.16</fb>
    <v>13</v>
  </rv>
  <rv s="7">
    <fb>154.69</fb>
    <v>13</v>
  </rv>
  <rv s="7">
    <fb>158.06</fb>
    <v>13</v>
  </rv>
  <rv s="7">
    <fb>159.32</fb>
    <v>13</v>
  </rv>
  <rv s="7">
    <fb>159.81</fb>
    <v>13</v>
  </rv>
  <rv s="7">
    <fb>162.13999999999999</fb>
    <v>13</v>
  </rv>
  <rv s="7">
    <fb>163.59</fb>
    <v>13</v>
  </rv>
  <rv s="7">
    <fb>161.85</fb>
    <v>13</v>
  </rv>
  <rv s="7">
    <fb>161.49</fb>
    <v>13</v>
  </rv>
  <rv s="7">
    <fb>162.72999999999999</fb>
    <v>13</v>
  </rv>
  <rv s="7">
    <fb>165.86</fb>
    <v>13</v>
  </rv>
  <rv s="7">
    <fb>167.06</fb>
    <v>13</v>
  </rv>
  <rv s="7">
    <fb>162.97999999999999</fb>
    <v>13</v>
  </rv>
  <rv s="7">
    <fb>164.38</fb>
    <v>13</v>
  </rv>
  <rv s="7">
    <fb>161.86000000000001</fb>
    <v>13</v>
  </rv>
  <rv s="7">
    <fb>162.08000000000001</fb>
    <v>13</v>
  </rv>
  <rv s="7">
    <fb>164.96</fb>
    <v>13</v>
  </rv>
  <rv s="7">
    <fb>165.46</fb>
    <v>13</v>
  </rv>
  <rv s="7">
    <fb>165.16</fb>
    <v>13</v>
  </rv>
  <rv s="7">
    <fb>162.93</fb>
    <v>13</v>
  </rv>
  <rv s="7">
    <fb>163.41999999999999</fb>
    <v>13</v>
  </rv>
  <rv s="7">
    <fb>164.07</fb>
    <v>13</v>
  </rv>
  <rv s="7">
    <fb>162.72</fb>
    <v>13</v>
  </rv>
  <rv s="7">
    <fb>166.72</fb>
    <v>13</v>
  </rv>
  <rv s="7">
    <fb>169.68</fb>
    <v>13</v>
  </rv>
  <rv s="7">
    <fb>171.11</fb>
    <v>13</v>
  </rv>
  <rv s="7">
    <fb>171.29</fb>
    <v>13</v>
  </rv>
  <rv s="7">
    <fb>169.74</fb>
    <v>13</v>
  </rv>
  <rv s="7">
    <fb>176.51</fb>
    <v>13</v>
  </rv>
  <rv s="7">
    <fb>180.75</fb>
    <v>13</v>
  </rv>
  <rv s="7">
    <fb>180.35</fb>
    <v>13</v>
  </rv>
  <rv s="7">
    <fb>181.62</fb>
    <v>13</v>
  </rv>
  <rv s="7">
    <fb>178.88</fb>
    <v>13</v>
  </rv>
  <rv s="7">
    <fb>175.58</fb>
    <v>13</v>
  </rv>
  <rv s="7">
    <fb>172.49</fb>
    <v>13</v>
  </rv>
  <rv s="7">
    <fb>175.3</fb>
    <v>13</v>
  </rv>
  <rv s="7">
    <fb>178.12</fb>
    <v>13</v>
  </rv>
  <rv s="7">
    <fb>175.98</fb>
    <v>13</v>
  </rv>
  <rv s="7">
    <fb>164.76</fb>
    <v>13</v>
  </rv>
  <rv s="7">
    <fb>167.65</fb>
    <v>13</v>
  </rv>
  <rv s="7">
    <fb>169.12</fb>
    <v>13</v>
  </rv>
  <rv s="7">
    <fb>169.23</fb>
    <v>13</v>
  </rv>
  <rv s="7">
    <fb>168.95</fb>
    <v>13</v>
  </rv>
  <rv s="7">
    <fb>171.49</fb>
    <v>13</v>
  </rv>
  <rv s="7">
    <fb>171.34</fb>
    <v>13</v>
  </rv>
  <rv s="7">
    <fb>172.64</fb>
    <v>13</v>
  </rv>
  <rv s="7">
    <fb>174.71</fb>
    <v>13</v>
  </rv>
  <rv s="7">
    <fb>175.37</fb>
    <v>13</v>
  </rv>
  <rv s="7">
    <fb>185.17</fb>
    <v>13</v>
  </rv>
  <rv s="7">
    <fb>147.47999999999999</fb>
    <v>13</v>
  </rv>
  <rv s="7">
    <fb>148.84</fb>
    <v>13</v>
  </rv>
  <rv s="7">
    <fb>147.41999999999999</fb>
    <v>13</v>
  </rv>
  <rv s="7">
    <fb>149.97</fb>
    <v>13</v>
  </rv>
  <rv s="7">
    <fb>154.07</fb>
    <v>13</v>
  </rv>
  <rv s="7">
    <fb>152.12</fb>
    <v>13</v>
  </rv>
  <rv s="7">
    <fb>153.84</fb>
    <v>13</v>
  </rv>
  <rv s="7">
    <fb>153.41999999999999</fb>
    <v>13</v>
  </rv>
  <rv s="7">
    <fb>153.41</fb>
    <v>13</v>
  </rv>
  <rv s="7">
    <fb>153.34</fb>
    <v>13</v>
  </rv>
  <rv s="7">
    <fb>153.38</fb>
    <v>13</v>
  </rv>
  <rv s="7">
    <fb>149.93</fb>
    <v>13</v>
  </rv>
  <rv s="7">
    <fb>148.47</fb>
    <v>13</v>
  </rv>
  <rv s="7">
    <fb>144.57</fb>
    <v>13</v>
  </rv>
  <rv s="7">
    <fb>145.24</fb>
    <v>13</v>
  </rv>
  <rv s="7">
    <fb>149.1</fb>
    <v>13</v>
  </rv>
  <rv s="7">
    <fb>151.37</fb>
    <v>13</v>
  </rv>
  <rv s="7">
    <fb>153.72999999999999</fb>
    <v>13</v>
  </rv>
  <rv s="7">
    <fb>155.18</fb>
    <v>13</v>
  </rv>
  <rv s="7">
    <fb>154.62</fb>
    <v>13</v>
  </rv>
  <rv s="7">
    <fb>151.71</fb>
    <v>13</v>
  </rv>
  <rv s="7">
    <fb>153.5</fb>
    <v>13</v>
  </rv>
  <rv s="7">
    <fb>155.34</fb>
    <v>13</v>
  </rv>
  <rv s="7">
    <fb>154.78</fb>
    <v>13</v>
  </rv>
  <rv s="7">
    <fb>156.02000000000001</fb>
    <v>13</v>
  </rv>
  <rv s="7">
    <fb>156.87</fb>
    <v>13</v>
  </rv>
  <rv s="7">
    <fb>157.75</fb>
    <v>13</v>
  </rv>
  <rv s="7">
    <fb>159.12</fb>
    <v>13</v>
  </rv>
  <rv s="7">
    <fb>161.26</fb>
    <v>13</v>
  </rv>
  <rv s="7">
    <fb>159</fb>
    <v>13</v>
  </rv>
  <rv s="7">
    <fb>155.19999999999999</fb>
    <v>13</v>
  </rv>
  <rv s="7">
    <fb>159.28</fb>
    <v>13</v>
  </rv>
  <rv s="7">
    <fb>171.81</fb>
    <v>13</v>
  </rv>
  <rv s="7">
    <fb>170.31</fb>
    <v>13</v>
  </rv>
  <rv s="7">
    <fb>169.15</fb>
    <v>13</v>
  </rv>
  <rv s="7">
    <fb>170.53</fb>
    <v>13</v>
  </rv>
  <rv s="7">
    <fb>169.84</fb>
    <v>13</v>
  </rv>
  <rv s="7">
    <fb>174.45</fb>
    <v>13</v>
  </rv>
  <rv s="7">
    <fb>172.34</fb>
    <v>13</v>
  </rv>
  <rv s="7">
    <fb>168.64</fb>
    <v>13</v>
  </rv>
  <rv s="7">
    <fb>170.98</fb>
    <v>13</v>
  </rv>
  <rv s="7">
    <fb>169.8</fb>
    <v>13</v>
  </rv>
  <rv s="7">
    <fb>169.51</fb>
    <v>13</v>
  </rv>
  <rv s="7">
    <fb>167.08</fb>
    <v>13</v>
  </rv>
  <rv s="7">
    <fb>168.59</fb>
    <v>13</v>
  </rv>
  <rv s="7">
    <fb>174.58</fb>
    <v>13</v>
  </rv>
  <rv s="7">
    <fb>174.73</fb>
    <v>13</v>
  </rv>
  <rv s="7">
    <fb>173.54</fb>
    <v>13</v>
  </rv>
  <rv s="7">
    <fb>173.16</fb>
    <v>13</v>
  </rv>
  <rv s="7">
    <fb>178.22</fb>
    <v>13</v>
  </rv>
  <rv s="7">
    <fb>177.58</fb>
    <v>13</v>
  </rv>
  <rv s="7">
    <fb>174.12</fb>
    <v>13</v>
  </rv>
  <rv s="7">
    <fb>173.51</fb>
    <v>13</v>
  </rv>
  <rv s="7">
    <fb>176.82</fb>
    <v>13</v>
  </rv>
  <rv s="7">
    <fb>175.35</fb>
    <v>13</v>
  </rv>
  <rv s="7">
    <fb>171.96</fb>
    <v>13</v>
  </rv>
  <rv s="7">
    <fb>175.39</fb>
    <v>13</v>
  </rv>
  <rv s="7">
    <fb>176.55500000000001</fb>
    <v>13</v>
  </rv>
  <rv s="7">
    <fb>178.75</fb>
    <v>13</v>
  </rv>
  <rv s="7">
    <fb>174.48</fb>
    <v>13</v>
  </rv>
  <rv s="7">
    <fb>178.15</fb>
    <v>13</v>
  </rv>
  <rv s="7">
    <fb>178.87</fb>
    <v>13</v>
  </rv>
  <rv s="7">
    <fb>179.71</fb>
    <v>13</v>
  </rv>
  <rv s="7">
    <fb>178.3</fb>
    <v>13</v>
  </rv>
  <rv s="7">
    <fb>180.38</fb>
    <v>13</v>
  </rv>
  <rv s="7">
    <fb>180.97</fb>
    <v>13</v>
  </rv>
  <rv s="7">
    <fb>180.69</fb>
    <v>13</v>
  </rv>
  <rv s="7">
    <fb>182.41</fb>
    <v>13</v>
  </rv>
  <rv s="7">
    <fb>180</fb>
    <v>13</v>
  </rv>
  <rv s="7">
    <fb>185.19</fb>
    <v>13</v>
  </rv>
  <rv s="7">
    <fb>185.67</fb>
    <v>13</v>
  </rv>
  <rv s="7">
    <fb>185.95</fb>
    <v>13</v>
  </rv>
  <rv s="7">
    <fb>189.05</fb>
    <v>13</v>
  </rv>
  <rv s="7">
    <fb>186.13</fb>
    <v>13</v>
  </rv>
  <rv s="7">
    <fb>183.62</fb>
    <v>13</v>
  </rv>
  <rv s="7">
    <fb>181.28</fb>
    <v>13</v>
  </rv>
  <rv s="7">
    <fb>174.63</fb>
    <v>13</v>
  </rv>
  <rv s="7">
    <fb>177.23</fb>
    <v>13</v>
  </rv>
  <rv s="7">
    <fb>176.59</fb>
    <v>13</v>
  </rv>
  <rv s="7">
    <fb>173.67</fb>
    <v>13</v>
  </rv>
  <rv s="7">
    <fb>179.62</fb>
    <v>13</v>
  </rv>
  <rv s="7">
    <fb>180.96</fb>
    <v>13</v>
  </rv>
  <rv s="7">
    <fb>175</fb>
    <v>13</v>
  </rv>
  <rv s="7">
    <fb>179</fb>
    <v>13</v>
  </rv>
  <rv s="7">
    <fb>184.72</fb>
    <v>13</v>
  </rv>
  <rv s="7">
    <fb>186.21</fb>
    <v>13</v>
  </rv>
  <rv s="7">
    <fb>188.7</fb>
    <v>13</v>
  </rv>
  <rv s="7">
    <fb>188.76</fb>
    <v>13</v>
  </rv>
  <rv s="7">
    <fb>188</fb>
    <v>13</v>
  </rv>
  <rv s="7">
    <fb>189.5</fb>
    <v>13</v>
  </rv>
  <rv s="7">
    <fb>187.48</fb>
    <v>13</v>
  </rv>
  <rv s="7">
    <fb>186.57</fb>
    <v>13</v>
  </rv>
  <rv s="7">
    <fb>187.07</fb>
    <v>13</v>
  </rv>
  <rv s="7">
    <fb>185.99</fb>
    <v>13</v>
  </rv>
  <rv s="7">
    <fb>183.63</fb>
    <v>13</v>
  </rv>
  <rv s="7">
    <fb>184.7</fb>
    <v>13</v>
  </rv>
  <rv s="7">
    <fb>183.54</fb>
    <v>13</v>
  </rv>
  <rv s="7">
    <fb>183.15</fb>
    <v>13</v>
  </rv>
  <rv s="7">
    <fb>183.13</fb>
    <v>13</v>
  </rv>
  <rv s="7">
    <fb>181.05</fb>
    <v>13</v>
  </rv>
  <rv s="7">
    <fb>182.02</fb>
    <v>13</v>
  </rv>
  <rv s="7">
    <fb>179.32</fb>
    <v>13</v>
  </rv>
  <rv s="7">
    <fb>176.44</fb>
    <v>13</v>
  </rv>
  <rv s="7">
    <fb>178.34</fb>
    <v>13</v>
  </rv>
  <rv s="7">
    <fb>179.34</fb>
    <v>13</v>
  </rv>
  <rv s="7">
    <fb>185</fb>
    <v>13</v>
  </rv>
  <rv s="7">
    <fb>184.3</fb>
    <v>13</v>
  </rv>
  <rv s="7">
    <fb>187.23</fb>
    <v>13</v>
  </rv>
  <rv s="7">
    <fb>186.89</fb>
    <v>13</v>
  </rv>
  <rv s="7">
    <fb>183.83</fb>
    <v>13</v>
  </rv>
  <rv s="7">
    <fb>183.66</fb>
    <v>13</v>
  </rv>
  <rv s="7">
    <fb>184.06</fb>
    <v>13</v>
  </rv>
  <rv s="7">
    <fb>182.81</fb>
    <v>13</v>
  </rv>
  <rv s="7">
    <fb>186.1</fb>
    <v>13</v>
  </rv>
  <rv s="7">
    <fb>189.08</fb>
    <v>13</v>
  </rv>
  <rv s="7">
    <fb>186.34</fb>
    <v>13</v>
  </rv>
  <rv s="7">
    <fb>193.61</fb>
    <v>13</v>
  </rv>
  <rv s="7">
    <fb>197.85</fb>
    <v>13</v>
  </rv>
  <rv s="7">
    <fb>193.25</fb>
    <v>13</v>
  </rv>
  <rv s="7">
    <fb>197.2</fb>
    <v>13</v>
  </rv>
  <rv s="7">
    <fb>200</fb>
    <v>13</v>
  </rv>
  <rv s="7">
    <fb>197.59</fb>
    <v>13</v>
  </rv>
  <rv s="7">
    <fb>199.29</fb>
    <v>13</v>
  </rv>
  <rv s="7">
    <fb>199.34</fb>
    <v>13</v>
  </rv>
  <rv s="7">
    <fb>199.79</fb>
    <v>13</v>
  </rv>
  <rv s="7">
    <fb>195.05</fb>
    <v>13</v>
  </rv>
  <rv s="7">
    <fb>194.49</fb>
    <v>13</v>
  </rv>
  <rv s="7">
    <fb>192.72</fb>
    <v>13</v>
  </rv>
  <rv s="7">
    <fb>193.02</fb>
    <v>13</v>
  </rv>
  <rv s="7">
    <fb>187.93</fb>
    <v>13</v>
  </rv>
  <rv s="7">
    <fb>183.75</fb>
    <v>13</v>
  </rv>
  <rv s="7">
    <fb>182.55</fb>
    <v>13</v>
  </rv>
  <rv s="7">
    <fb>186.41</fb>
    <v>13</v>
  </rv>
  <rv s="7">
    <fb>180.83</fb>
    <v>13</v>
  </rv>
  <rv s="7">
    <fb>179.85</fb>
    <v>13</v>
  </rv>
  <rv s="7">
    <fb>182.5</fb>
    <v>13</v>
  </rv>
  <rv s="7">
    <fb>183.2</fb>
    <v>13</v>
  </rv>
  <rv s="7">
    <fb>181.71</fb>
    <v>13</v>
  </rv>
  <rv s="7">
    <fb>186.98</fb>
    <v>13</v>
  </rv>
  <rv s="7">
    <fb>184.07</fb>
    <v>13</v>
  </rv>
  <rv s="7">
    <fb>161.02000000000001</fb>
    <v>13</v>
  </rv>
  <rv s="7">
    <fb>161.93</fb>
    <v>13</v>
  </rv>
  <rv s="7">
    <fb>162.77000000000001</fb>
    <v>13</v>
  </rv>
  <rv s="7">
    <fb>166.94</fb>
    <v>13</v>
  </rv>
  <rv s="7">
    <fb>166.8</fb>
    <v>13</v>
  </rv>
  <rv s="7">
    <fb>170.23</fb>
    <v>13</v>
  </rv>
  <rv s="7">
    <fb>170.1</fb>
    <v>13</v>
  </rv>
  <rv s="7">
    <fb>177.59</fb>
    <v>13</v>
  </rv>
  <rv s="7">
    <fb>177.06</fb>
    <v>13</v>
  </rv>
  <rv s="7">
    <fb>180.11</fb>
    <v>13</v>
  </rv>
  <rv s="7">
    <fb>176.13</fb>
    <v>13</v>
  </rv>
  <rv s="7">
    <fb>177.04</fb>
    <v>13</v>
  </rv>
  <rv s="7">
    <fb>175.5</fb>
    <v>13</v>
  </rv>
  <rv s="7">
    <fb>173.12</fb>
    <v>13</v>
  </rv>
  <rv s="7">
    <fb>170.8</fb>
    <v>13</v>
  </rv>
  <rv s="7">
    <fb>172.12</fb>
    <v>13</v>
  </rv>
  <rv s="7">
    <fb>178.5</fb>
    <v>13</v>
  </rv>
  <rv s="7">
    <fb>176.25</fb>
    <v>13</v>
  </rv>
  <rv s="7">
    <fb>173.33</fb>
    <v>13</v>
  </rv>
  <rv s="7">
    <fb>177.89</fb>
    <v>13</v>
  </rv>
  <rv s="7">
    <fb>171.39</fb>
    <v>13</v>
  </rv>
  <rv s="7">
    <fb>175.4</fb>
    <v>13</v>
  </rv>
  <rv s="7">
    <fb>179.55</fb>
    <v>13</v>
  </rv>
  <rv s="7">
    <fb>184.52</fb>
    <v>13</v>
  </rv>
  <rv s="7">
    <fb>187</fb>
    <v>13</v>
  </rv>
  <rv s="7">
    <fb>186.49</fb>
    <v>13</v>
  </rv>
  <rv s="7">
    <fb>184.89</fb>
    <v>13</v>
  </rv>
  <rv s="7">
    <fb>186.88</fb>
    <v>13</v>
  </rv>
  <rv s="7">
    <fb>186.43</fb>
    <v>13</v>
  </rv>
  <rv s="7">
    <fb>189.87</fb>
    <v>13</v>
  </rv>
  <rv s="7">
    <fb>191.6</fb>
    <v>13</v>
  </rv>
  <rv s="7">
    <fb>193.88</fb>
    <v>13</v>
  </rv>
  <rv s="7">
    <fb>193.96</fb>
    <v>13</v>
  </rv>
  <rv s="7">
    <fb>191.16</fb>
    <v>13</v>
  </rv>
  <rv s="7">
    <fb>187.97</fb>
    <v>13</v>
  </rv>
  <rv s="7">
    <fb>186.33</fb>
    <v>13</v>
  </rv>
  <rv s="7">
    <fb>185.13</fb>
    <v>13</v>
  </rv>
  <rv s="7">
    <fb>184.76</fb>
    <v>13</v>
  </rv>
  <rv s="7">
    <fb>181.96</fb>
    <v>13</v>
  </rv>
  <rv s="7">
    <fb>186.51</fb>
    <v>13</v>
  </rv>
  <rv s="7">
    <fb>180.8</fb>
    <v>13</v>
  </rv>
  <rv s="7">
    <fb>182.72</fb>
    <v>13</v>
  </rv>
  <rv s="7">
    <fb>186.65</fb>
    <v>13</v>
  </rv>
  <rv s="7">
    <fb>188.82</fb>
    <v>13</v>
  </rv>
  <rv s="7">
    <fb>187.54</fb>
    <v>13</v>
  </rv>
  <rv s="7">
    <fb>187.69</fb>
    <v>13</v>
  </rv>
  <rv s="7">
    <fb>187.53</fb>
    <v>13</v>
  </rv>
  <rv s="7">
    <fb>188.99</fb>
    <v>13</v>
  </rv>
  <rv s="7">
    <fb>189.07</fb>
    <v>13</v>
  </rv>
  <rv s="7">
    <fb>189.7</fb>
    <v>13</v>
  </rv>
  <rv s="7">
    <fb>184.71</fb>
    <v>13</v>
  </rv>
  <rv s="7">
    <fb>186.38</fb>
    <v>13</v>
  </rv>
  <rv s="7">
    <fb>187.83</fb>
    <v>13</v>
  </rv>
  <rv s="7">
    <fb>188.39</fb>
    <v>13</v>
  </rv>
  <rv s="7">
    <fb>190.83</fb>
    <v>13</v>
  </rv>
  <rv s="7">
    <fb>192.73</fb>
    <v>13</v>
  </rv>
  <rv s="7">
    <fb>186.4</fb>
    <v>13</v>
  </rv>
  <rv s="7">
    <fb>197.93</fb>
    <v>13</v>
  </rv>
  <rv s="7">
    <fb>195.78</fb>
    <v>13</v>
  </rv>
  <rv s="7">
    <fb>199.5</fb>
    <v>13</v>
  </rv>
  <rv s="7">
    <fb>207.09</fb>
    <v>13</v>
  </rv>
  <rv s="7">
    <fb>210.05</fb>
    <v>13</v>
  </rv>
  <rv s="7">
    <fb>208.18</fb>
    <v>13</v>
  </rv>
  <rv s="7">
    <fb>206.84</fb>
    <v>13</v>
  </rv>
  <rv s="7">
    <fb>208.91</fb>
    <v>13</v>
  </rv>
  <rv s="7">
    <fb>214.1</fb>
    <v>13</v>
  </rv>
  <rv s="7">
    <fb>211.48</fb>
    <v>13</v>
  </rv>
  <rv s="7">
    <fb>202.61</fb>
    <v>13</v>
  </rv>
  <rv s="7">
    <fb>201.7</fb>
    <v>13</v>
  </rv>
  <rv s="7">
    <fb>204.61</fb>
    <v>13</v>
  </rv>
  <rv s="7">
    <fb>202.88</fb>
    <v>13</v>
  </rv>
  <rv s="7">
    <fb>198.38</fb>
    <v>13</v>
  </rv>
  <rv s="7">
    <fb>197.12</fb>
    <v>13</v>
  </rv>
  <rv s="7">
    <fb>201.45</fb>
    <v>13</v>
  </rv>
  <rv s="7">
    <fb>207.86</fb>
    <v>13</v>
  </rv>
  <rv s="7">
    <fb>205.74</fb>
    <v>13</v>
  </rv>
  <rv s="7">
    <fb>207.89</fb>
    <v>13</v>
  </rv>
  <rv s="7">
    <fb>210.71</fb>
    <v>13</v>
  </rv>
  <rv s="7">
    <fb>213.44</fb>
    <v>13</v>
  </rv>
  <rv s="7">
    <fb>218.16</fb>
    <v>13</v>
  </rv>
  <rv s="7">
    <fb>220.55</fb>
    <v>13</v>
  </rv>
  <rv s="7">
    <fb>227.03</fb>
    <v>13</v>
  </rv>
  <rv s="7">
    <fb>226.09</fb>
    <v>13</v>
  </rv>
  <rv s="7">
    <fb>225.04</fb>
    <v>13</v>
  </rv>
  <rv s="7">
    <fb>194.71</fb>
    <v>13</v>
  </rv>
  <rv s="7">
    <fb>197.96</fb>
    <v>13</v>
  </rv>
  <rv s="7">
    <fb>198.11</fb>
    <v>13</v>
  </rv>
  <rv s="7">
    <fb>197.57</fb>
    <v>13</v>
  </rv>
  <rv s="7">
    <fb>195.89</fb>
    <v>13</v>
  </rv>
  <rv s="7">
    <fb>196.94</fb>
    <v>13</v>
  </rv>
  <rv s="7">
    <fb>194.83</fb>
    <v>13</v>
  </rv>
  <rv s="7">
    <fb>194.68</fb>
    <v>13</v>
  </rv>
  <rv s="7">
    <fb>193.6</fb>
    <v>13</v>
  </rv>
  <rv s="7">
    <fb>193.05</fb>
    <v>13</v>
  </rv>
  <rv s="7">
    <fb>193.15</fb>
    <v>13</v>
  </rv>
  <rv s="7">
    <fb>193.58</fb>
    <v>13</v>
  </rv>
  <rv s="7">
    <fb>185.64</fb>
    <v>13</v>
  </rv>
  <rv s="7">
    <fb>184.25</fb>
    <v>13</v>
  </rv>
  <rv s="7">
    <fb>181.91</fb>
    <v>13</v>
  </rv>
  <rv s="7">
    <fb>181.18</fb>
    <v>13</v>
  </rv>
  <rv s="7">
    <fb>185.56</fb>
    <v>13</v>
  </rv>
  <rv s="7">
    <fb>185.14</fb>
    <v>13</v>
  </rv>
  <rv s="7">
    <fb>186.19</fb>
    <v>13</v>
  </rv>
  <rv s="7">
    <fb>185.59</fb>
    <v>13</v>
  </rv>
  <rv s="7">
    <fb>185.92</fb>
    <v>13</v>
  </rv>
  <rv s="7">
    <fb>182.68</fb>
    <v>13</v>
  </rv>
  <rv s="7">
    <fb>188.63</fb>
    <v>13</v>
  </rv>
  <rv s="7">
    <fb>191.56</fb>
    <v>13</v>
  </rv>
  <rv s="7">
    <fb>193.89</fb>
    <v>13</v>
  </rv>
  <rv s="7">
    <fb>195.18</fb>
    <v>13</v>
  </rv>
  <rv s="7">
    <fb>194.5</fb>
    <v>13</v>
  </rv>
  <rv s="7">
    <fb>194.17</fb>
    <v>13</v>
  </rv>
  <rv s="7">
    <fb>192.42</fb>
    <v>13</v>
  </rv>
  <rv s="7">
    <fb>191.73</fb>
    <v>13</v>
  </rv>
  <rv s="7">
    <fb>188.04</fb>
    <v>13</v>
  </rv>
  <rv s="7">
    <fb>184.4</fb>
    <v>13</v>
  </rv>
  <rv s="7">
    <fb>185.85</fb>
    <v>13</v>
  </rv>
  <rv s="7">
    <fb>187.68</fb>
    <v>13</v>
  </rv>
  <rv s="7">
    <fb>189.3</fb>
    <v>13</v>
  </rv>
  <rv s="7">
    <fb>189.41</fb>
    <v>13</v>
  </rv>
  <rv s="7">
    <fb>188.32</fb>
    <v>13</v>
  </rv>
  <rv s="7">
    <fb>188.85</fb>
    <v>13</v>
  </rv>
  <rv s="7">
    <fb>187.15</fb>
    <v>13</v>
  </rv>
  <rv s="7">
    <fb>185.04</fb>
    <v>13</v>
  </rv>
  <rv s="7">
    <fb>184.15</fb>
    <v>13</v>
  </rv>
  <rv s="7">
    <fb>183.86</fb>
    <v>13</v>
  </rv>
  <rv s="7">
    <fb>182.31</fb>
    <v>13</v>
  </rv>
  <rv s="7">
    <fb>181.56</fb>
    <v>13</v>
  </rv>
  <rv s="7">
    <fb>182.32</fb>
    <v>13</v>
  </rv>
  <rv s="7">
    <fb>184.37</fb>
    <v>13</v>
  </rv>
  <rv s="7">
    <fb>182.52</fb>
    <v>13</v>
  </rv>
  <rv s="7">
    <fb>181.16</fb>
    <v>13</v>
  </rv>
  <rv s="7">
    <fb>182.63</fb>
    <v>13</v>
  </rv>
  <rv s="7">
    <fb>179.66</fb>
    <v>13</v>
  </rv>
  <rv s="7">
    <fb>175.1</fb>
    <v>13</v>
  </rv>
  <rv s="7">
    <fb>170.12</fb>
    <v>13</v>
  </rv>
  <rv s="7">
    <fb>169</fb>
    <v>13</v>
  </rv>
  <rv s="7">
    <fb>170.73</fb>
    <v>13</v>
  </rv>
  <rv s="7">
    <fb>172.75</fb>
    <v>13</v>
  </rv>
  <rv s="7">
    <fb>173.23</fb>
    <v>13</v>
  </rv>
  <rv s="7">
    <fb>173</fb>
    <v>13</v>
  </rv>
  <rv s="7">
    <fb>172.62</fb>
    <v>13</v>
  </rv>
  <rv s="7">
    <fb>173.72</fb>
    <v>13</v>
  </rv>
  <rv s="7">
    <fb>176.08</fb>
    <v>13</v>
  </rv>
  <rv s="7">
    <fb>178.67</fb>
    <v>13</v>
  </rv>
  <rv s="7">
    <fb>171.37</fb>
    <v>13</v>
  </rv>
  <rv s="7">
    <fb>172.28</fb>
    <v>13</v>
  </rv>
  <rv s="7">
    <fb>170.85</fb>
    <v>13</v>
  </rv>
  <rv s="7">
    <fb>169.71</fb>
    <v>13</v>
  </rv>
  <rv s="7">
    <fb>173.31</fb>
    <v>13</v>
  </rv>
  <rv s="7">
    <fb>171.48</fb>
    <v>13</v>
  </rv>
  <rv s="7">
    <fb>170.03</fb>
    <v>13</v>
  </rv>
  <rv s="7">
    <fb>168.84</fb>
    <v>13</v>
  </rv>
  <rv s="7">
    <fb>169.65</fb>
    <v>13</v>
  </rv>
  <rv s="7">
    <fb>168.82</fb>
    <v>13</v>
  </rv>
  <rv s="7">
    <fb>169.58</fb>
    <v>13</v>
  </rv>
  <rv s="7">
    <fb>168.45</fb>
    <v>13</v>
  </rv>
  <rv s="7">
    <fb>169.67</fb>
    <v>13</v>
  </rv>
  <rv s="7">
    <fb>167.78</fb>
    <v>13</v>
  </rv>
  <rv s="7">
    <fb>175.04</fb>
    <v>13</v>
  </rv>
  <rv s="7">
    <fb>176.55</fb>
    <v>13</v>
  </rv>
  <rv s="7">
    <fb>168</fb>
    <v>13</v>
  </rv>
  <rv s="7">
    <fb>167.04</fb>
    <v>13</v>
  </rv>
  <rv s="7">
    <fb>165</fb>
    <v>13</v>
  </rv>
  <rv s="7">
    <fb>165.84</fb>
    <v>13</v>
  </rv>
  <rv s="7">
    <fb>169.02</fb>
    <v>13</v>
  </rv>
  <rv s="7">
    <fb>169.89</fb>
    <v>13</v>
  </rv>
  <rv s="7">
    <fb>169.3</fb>
    <v>13</v>
  </rv>
  <rv s="7">
    <fb>173.5</fb>
    <v>13</v>
  </rv>
  <rv s="7">
    <fb>170.33</fb>
    <v>13</v>
  </rv>
  <rv s="7">
    <fb>173.03</fb>
    <v>13</v>
  </rv>
  <rv s="7">
    <fb>183.38</fb>
    <v>13</v>
  </rv>
  <rv s="7">
    <fb>182.4</fb>
    <v>13</v>
  </rv>
  <rv s="7">
    <fb>182.74</fb>
    <v>13</v>
  </rv>
  <rv s="7">
    <fb>184.57</fb>
    <v>13</v>
  </rv>
  <rv s="7">
    <fb>183.05</fb>
    <v>13</v>
  </rv>
  <rv s="7">
    <fb>186.28</fb>
    <v>13</v>
  </rv>
  <rv s="7">
    <fb>187.43</fb>
    <v>13</v>
  </rv>
  <rv s="7">
    <fb>189.72</fb>
    <v>13</v>
  </rv>
  <rv s="7">
    <fb>189.84</fb>
    <v>13</v>
  </rv>
  <rv s="7">
    <fb>191.04</fb>
    <v>13</v>
  </rv>
  <rv s="7">
    <fb>192.35</fb>
    <v>13</v>
  </rv>
  <rv s="7">
    <fb>190.9</fb>
    <v>13</v>
  </rv>
  <rv s="7">
    <fb>189.98</fb>
    <v>13</v>
  </rv>
  <rv s="7">
    <fb>189.99</fb>
    <v>13</v>
  </rv>
  <rv s="7">
    <fb>190.29</fb>
    <v>13</v>
  </rv>
  <rv s="7">
    <fb>191.29</fb>
    <v>13</v>
  </rv>
  <rv s="7">
    <fb>192.25</fb>
    <v>13</v>
  </rv>
  <rv s="7">
    <fb>194.03</fb>
    <v>13</v>
  </rv>
  <rv s="7">
    <fb>194.35</fb>
    <v>13</v>
  </rv>
  <rv s="7">
    <fb>195.87</fb>
    <v>13</v>
  </rv>
  <rv s="7">
    <fb>194.48</fb>
    <v>13</v>
  </rv>
  <rv s="7">
    <fb>196.89</fb>
    <v>13</v>
  </rv>
  <rv s="7">
    <fb>193.12</fb>
    <v>13</v>
  </rv>
  <rv s="7">
    <fb>207.15</fb>
    <v>13</v>
  </rv>
  <rv s="7">
    <fb>213.07</fb>
    <v>13</v>
  </rv>
  <rv s="7">
    <fb>214.24</fb>
    <v>13</v>
  </rv>
  <rv s="7">
    <fb>212.49</fb>
    <v>13</v>
  </rv>
  <rv s="7">
    <fb>216.67</fb>
    <v>13</v>
  </rv>
  <rv s="7">
    <fb>214.29</fb>
    <v>13</v>
  </rv>
  <rv s="7">
    <fb>209.68</fb>
    <v>13</v>
  </rv>
  <rv s="7">
    <fb>207.49</fb>
    <v>13</v>
  </rv>
  <rv s="7">
    <fb>208.14</fb>
    <v>13</v>
  </rv>
  <rv s="7">
    <fb>209.07</fb>
    <v>13</v>
  </rv>
  <rv s="7">
    <fb>213.25</fb>
    <v>13</v>
  </rv>
  <rv s="7">
    <fb>210.62</fb>
    <v>13</v>
  </rv>
  <rv s="7">
    <fb>216.75</fb>
    <v>13</v>
  </rv>
  <rv s="7">
    <fb>220.27</fb>
    <v>13</v>
  </rv>
  <rv s="7">
    <fb>221.55</fb>
    <v>13</v>
  </rv>
  <rv s="7">
    <fb>226.34</fb>
    <v>13</v>
  </rv>
  <rv s="7">
    <fb>227.82</fb>
    <v>13</v>
  </rv>
  <rv s="7">
    <fb>228.68</fb>
    <v>13</v>
  </rv>
  <rv s="7">
    <fb>232.98</fb>
    <v>13</v>
  </rv>
  <rv s="7">
    <fb>227.57</fb>
    <v>13</v>
  </rv>
  <rv s="7">
    <fb>230.54</fb>
    <v>13</v>
  </rv>
  <rv s="7">
    <fb>234.4</fb>
    <v>13</v>
  </rv>
  <rv s="7">
    <fb>234.82</fb>
    <v>13</v>
  </rv>
  <rv s="7">
    <fb>228.88</fb>
    <v>13</v>
  </rv>
  <rv s="7">
    <fb>224.18</fb>
    <v>13</v>
  </rv>
  <rv s="7">
    <fb>224.31</fb>
    <v>13</v>
  </rv>
  <rv s="7">
    <fb>223.96</fb>
    <v>13</v>
  </rv>
  <rv s="7">
    <fb>225.01</fb>
    <v>13</v>
  </rv>
  <rv s="7">
    <fb>218.54</fb>
    <v>13</v>
  </rv>
  <rv s="7">
    <fb>217.49</fb>
    <v>13</v>
  </rv>
  <rv s="7">
    <fb>217.96</fb>
    <v>13</v>
  </rv>
  <rv s="7">
    <fb>218.24</fb>
    <v>13</v>
  </rv>
  <rv s="7">
    <fb>218.8</fb>
    <v>13</v>
  </rv>
  <rv s="7">
    <fb>222.08</fb>
    <v>13</v>
  </rv>
  <rv s="7">
    <fb>218.36</fb>
    <v>13</v>
  </rv>
  <rv s="7">
    <fb>219.86</fb>
    <v>13</v>
  </rv>
  <rv s="7">
    <fb>209.27</fb>
    <v>13</v>
  </rv>
  <rv s="7">
    <fb>207.23</fb>
    <v>13</v>
  </rv>
  <rv s="7">
    <fb>209.82</fb>
    <v>13</v>
  </rv>
  <rv s="7">
    <fb>213.31</fb>
    <v>13</v>
  </rv>
  <rv s="7">
    <fb>216.24</fb>
    <v>13</v>
  </rv>
  <rv s="7">
    <fb>217.53</fb>
    <v>13</v>
  </rv>
  <rv s="7">
    <fb>221.27</fb>
    <v>13</v>
  </rv>
  <rv s="7">
    <fb>221.72</fb>
    <v>13</v>
  </rv>
  <rv s="7">
    <fb>224.72</fb>
    <v>13</v>
  </rv>
  <rv s="7">
    <fb>226.05</fb>
    <v>13</v>
  </rv>
  <rv s="7">
    <fb>225.89</fb>
    <v>13</v>
  </rv>
  <rv s="7">
    <fb>226.51</fb>
    <v>13</v>
  </rv>
  <rv s="7">
    <fb>226.4</fb>
    <v>13</v>
  </rv>
  <rv s="7">
    <fb>224.53</fb>
    <v>13</v>
  </rv>
  <rv s="7">
    <fb>226.84</fb>
    <v>13</v>
  </rv>
  <rv s="7">
    <fb>227.18</fb>
    <v>13</v>
  </rv>
  <rv s="7">
    <fb>228.03</fb>
    <v>13</v>
  </rv>
  <rv s="7">
    <fb>226.49</fb>
    <v>13</v>
  </rv>
  <rv s="7">
    <fb>229.79</fb>
    <v>13</v>
  </rv>
  <rv s="7">
    <fb>229</fb>
    <v>13</v>
  </rv>
  <rv s="7">
    <fb>222.77</fb>
    <v>13</v>
  </rv>
  <rv s="7">
    <fb>220.85</fb>
    <v>13</v>
  </rv>
  <rv s="7">
    <fb>222.38</fb>
    <v>13</v>
  </rv>
  <rv s="7">
    <fb>220.82</fb>
    <v>13</v>
  </rv>
  <rv s="7">
    <fb>220.91</fb>
    <v>13</v>
  </rv>
  <rv s="7">
    <fb>220.11</fb>
    <v>13</v>
  </rv>
  <rv s="7">
    <fb>222.66</fb>
    <v>13</v>
  </rv>
  <rv s="7">
    <fb>222.5</fb>
    <v>13</v>
  </rv>
  <rv s="7">
    <fb>216.32</fb>
    <v>13</v>
  </rv>
  <rv s="7">
    <fb>216.79</fb>
    <v>13</v>
  </rv>
  <rv s="7">
    <fb>220.69</fb>
    <v>13</v>
  </rv>
  <rv s="7">
    <fb>228.87</fb>
    <v>13</v>
  </rv>
  <rv s="7">
    <fb>228.2</fb>
    <v>13</v>
  </rv>
  <rv s="7">
    <fb>226.47</fb>
    <v>13</v>
  </rv>
  <rv s="7">
    <fb>227.37</fb>
    <v>13</v>
  </rv>
  <rv s="7">
    <fb>226.37</fb>
    <v>13</v>
  </rv>
  <rv s="7">
    <fb>227.52</fb>
    <v>13</v>
  </rv>
  <rv s="7">
    <fb>227.79</fb>
    <v>13</v>
  </rv>
  <rv s="7">
    <fb>233</fb>
    <v>13</v>
  </rv>
  <rv s="7">
    <fb>226.21</fb>
    <v>13</v>
  </rv>
  <rv s="7">
    <fb>226.78</fb>
    <v>13</v>
  </rv>
  <rv s="7">
    <fb>225.67</fb>
    <v>13</v>
  </rv>
  <rv s="7">
    <fb>226.8</fb>
    <v>13</v>
  </rv>
  <rv s="7">
    <fb>221.69</fb>
    <v>13</v>
  </rv>
  <rv s="7">
    <fb>225.77</fb>
    <v>13</v>
  </rv>
  <rv s="7">
    <fb>229.54</fb>
    <v>13</v>
  </rv>
  <rv s="7">
    <fb>229.04</fb>
    <v>13</v>
  </rv>
  <rv s="7">
    <fb>227.55</fb>
    <v>13</v>
  </rv>
  <rv s="7">
    <fb>231.3</fb>
    <v>13</v>
  </rv>
  <rv s="7">
    <fb>233.85</fb>
    <v>13</v>
  </rv>
  <rv s="7">
    <fb>231.78</fb>
    <v>13</v>
  </rv>
  <rv s="7">
    <fb>232.15</fb>
    <v>13</v>
  </rv>
  <rv s="7">
    <fb>235</fb>
    <v>13</v>
  </rv>
  <rv s="7">
    <fb>236.48</fb>
    <v>13</v>
  </rv>
  <rv s="7">
    <fb>235.86</fb>
    <v>13</v>
  </rv>
  <rv s="7">
    <fb>230.76</fb>
    <v>13</v>
  </rv>
  <rv s="7">
    <fb>230.57</fb>
    <v>13</v>
  </rv>
  <rv s="7">
    <fb>231.41</fb>
    <v>13</v>
  </rv>
  <rv s="7">
    <fb>233.4</fb>
    <v>13</v>
  </rv>
  <rv s="7">
    <fb>233.67</fb>
    <v>13</v>
  </rv>
  <rv s="7">
    <fb>230.1</fb>
    <v>13</v>
  </rv>
  <rv s="7">
    <fb>225.91</fb>
    <v>13</v>
  </rv>
  <rv s="7">
    <fb>222.91</fb>
    <v>13</v>
  </rv>
  <rv s="7">
    <fb>222.01</fb>
    <v>13</v>
  </rv>
  <rv s="7">
    <fb>223.45</fb>
    <v>13</v>
  </rv>
  <rv s="7">
    <fb>222.72</fb>
    <v>13</v>
  </rv>
  <rv s="7">
    <fb>227.48</fb>
    <v>13</v>
  </rv>
  <rv s="7">
    <fb>226.96</fb>
    <v>13</v>
  </rv>
  <rv s="7">
    <fb>224.23</fb>
    <v>13</v>
  </rv>
  <rv s="7">
    <fb>225.12</fb>
    <v>13</v>
  </rv>
  <rv s="7">
    <fb>228.22</fb>
    <v>13</v>
  </rv>
  <rv s="7">
    <fb>225</fb>
    <v>13</v>
  </rv>
  <rv s="7">
    <fb>228.02</fb>
    <v>13</v>
  </rv>
  <rv s="7">
    <fb>228.28</fb>
    <v>13</v>
  </rv>
  <rv s="7">
    <fb>228.52</fb>
    <v>13</v>
  </rv>
  <rv s="7">
    <fb>229.87</fb>
    <v>13</v>
  </rv>
  <rv s="7">
    <fb>232.87</fb>
    <v>13</v>
  </rv>
  <rv s="7">
    <fb>235.06</fb>
    <v>13</v>
  </rv>
  <rv s="7">
    <fb>234.93</fb>
    <v>13</v>
  </rv>
  <rv s="7">
    <fb>237.33</fb>
    <v>13</v>
  </rv>
  <rv s="7">
    <fb>239.59</fb>
    <v>13</v>
  </rv>
  <rv s="7">
    <fb>242.65</fb>
    <v>13</v>
  </rv>
  <rv s="7">
    <fb>243.01</fb>
    <v>13</v>
  </rv>
  <rv s="7">
    <fb>243.04</fb>
    <v>13</v>
  </rv>
  <rv s="7">
    <fb>242.84</fb>
    <v>13</v>
  </rv>
  <rv s="7">
    <fb>246.75</fb>
    <v>13</v>
  </rv>
  <rv s="7">
    <fb>247.77</fb>
    <v>13</v>
  </rv>
  <rv s="7">
    <fb>16.41</fb>
    <v>13</v>
  </rv>
  <rv s="7">
    <fb>16.45</fb>
    <v>13</v>
  </rv>
  <rv s="7">
    <fb>16.649999999999999</fb>
    <v>13</v>
  </rv>
  <rv s="7">
    <fb>16.52</fb>
    <v>13</v>
  </rv>
  <rv s="7">
    <fb>16.46</fb>
    <v>13</v>
  </rv>
  <rv s="7">
    <fb>16.61</fb>
    <v>13</v>
  </rv>
  <rv s="7">
    <fb>16.399999999999999</fb>
    <v>13</v>
  </rv>
  <rv s="7">
    <fb>16.489999999999998</fb>
    <v>13</v>
  </rv>
  <rv s="7">
    <fb>16.55</fb>
    <v>13</v>
  </rv>
  <rv s="7">
    <fb>16.57</fb>
    <v>13</v>
  </rv>
  <rv s="7">
    <fb>16.579999999999998</fb>
    <v>13</v>
  </rv>
  <rv s="7">
    <fb>16.739999999999998</fb>
    <v>13</v>
  </rv>
  <rv s="7">
    <fb>16.78</fb>
    <v>13</v>
  </rv>
  <rv s="7">
    <fb>17.25</fb>
    <v>13</v>
  </rv>
  <rv s="7">
    <fb>17.23</fb>
    <v>13</v>
  </rv>
  <rv s="7">
    <fb>17.149999999999999</fb>
    <v>13</v>
  </rv>
  <rv s="7">
    <fb>17.47</fb>
    <v>13</v>
  </rv>
  <rv s="7">
    <fb>17.32</fb>
    <v>13</v>
  </rv>
  <rv s="7">
    <fb>16.95</fb>
    <v>13</v>
  </rv>
  <rv s="7">
    <fb>16.87</fb>
    <v>13</v>
  </rv>
  <rv s="7">
    <fb>16.23</fb>
    <v>13</v>
  </rv>
  <rv s="7">
    <fb>16.48</fb>
    <v>13</v>
  </rv>
  <rv s="7">
    <fb>16.440000000000001</fb>
    <v>13</v>
  </rv>
  <rv s="7">
    <fb>16.670000000000002</fb>
    <v>13</v>
  </rv>
  <rv s="7">
    <fb>16.8</fb>
    <v>13</v>
  </rv>
  <rv s="7">
    <fb>17.190000000000001</fb>
    <v>13</v>
  </rv>
  <rv s="7">
    <fb>16.68</fb>
    <v>13</v>
  </rv>
  <rv s="7">
    <fb>17.18</fb>
    <v>13</v>
  </rv>
  <rv s="7">
    <fb>17.29</fb>
    <v>13</v>
  </rv>
  <rv s="7">
    <fb>17.53</fb>
    <v>13</v>
  </rv>
  <rv s="7">
    <fb>17.690000000000001</fb>
    <v>13</v>
  </rv>
  <rv s="7">
    <fb>18.04</fb>
    <v>13</v>
  </rv>
  <rv s="7">
    <fb>17.829999999999998</fb>
    <v>13</v>
  </rv>
  <rv s="7">
    <fb>17.73</fb>
    <v>13</v>
  </rv>
  <rv s="7">
    <fb>17.61</fb>
    <v>13</v>
  </rv>
  <rv s="7">
    <fb>17.329999999999998</fb>
    <v>13</v>
  </rv>
  <rv s="7">
    <fb>16.82</fb>
    <v>13</v>
  </rv>
  <rv s="7">
    <fb>16.84</fb>
    <v>13</v>
  </rv>
  <rv s="7">
    <fb>17.02</fb>
    <v>13</v>
  </rv>
  <rv s="7">
    <fb>16.899999999999999</fb>
    <v>13</v>
  </rv>
  <rv s="7">
    <fb>16.91</fb>
    <v>13</v>
  </rv>
  <rv s="7">
    <fb>17.09</fb>
    <v>13</v>
  </rv>
  <rv s="7">
    <fb>16.97</fb>
    <v>13</v>
  </rv>
  <rv s="7">
    <fb>17</fb>
    <v>13</v>
  </rv>
  <rv s="7">
    <fb>16.59</fb>
    <v>13</v>
  </rv>
  <rv s="7">
    <fb>16.600000000000001</fb>
    <v>13</v>
  </rv>
  <rv s="7">
    <fb>16.829999999999998</fb>
    <v>13</v>
  </rv>
  <rv s="7">
    <fb>16.96</fb>
    <v>13</v>
  </rv>
  <rv s="7">
    <fb>16.93</fb>
    <v>13</v>
  </rv>
  <rv s="7">
    <fb>16.98</fb>
    <v>13</v>
  </rv>
  <rv s="7">
    <fb>17.170000000000002</fb>
    <v>13</v>
  </rv>
  <rv s="7">
    <fb>17.05</fb>
    <v>13</v>
  </rv>
  <rv s="7">
    <fb>17.2</fb>
    <v>13</v>
  </rv>
  <rv s="7">
    <fb>17.010000000000002</fb>
    <v>13</v>
  </rv>
  <rv s="7">
    <fb>17.3</fb>
    <v>13</v>
  </rv>
  <rv s="7">
    <fb>17.21</fb>
    <v>13</v>
  </rv>
  <rv s="7">
    <fb>17.16</fb>
    <v>13</v>
  </rv>
  <rv s="7">
    <fb>17.12</fb>
    <v>13</v>
  </rv>
  <rv s="7">
    <fb>17.55</fb>
    <v>13</v>
  </rv>
  <rv s="7">
    <fb>17.600000000000001</fb>
    <v>13</v>
  </rv>
  <rv s="7">
    <fb>17.5</fb>
    <v>13</v>
  </rv>
  <rv s="7">
    <fb>17.52</fb>
    <v>13</v>
  </rv>
  <rv s="7">
    <fb>17.57</fb>
    <v>13</v>
  </rv>
  <rv s="7">
    <fb>17.420000000000002</fb>
    <v>13</v>
  </rv>
  <rv s="7">
    <fb>16.73</fb>
    <v>13</v>
  </rv>
  <rv s="7">
    <fb>16.420000000000002</fb>
    <v>13</v>
  </rv>
  <rv s="7">
    <fb>16.309999999999999</fb>
    <v>13</v>
  </rv>
  <rv s="7">
    <fb>16.239999999999998</fb>
    <v>13</v>
  </rv>
  <rv s="7">
    <fb>16.09</fb>
    <v>13</v>
  </rv>
  <rv s="7">
    <fb>16.12</fb>
    <v>13</v>
  </rv>
  <rv s="7">
    <fb>16.329999999999998</fb>
    <v>13</v>
  </rv>
  <rv s="7">
    <fb>16.510000000000002</fb>
    <v>13</v>
  </rv>
  <rv s="7">
    <fb>16.5</fb>
    <v>13</v>
  </rv>
  <rv s="7">
    <fb>16.809999999999999</fb>
    <v>13</v>
  </rv>
  <rv s="7">
    <fb>16.75</fb>
    <v>13</v>
  </rv>
  <rv s="7">
    <fb>16.89</fb>
    <v>13</v>
  </rv>
  <rv s="7">
    <fb>16.920000000000002</fb>
    <v>13</v>
  </rv>
  <rv s="7">
    <fb>16.850000000000001</fb>
    <v>13</v>
  </rv>
  <rv s="7">
    <fb>16.989999999999998</fb>
    <v>13</v>
  </rv>
  <rv s="7">
    <fb>17.079999999999998</fb>
    <v>13</v>
  </rv>
  <rv s="7">
    <fb>17.11</fb>
    <v>13</v>
  </rv>
  <rv s="7">
    <fb>17.260000000000002</fb>
    <v>13</v>
  </rv>
  <rv s="7">
    <fb>17.399999999999999</fb>
    <v>13</v>
  </rv>
  <rv s="7">
    <fb>17.27</fb>
    <v>13</v>
  </rv>
  <rv s="7">
    <fb>17.62</fb>
    <v>13</v>
  </rv>
  <rv s="7">
    <fb>18.22</fb>
    <v>13</v>
  </rv>
  <rv s="7">
    <fb>18.010000000000002</fb>
    <v>13</v>
  </rv>
  <rv s="7">
    <fb>18.350000000000001</fb>
    <v>13</v>
  </rv>
  <rv s="7">
    <fb>18.3</fb>
    <v>13</v>
  </rv>
  <rv s="7">
    <fb>18.28</fb>
    <v>13</v>
  </rv>
  <rv s="7">
    <fb>18.100000000000001</fb>
    <v>13</v>
  </rv>
  <rv s="7">
    <fb>17.86</fb>
    <v>13</v>
  </rv>
  <rv s="7">
    <fb>17.670000000000002</fb>
    <v>13</v>
  </rv>
  <rv s="7">
    <fb>17.64</fb>
    <v>13</v>
  </rv>
  <rv s="7">
    <fb>18.05</fb>
    <v>13</v>
  </rv>
  <rv s="7">
    <fb>18.11</fb>
    <v>13</v>
  </rv>
  <rv s="7">
    <fb>18.399999999999999</fb>
    <v>13</v>
  </rv>
  <rv s="7">
    <fb>18.649999999999999</fb>
    <v>13</v>
  </rv>
  <rv s="7">
    <fb>18.690000000000001</fb>
    <v>13</v>
  </rv>
  <rv s="7">
    <fb>18.760000000000002</fb>
    <v>13</v>
  </rv>
  <rv s="7">
    <fb>18.75</fb>
    <v>13</v>
  </rv>
  <rv s="7">
    <fb>19.11</fb>
    <v>13</v>
  </rv>
  <rv s="7">
    <fb>18.98</fb>
    <v>13</v>
  </rv>
  <rv s="7">
    <fb>18.82</fb>
    <v>13</v>
  </rv>
  <rv s="7">
    <fb>18.68</fb>
    <v>13</v>
  </rv>
  <rv s="7">
    <fb>18.77</fb>
    <v>13</v>
  </rv>
  <rv s="7">
    <fb>18.809999999999999</fb>
    <v>13</v>
  </rv>
  <rv s="7">
    <fb>18.8</fb>
    <v>13</v>
  </rv>
  <rv s="7">
    <fb>18.739999999999998</fb>
    <v>13</v>
  </rv>
  <rv s="7">
    <fb>18.86</fb>
    <v>13</v>
  </rv>
  <rv s="7">
    <fb>18.579999999999998</fb>
    <v>13</v>
  </rv>
  <rv s="7">
    <fb>18.850000000000001</fb>
    <v>13</v>
  </rv>
  <rv s="7">
    <fb>19.16</fb>
    <v>13</v>
  </rv>
  <rv s="7">
    <fb>19.149999999999999</fb>
    <v>13</v>
  </rv>
  <rv s="7">
    <fb>19.12</fb>
    <v>13</v>
  </rv>
  <rv s="7">
    <fb>18.55</fb>
    <v>13</v>
  </rv>
  <rv s="7">
    <fb>18.21</fb>
    <v>13</v>
  </rv>
  <rv s="7">
    <fb>19.190000000000001</fb>
    <v>13</v>
  </rv>
  <rv s="7">
    <fb>19.010000000000002</fb>
    <v>13</v>
  </rv>
  <rv s="7">
    <fb>18.899999999999999</fb>
    <v>13</v>
  </rv>
  <rv s="7">
    <fb>19.25</fb>
    <v>13</v>
  </rv>
  <rv s="7">
    <fb>19.47</fb>
    <v>13</v>
  </rv>
  <rv s="7">
    <fb>19.37</fb>
    <v>13</v>
  </rv>
  <rv s="7">
    <fb>18.91</fb>
    <v>13</v>
  </rv>
  <rv s="7">
    <fb>19.399999999999999</fb>
    <v>13</v>
  </rv>
  <rv s="7">
    <fb>19.489999999999998</fb>
    <v>13</v>
  </rv>
  <rv s="7">
    <fb>19.43</fb>
    <v>13</v>
  </rv>
  <rv s="7">
    <fb>19.52</fb>
    <v>13</v>
  </rv>
  <rv s="7">
    <fb>19.63</fb>
    <v>13</v>
  </rv>
  <rv s="7">
    <fb>19.09</fb>
    <v>13</v>
  </rv>
  <rv s="7">
    <fb>19.34</fb>
    <v>13</v>
  </rv>
  <rv s="7">
    <fb>19.54</fb>
    <v>13</v>
  </rv>
  <rv s="7">
    <fb>19.510000000000002</fb>
    <v>13</v>
  </rv>
  <rv s="7">
    <fb>19.73</fb>
    <v>13</v>
  </rv>
  <rv s="7">
    <fb>19.760000000000002</fb>
    <v>13</v>
  </rv>
  <rv s="7">
    <fb>19.649999999999999</fb>
    <v>13</v>
  </rv>
  <rv s="7">
    <fb>19.82</fb>
    <v>13</v>
  </rv>
  <rv s="7">
    <fb>19.899999999999999</fb>
    <v>13</v>
  </rv>
  <rv s="7">
    <fb>20.43</fb>
    <v>13</v>
  </rv>
  <rv s="7">
    <fb>20.57</fb>
    <v>13</v>
  </rv>
  <rv s="7">
    <fb>20.65</fb>
    <v>13</v>
  </rv>
  <rv s="7">
    <fb>20.97</fb>
    <v>13</v>
  </rv>
  <rv s="7">
    <fb>21.5</fb>
    <v>13</v>
  </rv>
  <rv s="7">
    <fb>21.71</fb>
    <v>13</v>
  </rv>
  <rv s="7">
    <fb>21.45</fb>
    <v>13</v>
  </rv>
  <rv s="7">
    <fb>21.59</fb>
    <v>13</v>
  </rv>
  <rv s="7">
    <fb>21.64</fb>
    <v>13</v>
  </rv>
  <rv s="7">
    <fb>22.27</fb>
    <v>13</v>
  </rv>
  <rv s="7">
    <fb>21.78</fb>
    <v>13</v>
  </rv>
  <rv s="7">
    <fb>21.73</fb>
    <v>13</v>
  </rv>
  <rv s="7">
    <fb>21.36</fb>
    <v>13</v>
  </rv>
  <rv s="7">
    <fb>21.54</fb>
    <v>13</v>
  </rv>
  <rv s="7">
    <fb>21.49</fb>
    <v>13</v>
  </rv>
  <rv s="7">
    <fb>21.56</fb>
    <v>13</v>
  </rv>
  <rv s="7">
    <fb>21.65</fb>
    <v>13</v>
  </rv>
  <rv s="7">
    <fb>21.9</fb>
    <v>13</v>
  </rv>
  <rv s="7">
    <fb>22</fb>
    <v>13</v>
  </rv>
  <rv s="7">
    <fb>22.13</fb>
    <v>13</v>
  </rv>
  <rv s="7">
    <fb>22.19</fb>
    <v>13</v>
  </rv>
  <rv s="7">
    <fb>22.05</fb>
    <v>13</v>
  </rv>
  <rv s="7">
    <fb>21.91</fb>
    <v>13</v>
  </rv>
  <rv s="7">
    <fb>21.86</fb>
    <v>13</v>
  </rv>
  <rv s="7">
    <fb>21.93</fb>
    <v>13</v>
  </rv>
  <rv s="7">
    <fb>21.22</fb>
    <v>13</v>
  </rv>
  <rv s="7">
    <fb>21.37</fb>
    <v>13</v>
  </rv>
  <rv s="7">
    <fb>21.26</fb>
    <v>13</v>
  </rv>
  <rv s="7">
    <fb>21.51</fb>
    <v>13</v>
  </rv>
  <rv s="7">
    <fb>21.85</fb>
    <v>13</v>
  </rv>
  <rv s="7">
    <fb>21.66</fb>
    <v>13</v>
  </rv>
  <rv s="7">
    <fb>22.49</fb>
    <v>13</v>
  </rv>
  <rv s="7">
    <fb>22.2</fb>
    <v>13</v>
  </rv>
  <rv s="7">
    <fb>21.83</fb>
    <v>13</v>
  </rv>
  <rv s="7">
    <fb>22.11</fb>
    <v>13</v>
  </rv>
  <rv s="7">
    <fb>22.18</fb>
    <v>13</v>
  </rv>
  <rv s="7">
    <fb>22.02</fb>
    <v>13</v>
  </rv>
  <rv s="7">
    <fb>22.54</fb>
    <v>13</v>
  </rv>
  <rv s="7">
    <fb>22.12</fb>
    <v>13</v>
  </rv>
  <rv s="7">
    <fb>21.92</fb>
    <v>13</v>
  </rv>
  <rv s="7">
    <fb>22.32</fb>
    <v>13</v>
  </rv>
  <rv s="7">
    <fb>22.04</fb>
    <v>13</v>
  </rv>
  <rv s="7">
    <fb>22.34</fb>
    <v>13</v>
  </rv>
  <rv s="7">
    <fb>22.31</fb>
    <v>13</v>
  </rv>
  <rv s="7">
    <fb>22.15</fb>
    <v>13</v>
  </rv>
  <rv s="7">
    <fb>22.3</fb>
    <v>13</v>
  </rv>
  <rv s="7">
    <fb>22.25</fb>
    <v>13</v>
  </rv>
  <rv s="7">
    <fb>22.68</fb>
    <v>13</v>
  </rv>
  <rv s="7">
    <fb>22.99</fb>
    <v>13</v>
  </rv>
  <rv s="7">
    <fb>22.73</fb>
    <v>13</v>
  </rv>
  <rv s="7">
    <fb>22.83</fb>
    <v>13</v>
  </rv>
  <rv s="7">
    <fb>22.98</fb>
    <v>13</v>
  </rv>
  <rv s="7">
    <fb>23.18</fb>
    <v>13</v>
  </rv>
  <rv s="7">
    <fb>23.1</fb>
    <v>13</v>
  </rv>
  <rv s="7">
    <fb>23.09</fb>
    <v>13</v>
  </rv>
  <rv s="7">
    <fb>23.27</fb>
    <v>13</v>
  </rv>
  <rv s="7">
    <fb>23.16</fb>
    <v>13</v>
  </rv>
  <rv s="7">
    <fb>22.7</fb>
    <v>13</v>
  </rv>
  <rv s="7">
    <fb>23.74</fb>
    <v>13</v>
  </rv>
  <rv s="7">
    <fb>23.53</fb>
    <v>13</v>
  </rv>
  <rv s="7">
    <fb>23.83</fb>
    <v>13</v>
  </rv>
  <rv s="7">
    <fb>23.88</fb>
    <v>13</v>
  </rv>
  <rv s="7">
    <fb>23.37</fb>
    <v>13</v>
  </rv>
  <rv s="7">
    <fb>23.51</fb>
    <v>13</v>
  </rv>
  <rv s="7">
    <fb>30.74</fb>
    <v>13</v>
  </rv>
  <rv s="7">
    <fb>32.04</fb>
    <v>13</v>
  </rv>
  <rv s="7">
    <fb>33.94</fb>
    <v>13</v>
  </rv>
  <rv s="7">
    <fb>33.6</fb>
    <v>13</v>
  </rv>
  <rv s="7">
    <fb>33.43</fb>
    <v>13</v>
  </rv>
  <rv s="7">
    <fb>33.51</fb>
    <v>13</v>
  </rv>
  <rv s="7">
    <fb>32.979999999999997</fb>
    <v>13</v>
  </rv>
  <rv s="7">
    <fb>33.200000000000003</fb>
    <v>13</v>
  </rv>
  <rv s="7">
    <fb>33.86</fb>
    <v>13</v>
  </rv>
  <rv s="7">
    <fb>33.840000000000003</fb>
    <v>13</v>
  </rv>
  <rv s="7">
    <fb>33.880000000000003</fb>
    <v>13</v>
  </rv>
  <rv s="7">
    <fb>33.67</fb>
    <v>13</v>
  </rv>
  <rv s="7">
    <fb>33.9</fb>
    <v>13</v>
  </rv>
  <rv s="7">
    <fb>33.53</fb>
    <v>13</v>
  </rv>
  <rv s="7">
    <fb>33.799999999999997</fb>
    <v>13</v>
  </rv>
  <rv s="7">
    <fb>34.43</fb>
    <v>13</v>
  </rv>
  <rv s="7">
    <fb>34.159999999999997</fb>
    <v>13</v>
  </rv>
  <rv s="7">
    <fb>33.630000000000003</fb>
    <v>13</v>
  </rv>
  <rv s="7">
    <fb>33.15</fb>
    <v>13</v>
  </rv>
  <rv s="7">
    <fb>32.799999999999997</fb>
    <v>13</v>
  </rv>
  <rv s="7">
    <fb>32.119999999999997</fb>
    <v>13</v>
  </rv>
  <rv s="7">
    <fb>31.8</fb>
    <v>13</v>
  </rv>
  <rv s="7">
    <fb>31.73</fb>
    <v>13</v>
  </rv>
  <rv s="7">
    <fb>32.22</fb>
    <v>13</v>
  </rv>
  <rv s="7">
    <fb>32.549999999999997</fb>
    <v>13</v>
  </rv>
  <rv s="7">
    <fb>32.770000000000003</fb>
    <v>13</v>
  </rv>
  <rv s="7">
    <fb>33.39</fb>
    <v>13</v>
  </rv>
  <rv s="7">
    <fb>33.61</fb>
    <v>13</v>
  </rv>
  <rv s="7">
    <fb>34.79</fb>
    <v>13</v>
  </rv>
  <rv s="7">
    <fb>34.01</fb>
    <v>13</v>
  </rv>
  <rv s="7">
    <fb>33.549999999999997</fb>
    <v>13</v>
  </rv>
  <rv s="7">
    <fb>33.47</fb>
    <v>13</v>
  </rv>
  <rv s="7">
    <fb>32.99</fb>
    <v>13</v>
  </rv>
  <rv s="7">
    <fb>33.04</fb>
    <v>13</v>
  </rv>
  <rv s="7">
    <fb>33.18</fb>
    <v>13</v>
  </rv>
  <rv s="7">
    <fb>33.119999999999997</fb>
    <v>13</v>
  </rv>
  <rv s="7">
    <fb>33.07</fb>
    <v>13</v>
  </rv>
  <rv s="7">
    <fb>33.619999999999997</fb>
    <v>13</v>
  </rv>
  <rv s="7">
    <fb>32.75</fb>
    <v>13</v>
  </rv>
  <rv s="7">
    <fb>33.130000000000003</fb>
    <v>13</v>
  </rv>
  <rv s="7">
    <fb>34.07</fb>
    <v>13</v>
  </rv>
  <rv s="7">
    <fb>34.090000000000003</fb>
    <v>13</v>
  </rv>
  <rv s="7">
    <fb>33.96</fb>
    <v>13</v>
  </rv>
  <rv s="7">
    <fb>33.700000000000003</fb>
    <v>13</v>
  </rv>
  <rv s="7">
    <fb>33.92</fb>
    <v>13</v>
  </rv>
  <rv s="7">
    <fb>34.28</fb>
    <v>13</v>
  </rv>
  <rv s="7">
    <fb>34.31</fb>
    <v>13</v>
  </rv>
  <rv s="7">
    <fb>34.520000000000003</fb>
    <v>13</v>
  </rv>
  <rv s="7">
    <fb>34.35</fb>
    <v>13</v>
  </rv>
  <rv s="7">
    <fb>35.15</fb>
    <v>13</v>
  </rv>
  <rv s="7">
    <fb>35.39</fb>
    <v>13</v>
  </rv>
  <rv s="7">
    <fb>35.42</fb>
    <v>13</v>
  </rv>
  <rv s="7">
    <fb>35.630000000000003</fb>
    <v>13</v>
  </rv>
  <rv s="7">
    <fb>35.6</fb>
    <v>13</v>
  </rv>
  <rv s="7">
    <fb>35.89</fb>
    <v>13</v>
  </rv>
  <rv s="7">
    <fb>35.96</fb>
    <v>13</v>
  </rv>
  <rv s="7">
    <fb>36.08</fb>
    <v>13</v>
  </rv>
  <rv s="7">
    <fb>35.69</fb>
    <v>13</v>
  </rv>
  <rv s="7">
    <fb>35.409999999999997</fb>
    <v>13</v>
  </rv>
  <rv s="7">
    <fb>36.01</fb>
    <v>13</v>
  </rv>
  <rv s="7">
    <fb>36.03</fb>
    <v>13</v>
  </rv>
  <rv s="7">
    <fb>36.75</fb>
    <v>13</v>
  </rv>
  <rv s="7">
    <fb>37.51</fb>
    <v>13</v>
  </rv>
  <rv s="7">
    <fb>37.049999999999997</fb>
    <v>13</v>
  </rv>
  <rv s="7">
    <fb>36.86</fb>
    <v>13</v>
  </rv>
  <rv s="7">
    <fb>37.090000000000003</fb>
    <v>13</v>
  </rv>
  <rv s="7">
    <fb>37.81</fb>
    <v>13</v>
  </rv>
  <rv s="7">
    <fb>37.92</fb>
    <v>13</v>
  </rv>
  <rv s="7">
    <fb>37.520000000000003</fb>
    <v>13</v>
  </rv>
  <rv s="7">
    <fb>37.299999999999997</fb>
    <v>13</v>
  </rv>
  <rv s="7">
    <fb>37.44</fb>
    <v>13</v>
  </rv>
  <rv s="7">
    <fb>36.92</fb>
    <v>13</v>
  </rv>
  <rv s="7">
    <fb>37.11</fb>
    <v>13</v>
  </rv>
  <rv s="7">
    <fb>37.5</fb>
    <v>13</v>
  </rv>
  <rv s="7">
    <fb>37.729999999999997</fb>
    <v>13</v>
  </rv>
  <rv s="7">
    <fb>36.65</fb>
    <v>13</v>
  </rv>
  <rv s="7">
    <fb>36.35</fb>
    <v>13</v>
  </rv>
  <rv s="7">
    <fb>35.79</fb>
    <v>13</v>
  </rv>
  <rv s="7">
    <fb>35.950000000000003</fb>
    <v>13</v>
  </rv>
  <rv s="7">
    <fb>34.68</fb>
    <v>13</v>
  </rv>
  <rv s="7">
    <fb>35.229999999999997</fb>
    <v>13</v>
  </rv>
  <rv s="7">
    <fb>35.770000000000003</fb>
    <v>13</v>
  </rv>
  <rv s="7">
    <fb>36.97</fb>
    <v>13</v>
  </rv>
  <rv s="7">
    <fb>38.369999999999997</fb>
    <v>13</v>
  </rv>
  <rv s="7">
    <fb>38.32</fb>
    <v>13</v>
  </rv>
  <rv s="7">
    <fb>37.909999999999997</fb>
    <v>13</v>
  </rv>
  <rv s="7">
    <fb>37.83</fb>
    <v>13</v>
  </rv>
  <rv s="7">
    <fb>37.549999999999997</fb>
    <v>13</v>
  </rv>
  <rv s="7">
    <fb>37.01</fb>
    <v>13</v>
  </rv>
  <rv s="7">
    <fb>36.950000000000003</fb>
    <v>13</v>
  </rv>
  <rv s="7">
    <fb>36.880000000000003</fb>
    <v>13</v>
  </rv>
  <rv s="7">
    <fb>37.25</fb>
    <v>13</v>
  </rv>
  <rv s="7">
    <fb>37.69</fb>
    <v>13</v>
  </rv>
  <rv s="7">
    <fb>37.840000000000003</fb>
    <v>13</v>
  </rv>
  <rv s="7">
    <fb>37.71</fb>
    <v>13</v>
  </rv>
  <rv s="7">
    <fb>38.28</fb>
    <v>13</v>
  </rv>
  <rv s="7">
    <fb>38.450000000000003</fb>
    <v>13</v>
  </rv>
  <rv s="7">
    <fb>38.21</fb>
    <v>13</v>
  </rv>
  <rv s="7">
    <fb>38.49</fb>
    <v>13</v>
  </rv>
  <rv s="7">
    <fb>38.909999999999997</fb>
    <v>13</v>
  </rv>
  <rv s="7">
    <fb>39.22</fb>
    <v>13</v>
  </rv>
  <rv s="7">
    <fb>39.29</fb>
    <v>13</v>
  </rv>
  <rv s="7">
    <fb>38.82</fb>
    <v>13</v>
  </rv>
  <rv s="7">
    <fb>39.65</fb>
    <v>13</v>
  </rv>
  <rv s="7">
    <fb>39.76</fb>
    <v>13</v>
  </rv>
  <rv s="7">
    <fb>39.17</fb>
    <v>13</v>
  </rv>
  <rv s="7">
    <fb>39.700000000000003</fb>
    <v>13</v>
  </rv>
  <rv s="7">
    <fb>39.32</fb>
    <v>13</v>
  </rv>
  <rv s="7">
    <fb>38.72</fb>
    <v>13</v>
  </rv>
  <rv s="7">
    <fb>38.630000000000003</fb>
    <v>13</v>
  </rv>
  <rv s="7">
    <fb>39.99</fb>
    <v>13</v>
  </rv>
  <rv s="7">
    <fb>39.880000000000003</fb>
    <v>13</v>
  </rv>
  <rv s="7">
    <fb>39.68</fb>
    <v>13</v>
  </rv>
  <rv s="7">
    <fb>39.96</fb>
    <v>13</v>
  </rv>
  <rv s="7">
    <fb>39.78</fb>
    <v>13</v>
  </rv>
  <rv s="7">
    <fb>39.67</fb>
    <v>13</v>
  </rv>
  <rv s="7">
    <fb>38.86</fb>
    <v>13</v>
  </rv>
  <rv s="7">
    <fb>39.409999999999997</fb>
    <v>13</v>
  </rv>
  <rv s="7">
    <fb>39.26</fb>
    <v>13</v>
  </rv>
  <rv s="7">
    <fb>39.24</fb>
    <v>13</v>
  </rv>
  <rv s="7">
    <fb>39.51</fb>
    <v>13</v>
  </rv>
  <rv s="7">
    <fb>39.49</fb>
    <v>13</v>
  </rv>
  <rv s="7">
    <fb>40.020000000000003</fb>
    <v>13</v>
  </rv>
  <rv s="7">
    <fb>39.380000000000003</fb>
    <v>13</v>
  </rv>
  <rv s="7">
    <fb>39</fb>
    <v>13</v>
  </rv>
  <rv s="7">
    <fb>39.25</fb>
    <v>13</v>
  </rv>
  <rv s="7">
    <fb>39.770000000000003</fb>
    <v>13</v>
  </rv>
  <rv s="7">
    <fb>40.01</fb>
    <v>13</v>
  </rv>
  <rv s="7">
    <fb>40.93</fb>
    <v>13</v>
  </rv>
  <rv s="7">
    <fb>40.9</fb>
    <v>13</v>
  </rv>
  <rv s="7">
    <fb>40.409999999999997</fb>
    <v>13</v>
  </rv>
  <rv s="7">
    <fb>40.619999999999997</fb>
    <v>13</v>
  </rv>
  <rv s="7">
    <fb>41.42</fb>
    <v>13</v>
  </rv>
  <rv s="7">
    <fb>41.74</fb>
    <v>13</v>
  </rv>
  <rv s="7">
    <fb>41.81</fb>
    <v>13</v>
  </rv>
  <rv s="7">
    <fb>41.59</fb>
    <v>13</v>
  </rv>
  <rv s="7">
    <fb>41.89</fb>
    <v>13</v>
  </rv>
  <rv s="7">
    <fb>44.13</fb>
    <v>13</v>
  </rv>
  <rv s="7">
    <fb>43.98</fb>
    <v>13</v>
  </rv>
  <rv s="7">
    <fb>43.01</fb>
    <v>13</v>
  </rv>
  <rv s="7">
    <fb>42.9</fb>
    <v>13</v>
  </rv>
  <rv s="7">
    <fb>42.3</fb>
    <v>13</v>
  </rv>
  <rv s="7">
    <fb>42.41</fb>
    <v>13</v>
  </rv>
  <rv s="7">
    <fb>42.19</fb>
    <v>13</v>
  </rv>
  <rv s="7">
    <fb>41.68</fb>
    <v>13</v>
  </rv>
  <rv s="7">
    <fb>41.67</fb>
    <v>13</v>
  </rv>
  <rv s="7">
    <fb>41.09</fb>
    <v>13</v>
  </rv>
  <rv s="7">
    <fb>41.28</fb>
    <v>13</v>
  </rv>
  <rv s="7">
    <fb>40.31</fb>
    <v>13</v>
  </rv>
  <rv s="7">
    <fb>39.5</fb>
    <v>13</v>
  </rv>
  <rv s="7">
    <fb>37.58</fb>
    <v>13</v>
  </rv>
  <rv s="7">
    <fb>38.17</fb>
    <v>13</v>
  </rv>
  <rv s="7">
    <fb>38.46</fb>
    <v>13</v>
  </rv>
  <rv s="7">
    <fb>38.81</fb>
    <v>13</v>
  </rv>
  <rv s="7">
    <fb>39.03</fb>
    <v>13</v>
  </rv>
  <rv s="7">
    <fb>39.340000000000003</fb>
    <v>13</v>
  </rv>
  <rv s="7">
    <fb>38.69</fb>
    <v>13</v>
  </rv>
  <rv s="7">
    <fb>38.75</fb>
    <v>13</v>
  </rv>
  <rv s="7">
    <fb>39.92</fb>
    <v>13</v>
  </rv>
  <rv s="7">
    <fb>39.950000000000003</fb>
    <v>13</v>
  </rv>
  <rv s="7">
    <fb>40.17</fb>
    <v>13</v>
  </rv>
  <rv s="7">
    <fb>40.75</fb>
    <v>13</v>
  </rv>
  <rv s="7">
    <fb>40.700000000000003</fb>
    <v>13</v>
  </rv>
  <rv s="7">
    <fb>40.5</fb>
    <v>13</v>
  </rv>
  <rv s="7">
    <fb>40.14</fb>
    <v>13</v>
  </rv>
  <rv s="7">
    <fb>38.76</fb>
    <v>13</v>
  </rv>
  <rv s="7">
    <fb>39.47</fb>
    <v>13</v>
  </rv>
  <rv s="7">
    <fb>39.28</fb>
    <v>13</v>
  </rv>
  <rv s="7">
    <fb>38.78</fb>
    <v>13</v>
  </rv>
  <rv s="7">
    <fb>38.65</fb>
    <v>13</v>
  </rv>
  <rv s="7">
    <fb>39.1</fb>
    <v>13</v>
  </rv>
  <rv s="7">
    <fb>39.549999999999997</fb>
    <v>13</v>
  </rv>
  <rv s="7">
    <fb>39.619999999999997</fb>
    <v>13</v>
  </rv>
  <rv s="7">
    <fb>40.869999999999997</fb>
    <v>13</v>
  </rv>
  <rv s="7">
    <fb>40.270000000000003</fb>
    <v>13</v>
  </rv>
  <rv s="7">
    <fb>39.869999999999997</fb>
    <v>13</v>
  </rv>
  <rv s="7">
    <fb>39.450000000000003</fb>
    <v>13</v>
  </rv>
  <rv s="7">
    <fb>39.520000000000003</fb>
    <v>13</v>
  </rv>
  <rv s="7">
    <fb>39.4</fb>
    <v>13</v>
  </rv>
  <rv s="7">
    <fb>39.229999999999997</fb>
    <v>13</v>
  </rv>
  <rv s="7">
    <fb>40.11</fb>
    <v>13</v>
  </rv>
  <rv s="7">
    <fb>39.93</fb>
    <v>13</v>
  </rv>
  <rv s="7">
    <fb>40.19</fb>
    <v>13</v>
  </rv>
  <rv s="7">
    <fb>39.97</fb>
    <v>13</v>
  </rv>
  <rv s="7">
    <fb>41.95</fb>
    <v>13</v>
  </rv>
  <rv s="7">
    <fb>41.91</fb>
    <v>13</v>
  </rv>
  <rv s="7">
    <fb>42.14</fb>
    <v>13</v>
  </rv>
  <rv s="7">
    <fb>42.8</fb>
    <v>13</v>
  </rv>
  <rv s="7">
    <fb>42.6</fb>
    <v>13</v>
  </rv>
  <rv s="7">
    <fb>42.32</fb>
    <v>13</v>
  </rv>
  <rv s="7">
    <fb>41.76</fb>
    <v>13</v>
  </rv>
  <rv s="7">
    <fb>42.34</fb>
    <v>13</v>
  </rv>
  <rv s="7">
    <fb>42.65</fb>
    <v>13</v>
  </rv>
  <rv s="7">
    <fb>42.62</fb>
    <v>13</v>
  </rv>
  <rv s="7">
    <fb>42.53</fb>
    <v>13</v>
  </rv>
  <rv s="7">
    <fb>42.31</fb>
    <v>13</v>
  </rv>
  <rv s="7">
    <fb>41.82</fb>
    <v>13</v>
  </rv>
  <rv s="7">
    <fb>41.33</fb>
    <v>13</v>
  </rv>
  <rv s="7">
    <fb>41.88</fb>
    <v>13</v>
  </rv>
  <rv s="7">
    <fb>45.41</fb>
    <v>13</v>
  </rv>
  <rv s="7">
    <fb>44.77</fb>
    <v>13</v>
  </rv>
  <rv s="7">
    <fb>45.13</fb>
    <v>13</v>
  </rv>
  <rv s="7">
    <fb>46.08</fb>
    <v>13</v>
  </rv>
  <rv s="7">
    <fb>45.86</fb>
    <v>13</v>
  </rv>
  <rv s="7">
    <fb>45.87</fb>
    <v>13</v>
  </rv>
  <rv s="7">
    <fb>45.9</fb>
    <v>13</v>
  </rv>
  <rv s="7">
    <fb>46.75</fb>
    <v>13</v>
  </rv>
  <rv s="7">
    <fb>46.72</fb>
    <v>13</v>
  </rv>
  <rv s="7">
    <fb>46.41</fb>
    <v>13</v>
  </rv>
  <rv s="7">
    <fb>46.06</fb>
    <v>13</v>
  </rv>
  <rv s="7">
    <fb>46.46</fb>
    <v>13</v>
  </rv>
  <rv s="7">
    <fb>47</fb>
    <v>13</v>
  </rv>
  <rv s="7">
    <fb>47.5</fb>
    <v>13</v>
  </rv>
  <rv s="7">
    <fb>47.75</fb>
    <v>13</v>
  </rv>
  <rv s="7">
    <fb>47.77</fb>
    <v>13</v>
  </rv>
  <rv s="7">
    <fb>47.51</fb>
    <v>13</v>
  </rv>
  <rv s="7">
    <fb>47.04</fb>
    <v>13</v>
  </rv>
  <rv s="7">
    <fb>46.82</fb>
    <v>13</v>
  </rv>
  <rv s="7">
    <fb>46.37</fb>
    <v>13</v>
  </rv>
  <rv s="7">
    <fb>45.91</fb>
    <v>13</v>
  </rv>
  <rv s="7">
    <fb>45.75</fb>
    <v>13</v>
  </rv>
  <rv s="7">
    <fb>360.02</fb>
    <v>13</v>
  </rv>
  <rv s="7">
    <fb>362.03</fb>
    <v>13</v>
  </rv>
  <rv s="7">
    <fb>358.12</fb>
    <v>13</v>
  </rv>
  <rv s="7">
    <fb>356.5</fb>
    <v>13</v>
  </rv>
  <rv s="7">
    <fb>359.65</fb>
    <v>13</v>
  </rv>
  <rv s="7">
    <fb>361.8</fb>
    <v>13</v>
  </rv>
  <rv s="7">
    <fb>355.35</fb>
    <v>13</v>
  </rv>
  <rv s="7">
    <fb>356.14</fb>
    <v>13</v>
  </rv>
  <rv s="7">
    <fb>356.47</fb>
    <v>13</v>
  </rv>
  <rv s="7">
    <fb>356.83</fb>
    <v>13</v>
  </rv>
  <rv s="7">
    <fb>356.95</fb>
    <v>13</v>
  </rv>
  <rv s="7">
    <fb>357.57</fb>
    <v>13</v>
  </rv>
  <rv s="7">
    <fb>356.66</fb>
    <v>13</v>
  </rv>
  <rv s="7">
    <fb>362.46</fb>
    <v>13</v>
  </rv>
  <rv s="7">
    <fb>366.75</fb>
    <v>13</v>
  </rv>
  <rv s="7">
    <fb>363.68</fb>
    <v>13</v>
  </rv>
  <rv s="7">
    <fb>365.59</fb>
    <v>13</v>
  </rv>
  <rv s="7">
    <fb>368.18</fb>
    <v>13</v>
  </rv>
  <rv s="7">
    <fb>366.9</fb>
    <v>13</v>
  </rv>
  <rv s="7">
    <fb>367.92</fb>
    <v>13</v>
  </rv>
  <rv s="7">
    <fb>363.34</fb>
    <v>13</v>
  </rv>
  <rv s="7">
    <fb>363.62</fb>
    <v>13</v>
  </rv>
  <rv s="7">
    <fb>361.1</fb>
    <v>13</v>
  </rv>
  <rv s="7">
    <fb>359.29</fb>
    <v>13</v>
  </rv>
  <rv s="7">
    <fb>362.38</fb>
    <v>13</v>
  </rv>
  <rv s="7">
    <fb>366.99</fb>
    <v>13</v>
  </rv>
  <rv s="7">
    <fb>368.06</fb>
    <v>13</v>
  </rv>
  <rv s="7">
    <fb>372.14</fb>
    <v>13</v>
  </rv>
  <rv s="7">
    <fb>376.59</fb>
    <v>13</v>
  </rv>
  <rv s="7">
    <fb>380.85</fb>
    <v>13</v>
  </rv>
  <rv s="7">
    <fb>385.4</fb>
    <v>13</v>
  </rv>
  <rv s="7">
    <fb>383.18</fb>
    <v>13</v>
  </rv>
  <rv s="7">
    <fb>387.15</fb>
    <v>13</v>
  </rv>
  <rv s="7">
    <fb>383.74</fb>
    <v>13</v>
  </rv>
  <rv s="7">
    <fb>386.44</fb>
    <v>13</v>
  </rv>
  <rv s="7">
    <fb>390.75</fb>
    <v>13</v>
  </rv>
  <rv s="7">
    <fb>390.76</fb>
    <v>13</v>
  </rv>
  <rv s="7">
    <fb>393.74</fb>
    <v>13</v>
  </rv>
  <rv s="7">
    <fb>397.66</fb>
    <v>13</v>
  </rv>
  <rv s="7">
    <fb>397.49</fb>
    <v>13</v>
  </rv>
  <rv s="7">
    <fb>398.36</fb>
    <v>13</v>
  </rv>
  <rv s="7">
    <fb>397.71</fb>
    <v>13</v>
  </rv>
  <rv s="7">
    <fb>394.8</fb>
    <v>13</v>
  </rv>
  <rv s="7">
    <fb>398.68</fb>
    <v>13</v>
  </rv>
  <rv s="7">
    <fb>403.45</fb>
    <v>13</v>
  </rv>
  <rv s="7">
    <fb>405.99</fb>
    <v>13</v>
  </rv>
  <rv s="7">
    <fb>407.15</fb>
    <v>13</v>
  </rv>
  <rv s="7">
    <fb>409.25</fb>
    <v>13</v>
  </rv>
  <rv s="7">
    <fb>415.16</fb>
    <v>13</v>
  </rv>
  <rv s="7">
    <fb>417.22</fb>
    <v>13</v>
  </rv>
  <rv s="7">
    <fb>409.14</fb>
    <v>13</v>
  </rv>
  <rv s="7">
    <fb>408.91</fb>
    <v>13</v>
  </rv>
  <rv s="7">
    <fb>412.14</fb>
    <v>13</v>
  </rv>
  <rv s="7">
    <fb>409.4</fb>
    <v>13</v>
  </rv>
  <rv s="7">
    <fb>407.11</fb>
    <v>13</v>
  </rv>
  <rv s="7">
    <fb>403.39</fb>
    <v>13</v>
  </rv>
  <rv s="7">
    <fb>400.74</fb>
    <v>13</v>
  </rv>
  <rv s="7">
    <fb>403.96</fb>
    <v>13</v>
  </rv>
  <rv s="7">
    <fb>402.39</fb>
    <v>13</v>
  </rv>
  <rv s="7">
    <fb>403.15</fb>
    <v>13</v>
  </rv>
  <rv s="7">
    <fb>404.76</fb>
    <v>13</v>
  </rv>
  <rv s="7">
    <fb>404.98</fb>
    <v>13</v>
  </rv>
  <rv s="7">
    <fb>408.13</fb>
    <v>13</v>
  </rv>
  <rv s="7">
    <fb>406.73</fb>
    <v>13</v>
  </rv>
  <rv s="7">
    <fb>408.41</fb>
    <v>13</v>
  </rv>
  <rv s="7">
    <fb>411.76</fb>
    <v>13</v>
  </rv>
  <rv s="7">
    <fb>416.11</fb>
    <v>13</v>
  </rv>
  <rv s="7">
    <fb>413.78</fb>
    <v>13</v>
  </rv>
  <rv s="7">
    <fb>411.6</fb>
    <v>13</v>
  </rv>
  <rv s="7">
    <fb>409.92</fb>
    <v>13</v>
  </rv>
  <rv s="7">
    <fb>411.57</fb>
    <v>13</v>
  </rv>
  <rv s="7">
    <fb>416.93</fb>
    <v>13</v>
  </rv>
  <rv s="7">
    <fb>420.52</fb>
    <v>13</v>
  </rv>
  <rv s="7">
    <fb>420.2</fb>
    <v>13</v>
  </rv>
  <rv s="7">
    <fb>418.92</fb>
    <v>13</v>
  </rv>
  <rv s="7">
    <fb>420.24</fb>
    <v>13</v>
  </rv>
  <rv s="7">
    <fb>415.32</fb>
    <v>13</v>
  </rv>
  <rv s="7">
    <fb>418.62</fb>
    <v>13</v>
  </rv>
  <rv s="7">
    <fb>415.97</fb>
    <v>13</v>
  </rv>
  <rv s="7">
    <fb>414.69</fb>
    <v>13</v>
  </rv>
  <rv s="7">
    <fb>409.11</fb>
    <v>13</v>
  </rv>
  <rv s="7">
    <fb>407.61</fb>
    <v>13</v>
  </rv>
  <rv s="7">
    <fb>403.26</fb>
    <v>13</v>
  </rv>
  <rv s="7">
    <fb>400.26</fb>
    <v>13</v>
  </rv>
  <rv s="7">
    <fb>396.92</fb>
    <v>13</v>
  </rv>
  <rv s="7">
    <fb>397.74</fb>
    <v>13</v>
  </rv>
  <rv s="7">
    <fb>399.89</fb>
    <v>13</v>
  </rv>
  <rv s="7">
    <fb>405.08</fb>
    <v>13</v>
  </rv>
  <rv s="7">
    <fb>408.78</fb>
    <v>13</v>
  </rv>
  <rv s="7">
    <fb>408.74</fb>
    <v>13</v>
  </rv>
  <rv s="7">
    <fb>405.95</fb>
    <v>13</v>
  </rv>
  <rv s="7">
    <fb>404.91</fb>
    <v>13</v>
  </rv>
  <rv s="7">
    <fb>402.1</fb>
    <v>13</v>
  </rv>
  <rv s="7">
    <fb>400.96</fb>
    <v>13</v>
  </rv>
  <rv s="7">
    <fb>396.73</fb>
    <v>13</v>
  </rv>
  <rv s="7">
    <fb>398.58</fb>
    <v>13</v>
  </rv>
  <rv s="7">
    <fb>400.6</fb>
    <v>13</v>
  </rv>
  <rv s="7">
    <fb>400.87</fb>
    <v>13</v>
  </rv>
  <rv s="7">
    <fb>404.92</fb>
    <v>13</v>
  </rv>
  <rv s="7">
    <fb>406.14</fb>
    <v>13</v>
  </rv>
  <rv s="7">
    <fb>406.37</fb>
    <v>13</v>
  </rv>
  <rv s="7">
    <fb>408.82</fb>
    <v>13</v>
  </rv>
  <rv s="7">
    <fb>412.05</fb>
    <v>13</v>
  </rv>
  <rv s="7">
    <fb>411.22</fb>
    <v>13</v>
  </rv>
  <rv s="7">
    <fb>410.24</fb>
    <v>13</v>
  </rv>
  <rv s="7">
    <fb>412.76</fb>
    <v>13</v>
  </rv>
  <rv s="7">
    <fb>413.12</fb>
    <v>13</v>
  </rv>
  <rv s="7">
    <fb>416.94</fb>
    <v>13</v>
  </rv>
  <rv s="7">
    <fb>413</fb>
    <v>13</v>
  </rv>
  <rv s="7">
    <fb>414.37</fb>
    <v>13</v>
  </rv>
  <rv s="7">
    <fb>413.99</fb>
    <v>13</v>
  </rv>
  <rv s="7">
    <fb>405.88</fb>
    <v>13</v>
  </rv>
  <rv s="7">
    <fb>407.41</fb>
    <v>13</v>
  </rv>
  <rv s="7">
    <fb>403.9</fb>
    <v>13</v>
  </rv>
  <rv s="7">
    <fb>404.09</fb>
    <v>13</v>
  </rv>
  <rv s="7">
    <fb>408.61</fb>
    <v>13</v>
  </rv>
  <rv s="7">
    <fb>414.4</fb>
    <v>13</v>
  </rv>
  <rv s="7">
    <fb>414.79</fb>
    <v>13</v>
  </rv>
  <rv s="7">
    <fb>409.53</fb>
    <v>13</v>
  </rv>
  <rv s="7">
    <fb>409.85</fb>
    <v>13</v>
  </rv>
  <rv s="7">
    <fb>411.08</fb>
    <v>13</v>
  </rv>
  <rv s="7">
    <fb>413.72</fb>
    <v>13</v>
  </rv>
  <rv s="7">
    <fb>410.81</fb>
    <v>13</v>
  </rv>
  <rv s="7">
    <fb>408.5</fb>
    <v>13</v>
  </rv>
  <rv s="7">
    <fb>408.77</fb>
    <v>13</v>
  </rv>
  <rv s="7">
    <fb>405.92</fb>
    <v>13</v>
  </rv>
  <rv s="7">
    <fb>405.54</fb>
    <v>13</v>
  </rv>
  <rv s="7">
    <fb>407.32</fb>
    <v>13</v>
  </rv>
  <rv s="7">
    <fb>407.95</fb>
    <v>13</v>
  </rv>
  <rv s="7">
    <fb>409.15</fb>
    <v>13</v>
  </rv>
  <rv s="7">
    <fb>409.62</fb>
    <v>13</v>
  </rv>
  <rv s="7">
    <fb>413.98</fb>
    <v>13</v>
  </rv>
  <rv s="7">
    <fb>410.97</fb>
    <v>13</v>
  </rv>
  <rv s="7">
    <fb>410.26</fb>
    <v>13</v>
  </rv>
  <rv s="7">
    <fb>406.8</fb>
    <v>13</v>
  </rv>
  <rv s="7">
    <fb>405.19</fb>
    <v>13</v>
  </rv>
  <rv s="7">
    <fb>407.1</fb>
    <v>13</v>
  </rv>
  <rv s="7">
    <fb>405.77</fb>
    <v>13</v>
  </rv>
  <rv s="7">
    <fb>411.17</fb>
    <v>13</v>
  </rv>
  <rv s="7">
    <fb>409.08</fb>
    <v>13</v>
  </rv>
  <rv s="7">
    <fb>410.52</fb>
    <v>13</v>
  </rv>
  <rv s="7">
    <fb>413.79</fb>
    <v>13</v>
  </rv>
  <rv s="7">
    <fb>418.78</fb>
    <v>13</v>
  </rv>
  <rv s="7">
    <fb>424.44</fb>
    <v>13</v>
  </rv>
  <rv s="7">
    <fb>434.42</fb>
    <v>13</v>
  </rv>
  <rv s="7">
    <fb>438.9</fb>
    <v>13</v>
  </rv>
  <rv s="7">
    <fb>445.61</fb>
    <v>13</v>
  </rv>
  <rv s="7">
    <fb>441.82</fb>
    <v>13</v>
  </rv>
  <rv s="7">
    <fb>434.47</fb>
    <v>13</v>
  </rv>
  <rv s="7">
    <fb>435.98</fb>
    <v>13</v>
  </rv>
  <rv s="7">
    <fb>434.01</fb>
    <v>13</v>
  </rv>
  <rv s="7">
    <fb>432.8</fb>
    <v>13</v>
  </rv>
  <rv s="7">
    <fb>433.29</fb>
    <v>13</v>
  </rv>
  <rv s="7">
    <fb>437.66</fb>
    <v>13</v>
  </rv>
  <rv s="7">
    <fb>438.31</fb>
    <v>13</v>
  </rv>
  <rv s="7">
    <fb>441.26</fb>
    <v>13</v>
  </rv>
  <rv s="7">
    <fb>438.5</fb>
    <v>13</v>
  </rv>
  <rv s="7">
    <fb>431.81</fb>
    <v>13</v>
  </rv>
  <rv s="7">
    <fb>428.36</fb>
    <v>13</v>
  </rv>
  <rv s="7">
    <fb>422.14</fb>
    <v>13</v>
  </rv>
  <rv s="7">
    <fb>427.02</fb>
    <v>13</v>
  </rv>
  <rv s="7">
    <fb>431.54</fb>
    <v>13</v>
  </rv>
  <rv s="7">
    <fb>431.67</fb>
    <v>13</v>
  </rv>
  <rv s="7">
    <fb>430.39</fb>
    <v>13</v>
  </rv>
  <rv s="7">
    <fb>432.41</fb>
    <v>13</v>
  </rv>
  <rv s="7">
    <fb>438.47</fb>
    <v>13</v>
  </rv>
  <rv s="7">
    <fb>440.84</fb>
    <v>13</v>
  </rv>
  <rv s="7">
    <fb>444.51</fb>
    <v>13</v>
  </rv>
  <rv s="7">
    <fb>448.77</fb>
    <v>13</v>
  </rv>
  <rv s="7">
    <fb>448.36</fb>
    <v>13</v>
  </rv>
  <rv s="7">
    <fb>446.6</fb>
    <v>13</v>
  </rv>
  <rv s="7">
    <fb>449.03</fb>
    <v>13</v>
  </rv>
  <rv s="7">
    <fb>453.38</fb>
    <v>13</v>
  </rv>
  <rv s="7">
    <fb>454.49</fb>
    <v>13</v>
  </rv>
  <rv s="7">
    <fb>460.63</fb>
    <v>13</v>
  </rv>
  <rv s="7">
    <fb>464.59</fb>
    <v>13</v>
  </rv>
  <rv s="7">
    <fb>468.37</fb>
    <v>13</v>
  </rv>
  <rv s="7">
    <fb>475.92</fb>
    <v>13</v>
  </rv>
  <rv s="7">
    <fb>476.83</fb>
    <v>13</v>
  </rv>
  <rv s="7">
    <fb>478.57</fb>
    <v>13</v>
  </rv>
  <rv s="7">
    <fb>464.92</fb>
    <v>13</v>
  </rv>
  <rv s="7">
    <fb>459.42</fb>
    <v>13</v>
  </rv>
  <rv s="7">
    <fb>459.61</fb>
    <v>13</v>
  </rv>
  <rv s="7">
    <fb>458.92</fb>
    <v>13</v>
  </rv>
  <rv s="7">
    <fb>453.1</fb>
    <v>13</v>
  </rv>
  <rv s="7">
    <fb>450.87</fb>
    <v>13</v>
  </rv>
  <rv s="7">
    <fb>447.61</fb>
    <v>13</v>
  </rv>
  <rv s="7">
    <fb>451.78</fb>
    <v>13</v>
  </rv>
  <rv s="7">
    <fb>456.68</fb>
    <v>13</v>
  </rv>
  <rv s="7">
    <fb>456.6</fb>
    <v>13</v>
  </rv>
  <rv s="7">
    <fb>459.71</fb>
    <v>13</v>
  </rv>
  <rv s="7">
    <fb>455.31</fb>
    <v>13</v>
  </rv>
  <rv s="7">
    <fb>454.98</fb>
    <v>13</v>
  </rv>
  <rv s="7">
    <fb>454.56</fb>
    <v>13</v>
  </rv>
  <rv s="7">
    <fb>452.36</fb>
    <v>13</v>
  </rv>
  <rv s="7">
    <fb>454.18</fb>
    <v>13</v>
  </rv>
  <rv s="7">
    <fb>457.47</fb>
    <v>13</v>
  </rv>
  <rv s="7">
    <fb>460.26</fb>
    <v>13</v>
  </rv>
  <rv s="7">
    <fb>457.41</fb>
    <v>13</v>
  </rv>
  <rv s="7">
    <fb>456.67</fb>
    <v>13</v>
  </rv>
  <rv s="7">
    <fb>452.96</fb>
    <v>13</v>
  </rv>
  <rv s="7">
    <fb>461.97</fb>
    <v>13</v>
  </rv>
  <rv s="7">
    <fb>453.5</fb>
    <v>13</v>
  </rv>
  <rv s="7">
    <fb>453.8</fb>
    <v>13</v>
  </rv>
  <rv s="7">
    <fb>455.9</fb>
    <v>13</v>
  </rv>
  <rv s="7">
    <fb>454.93</fb>
    <v>13</v>
  </rv>
  <rv s="7">
    <fb>460.21</fb>
    <v>13</v>
  </rv>
  <rv s="7">
    <fb>459.98</fb>
    <v>13</v>
  </rv>
  <rv s="7">
    <fb>462.68</fb>
    <v>13</v>
  </rv>
  <rv s="7">
    <fb>465.69</fb>
    <v>13</v>
  </rv>
  <rv s="7">
    <fb>465.85</fb>
    <v>13</v>
  </rv>
  <rv s="7">
    <fb>464.8</fb>
    <v>13</v>
  </rv>
  <rv s="7">
    <fb>464.16</fb>
    <v>13</v>
  </rv>
  <rv s="7">
    <fb>461.45</fb>
    <v>13</v>
  </rv>
  <rv s="7">
    <fb>460.61</fb>
    <v>13</v>
  </rv>
  <rv s="7">
    <fb>457.77</fb>
    <v>13</v>
  </rv>
  <rv s="7">
    <fb>454.01</fb>
    <v>13</v>
  </rv>
  <rv s="7">
    <fb>458.49</fb>
    <v>13</v>
  </rv>
  <rv s="7">
    <fb>454.62</fb>
    <v>13</v>
  </rv>
  <rv s="7">
    <fb>454.96</fb>
    <v>13</v>
  </rv>
  <rv s="7">
    <fb>450.92</fb>
    <v>13</v>
  </rv>
  <rv s="7">
    <fb>452.14</fb>
    <v>13</v>
  </rv>
  <rv s="7">
    <fb>442.29</fb>
    <v>13</v>
  </rv>
  <rv s="7">
    <fb>445.06</fb>
    <v>13</v>
  </rv>
  <rv s="7">
    <fb>468.9</fb>
    <v>13</v>
  </rv>
  <rv s="7">
    <fb>460.13</fb>
    <v>13</v>
  </rv>
  <rv s="7">
    <fb>463.41</fb>
    <v>13</v>
  </rv>
  <rv s="7">
    <fb>467.36</fb>
    <v>13</v>
  </rv>
  <rv s="7">
    <fb>466.29</fb>
    <v>13</v>
  </rv>
  <rv s="7">
    <fb>468.1</fb>
    <v>13</v>
  </rv>
  <rv s="7">
    <fb>467.7</fb>
    <v>13</v>
  </rv>
  <rv s="7">
    <fb>470.28</fb>
    <v>13</v>
  </rv>
  <rv s="7">
    <fb>472.2</fb>
    <v>13</v>
  </rv>
  <rv s="7">
    <fb>468.86</fb>
    <v>13</v>
  </rv>
  <rv s="7">
    <fb>468.83</fb>
    <v>13</v>
  </rv>
  <rv s="7">
    <fb>472.06</fb>
    <v>13</v>
  </rv>
  <rv s="7">
    <fb>477.43</fb>
    <v>13</v>
  </rv>
  <rv s="7">
    <fb>478.56</fb>
    <v>13</v>
  </rv>
  <rv s="7">
    <fb>483.08</fb>
    <v>13</v>
  </rv>
  <rv s="7">
    <fb>483.02</fb>
    <v>13</v>
  </rv>
  <rv s="7">
    <fb>477.33</fb>
    <v>13</v>
  </rv>
  <rv s="7">
    <fb>470.19</fb>
    <v>13</v>
  </rv>
  <rv s="7">
    <fb>468.32</fb>
    <v>13</v>
  </rv>
  <rv s="7">
    <fb>470.57</fb>
    <v>13</v>
  </rv>
  <rv s="7">
    <fb>470.5</fb>
    <v>13</v>
  </rv>
  <rv s="7">
    <fb>463.87</fb>
    <v>13</v>
  </rv>
  <rv s="7">
    <fb>462.49</fb>
    <v>13</v>
  </rv>
  <rv s="7">
    <fb>69.569999999999993</fb>
    <v>13</v>
  </rv>
  <rv s="7">
    <fb>70.06</fb>
    <v>13</v>
  </rv>
  <rv s="7">
    <fb>74.760000000000005</fb>
    <v>13</v>
  </rv>
  <rv s="7">
    <fb>74.209999999999994</fb>
    <v>13</v>
  </rv>
  <rv s="7">
    <fb>73.88</fb>
    <v>13</v>
  </rv>
  <rv s="7">
    <fb>77.31</fb>
    <v>13</v>
  </rv>
  <rv s="7">
    <fb>76.11</fb>
    <v>13</v>
  </rv>
  <rv s="7">
    <fb>76.900000000000006</fb>
    <v>13</v>
  </rv>
  <rv s="7">
    <fb>77.14</fb>
    <v>13</v>
  </rv>
  <rv s="7">
    <fb>78.180000000000007</fb>
    <v>13</v>
  </rv>
  <rv s="7">
    <fb>79.599999999999994</fb>
    <v>13</v>
  </rv>
  <rv s="7">
    <fb>79.510000000000005</fb>
    <v>13</v>
  </rv>
  <rv s="7">
    <fb>77.349999999999994</fb>
    <v>13</v>
  </rv>
  <rv s="7">
    <fb>72.22</fb>
    <v>13</v>
  </rv>
  <rv s="7">
    <fb>68.63</fb>
    <v>13</v>
  </rv>
  <rv s="7">
    <fb>68.150000000000006</fb>
    <v>13</v>
  </rv>
  <rv s="7">
    <fb>66.959999999999994</fb>
    <v>13</v>
  </rv>
  <rv s="7">
    <fb>69.31</fb>
    <v>13</v>
  </rv>
  <rv s="7">
    <fb>69.53</fb>
    <v>13</v>
  </rv>
  <rv s="7">
    <fb>67.900000000000006</fb>
    <v>13</v>
  </rv>
  <rv s="7">
    <fb>67.87</fb>
    <v>13</v>
  </rv>
  <rv s="7">
    <fb>66.48</fb>
    <v>13</v>
  </rv>
  <rv s="7">
    <fb>65.16</fb>
    <v>13</v>
  </rv>
  <rv s="7">
    <fb>63.9</fb>
    <v>13</v>
  </rv>
  <rv s="7">
    <fb>64.47</fb>
    <v>13</v>
  </rv>
  <rv s="7">
    <fb>65.849999999999994</fb>
    <v>13</v>
  </rv>
  <rv s="7">
    <fb>66.69</fb>
    <v>13</v>
  </rv>
  <rv s="7">
    <fb>66.2</fb>
    <v>13</v>
  </rv>
  <rv s="7">
    <fb>62.57</fb>
    <v>13</v>
  </rv>
  <rv s="7">
    <fb>62.71</fb>
    <v>13</v>
  </rv>
  <rv s="7">
    <fb>64.97</fb>
    <v>13</v>
  </rv>
  <rv s="7">
    <fb>68.98</fb>
    <v>13</v>
  </rv>
  <rv s="7">
    <fb>68.22</fb>
    <v>13</v>
  </rv>
  <rv s="7">
    <fb>65.010000000000005</fb>
    <v>13</v>
  </rv>
  <rv s="7">
    <fb>66.67</fb>
    <v>13</v>
  </rv>
  <rv s="7">
    <fb>67.88</fb>
    <v>13</v>
  </rv>
  <rv s="7">
    <fb>67</fb>
    <v>13</v>
  </rv>
  <rv s="7">
    <fb>68.31</fb>
    <v>13</v>
  </rv>
  <rv s="7">
    <fb>68.83</fb>
    <v>13</v>
  </rv>
  <rv s="7">
    <fb>66.88</fb>
    <v>13</v>
  </rv>
  <rv s="7">
    <fb>68.84</fb>
    <v>13</v>
  </rv>
  <rv s="7">
    <fb>64.98</fb>
    <v>13</v>
  </rv>
  <rv s="7">
    <fb>67.41</fb>
    <v>13</v>
  </rv>
  <rv s="7">
    <fb>69.48</fb>
    <v>13</v>
  </rv>
  <rv s="7">
    <fb>65.64</fb>
    <v>13</v>
  </rv>
  <rv s="7">
    <fb>65.73</fb>
    <v>13</v>
  </rv>
  <rv s="7">
    <fb>67.959999999999994</fb>
    <v>13</v>
  </rv>
  <rv s="7">
    <fb>78.92</fb>
    <v>13</v>
  </rv>
  <rv s="7">
    <fb>74.66</fb>
    <v>13</v>
  </rv>
  <rv s="7">
    <fb>77.709999999999994</fb>
    <v>13</v>
  </rv>
  <rv s="7">
    <fb>78.42</fb>
    <v>13</v>
  </rv>
  <rv s="7">
    <fb>79.47</fb>
    <v>13</v>
  </rv>
  <rv s="7">
    <fb>79.25</fb>
    <v>13</v>
  </rv>
  <rv s="7">
    <fb>77</fb>
    <v>13</v>
  </rv>
  <rv s="7">
    <fb>74.430000000000007</fb>
    <v>13</v>
  </rv>
  <rv s="7">
    <fb>75.53</fb>
    <v>13</v>
  </rv>
  <rv s="7">
    <fb>77.22</fb>
    <v>13</v>
  </rv>
  <rv s="7">
    <fb>80.739999999999995</fb>
    <v>13</v>
  </rv>
  <rv s="7">
    <fb>81.53</fb>
    <v>13</v>
  </rv>
  <rv s="7">
    <fb>81.709999999999994</fb>
    <v>13</v>
  </rv>
  <rv s="7">
    <fb>85.72</fb>
    <v>13</v>
  </rv>
  <rv s="7">
    <fb>81.239999999999995</fb>
    <v>13</v>
  </rv>
  <rv s="7">
    <fb>80.17</fb>
    <v>13</v>
  </rv>
  <rv s="7">
    <fb>80.86</fb>
    <v>13</v>
  </rv>
  <rv s="7">
    <fb>79.319999999999993</fb>
    <v>13</v>
  </rv>
  <rv s="7">
    <fb>81.459999999999994</fb>
    <v>13</v>
  </rv>
  <rv s="7">
    <fb>84.05</fb>
    <v>13</v>
  </rv>
  <rv s="7">
    <fb>80.77</fb>
    <v>13</v>
  </rv>
  <rv s="7">
    <fb>82.62</fb>
    <v>13</v>
  </rv>
  <rv s="7">
    <fb>83.8</fb>
    <v>13</v>
  </rv>
  <rv s="7">
    <fb>83.18</fb>
    <v>13</v>
  </rv>
  <rv s="7">
    <fb>84.58</fb>
    <v>13</v>
  </rv>
  <rv s="7">
    <fb>79.209999999999994</fb>
    <v>13</v>
  </rv>
  <rv s="7">
    <fb>79.650000000000006</fb>
    <v>13</v>
  </rv>
  <rv s="7">
    <fb>74.73</fb>
    <v>13</v>
  </rv>
  <rv s="7">
    <fb>77.17</fb>
    <v>13</v>
  </rv>
  <rv s="7">
    <fb>78.349999999999994</fb>
    <v>13</v>
  </rv>
  <rv s="7">
    <fb>79.98</fb>
    <v>13</v>
  </rv>
  <rv s="7">
    <fb>78.510000000000005</fb>
    <v>13</v>
  </rv>
  <rv s="7">
    <fb>80.06</fb>
    <v>13</v>
  </rv>
  <rv s="7">
    <fb>76.989999999999995</fb>
    <v>13</v>
  </rv>
  <rv s="7">
    <fb>73.5</fb>
    <v>13</v>
  </rv>
  <rv s="7">
    <fb>73.14</fb>
    <v>13</v>
  </rv>
  <rv s="7">
    <fb>73.510000000000005</fb>
    <v>13</v>
  </rv>
  <rv s="7">
    <fb>72.06</fb>
    <v>13</v>
  </rv>
  <rv s="7">
    <fb>70.42</fb>
    <v>13</v>
  </rv>
  <rv s="7">
    <fb>71.599999999999994</fb>
    <v>13</v>
  </rv>
  <rv s="7">
    <fb>75.209999999999994</fb>
    <v>13</v>
  </rv>
  <rv s="7">
    <fb>74.03</fb>
    <v>13</v>
  </rv>
  <rv s="7">
    <fb>72.790000000000006</fb>
    <v>13</v>
  </rv>
  <rv s="7">
    <fb>74.48</fb>
    <v>13</v>
  </rv>
  <rv s="7">
    <fb>75.31</fb>
    <v>13</v>
  </rv>
  <rv s="7">
    <fb>73</fb>
    <v>13</v>
  </rv>
  <rv s="7">
    <fb>66.84</fb>
    <v>13</v>
  </rv>
  <rv s="7">
    <fb>70.3</fb>
    <v>13</v>
  </rv>
  <rv s="7">
    <fb>69.47</fb>
    <v>13</v>
  </rv>
  <rv s="7">
    <fb>73.53</fb>
    <v>13</v>
  </rv>
  <rv s="7">
    <fb>71.14</fb>
    <v>13</v>
  </rv>
  <rv s="7">
    <fb>73.2</fb>
    <v>13</v>
  </rv>
  <rv s="7">
    <fb>71.31</fb>
    <v>13</v>
  </rv>
  <rv s="7">
    <fb>69.739999999999995</fb>
    <v>13</v>
  </rv>
  <rv s="7">
    <fb>71.2</fb>
    <v>13</v>
  </rv>
  <rv s="7">
    <fb>71.52</fb>
    <v>13</v>
  </rv>
  <rv s="7">
    <fb>71.75</fb>
    <v>13</v>
  </rv>
  <rv s="7">
    <fb>72.260000000000005</fb>
    <v>13</v>
  </rv>
  <rv s="7">
    <fb>73.540000000000006</fb>
    <v>13</v>
  </rv>
  <rv s="7">
    <fb>71.510000000000005</fb>
    <v>13</v>
  </rv>
  <rv s="7">
    <fb>67.34</fb>
    <v>13</v>
  </rv>
  <rv s="7">
    <fb>66.62</fb>
    <v>13</v>
  </rv>
  <rv s="7">
    <fb>66.34</fb>
    <v>13</v>
  </rv>
  <rv s="7">
    <fb>66.08</fb>
    <v>13</v>
  </rv>
  <rv s="7">
    <fb>65.56</fb>
    <v>13</v>
  </rv>
  <rv s="7">
    <fb>65.02</fb>
    <v>13</v>
  </rv>
  <rv s="7">
    <fb>64.08</fb>
    <v>13</v>
  </rv>
  <rv s="7">
    <fb>64.3</fb>
    <v>13</v>
  </rv>
  <rv s="7">
    <fb>64.25</fb>
    <v>13</v>
  </rv>
  <rv s="7">
    <fb>64.8</fb>
    <v>13</v>
  </rv>
  <rv s="7">
    <fb>66.400000000000006</fb>
    <v>13</v>
  </rv>
  <rv s="7">
    <fb>65.099999999999994</fb>
    <v>13</v>
  </rv>
  <rv s="7">
    <fb>64.34</fb>
    <v>13</v>
  </rv>
  <rv s="7">
    <fb>64.16</fb>
    <v>13</v>
  </rv>
  <rv s="7">
    <fb>64.63</fb>
    <v>13</v>
  </rv>
  <rv s="7">
    <fb>62.36</fb>
    <v>13</v>
  </rv>
  <rv s="7">
    <fb>62.15</fb>
    <v>13</v>
  </rv>
  <rv s="7">
    <fb>62.5</fb>
    <v>13</v>
  </rv>
  <rv s="7">
    <fb>61.9</fb>
    <v>13</v>
  </rv>
  <rv s="7">
    <fb>62.74</fb>
    <v>13</v>
  </rv>
  <rv s="7">
    <fb>62.97</fb>
    <v>13</v>
  </rv>
  <rv s="7">
    <fb>64.400000000000006</fb>
    <v>13</v>
  </rv>
  <rv s="7">
    <fb>64.02</fb>
    <v>13</v>
  </rv>
  <rv s="7">
    <fb>63.29</fb>
    <v>13</v>
  </rv>
  <rv s="7">
    <fb>63.39</fb>
    <v>13</v>
  </rv>
  <rv s="7">
    <fb>64.489999999999995</fb>
    <v>13</v>
  </rv>
  <rv s="7">
    <fb>63.84</fb>
    <v>13</v>
  </rv>
  <rv s="7">
    <fb>64.58</fb>
    <v>13</v>
  </rv>
  <rv s="7">
    <fb>64.44</fb>
    <v>13</v>
  </rv>
  <rv s="7">
    <fb>65.78</fb>
    <v>13</v>
  </rv>
  <rv s="7">
    <fb>64.23</fb>
    <v>13</v>
  </rv>
  <rv s="7">
    <fb>64.510000000000005</fb>
    <v>13</v>
  </rv>
  <rv s="7">
    <fb>66.489999999999995</fb>
    <v>13</v>
  </rv>
  <rv s="7">
    <fb>68.739999999999995</fb>
    <v>13</v>
  </rv>
  <rv s="7">
    <fb>72.069999999999993</fb>
    <v>13</v>
  </rv>
  <rv s="7">
    <fb>71.849999999999994</fb>
    <v>13</v>
  </rv>
  <rv s="7">
    <fb>68</fb>
    <v>13</v>
  </rv>
  <rv s="7">
    <fb>68.099999999999994</fb>
    <v>13</v>
  </rv>
  <rv s="7">
    <fb>68.25</fb>
    <v>13</v>
  </rv>
  <rv s="7">
    <fb>66.89</fb>
    <v>13</v>
  </rv>
  <rv s="7">
    <fb>61.71</fb>
    <v>13</v>
  </rv>
  <rv s="7">
    <fb>61.58</fb>
    <v>13</v>
  </rv>
  <rv s="7">
    <fb>60.18</fb>
    <v>13</v>
  </rv>
  <rv s="7">
    <fb>60.74</fb>
    <v>13</v>
  </rv>
  <rv s="7">
    <fb>60.09</fb>
    <v>13</v>
  </rv>
  <rv s="7">
    <fb>61.88</fb>
    <v>13</v>
  </rv>
  <rv s="7">
    <fb>59.9</fb>
    <v>13</v>
  </rv>
  <rv s="7">
    <fb>60.38</fb>
    <v>13</v>
  </rv>
  <rv s="7">
    <fb>57.21</fb>
    <v>13</v>
  </rv>
  <rv s="7">
    <fb>57.25</fb>
    <v>13</v>
  </rv>
  <rv s="7">
    <fb>58.05</fb>
    <v>13</v>
  </rv>
  <rv s="7">
    <fb>61.21</fb>
    <v>13</v>
  </rv>
  <rv s="7">
    <fb>62.14</fb>
    <v>13</v>
  </rv>
  <rv s="7">
    <fb>61.09</fb>
    <v>13</v>
  </rv>
  <rv s="7">
    <fb>63.37</fb>
    <v>13</v>
  </rv>
  <rv s="7">
    <fb>62.2</fb>
    <v>13</v>
  </rv>
  <rv s="7">
    <fb>65.87</fb>
    <v>13</v>
  </rv>
  <rv s="7">
    <fb>64.88</fb>
    <v>13</v>
  </rv>
  <rv s="7">
    <fb>65.650000000000006</fb>
    <v>13</v>
  </rv>
  <rv s="7">
    <fb>65.36</fb>
    <v>13</v>
  </rv>
  <rv s="7">
    <fb>66.64</fb>
    <v>13</v>
  </rv>
  <rv s="7">
    <fb>64.680000000000007</fb>
    <v>13</v>
  </rv>
  <rv s="7">
    <fb>66.42</fb>
    <v>13</v>
  </rv>
  <rv s="7">
    <fb>64.17</fb>
    <v>13</v>
  </rv>
  <rv s="7">
    <fb>61.24</fb>
    <v>13</v>
  </rv>
  <rv s="7">
    <fb>61.31</fb>
    <v>13</v>
  </rv>
  <rv s="7">
    <fb>61.37</fb>
    <v>13</v>
  </rv>
  <rv s="7">
    <fb>63.38</fb>
    <v>13</v>
  </rv>
  <rv s="7">
    <fb>63.67</fb>
    <v>13</v>
  </rv>
  <rv s="7">
    <fb>63.99</fb>
    <v>13</v>
  </rv>
  <rv s="7">
    <fb>67.33</fb>
    <v>13</v>
  </rv>
  <rv s="7">
    <fb>66.739999999999995</fb>
    <v>13</v>
  </rv>
  <rv s="7">
    <fb>68.64</fb>
    <v>13</v>
  </rv>
  <rv s="7">
    <fb>67.459999999999994</fb>
    <v>13</v>
  </rv>
  <rv s="7">
    <fb>67.83</fb>
    <v>13</v>
  </rv>
  <rv s="7">
    <fb>67.540000000000006</fb>
    <v>13</v>
  </rv>
  <rv s="7">
    <fb>65.239999999999995</fb>
    <v>13</v>
  </rv>
  <rv s="7">
    <fb>66.52</fb>
    <v>13</v>
  </rv>
  <rv s="7">
    <fb>66.97</fb>
    <v>13</v>
  </rv>
  <rv s="7">
    <fb>67.13</fb>
    <v>13</v>
  </rv>
  <rv s="7">
    <fb>65.94</fb>
    <v>13</v>
  </rv>
  <rv s="7">
    <fb>65.06</fb>
    <v>13</v>
  </rv>
  <rv s="7">
    <fb>67.02</fb>
    <v>13</v>
  </rv>
  <rv s="7">
    <fb>65.709999999999994</fb>
    <v>13</v>
  </rv>
  <rv s="7">
    <fb>68.27</fb>
    <v>13</v>
  </rv>
  <rv s="7">
    <fb>70.02</fb>
    <v>13</v>
  </rv>
  <rv s="7">
    <fb>69.7</fb>
    <v>13</v>
  </rv>
  <rv s="7">
    <fb>71.650000000000006</fb>
    <v>13</v>
  </rv>
  <rv s="7">
    <fb>71.790000000000006</fb>
    <v>13</v>
  </rv>
  <rv s="7">
    <fb>73.680000000000007</fb>
    <v>13</v>
  </rv>
  <rv s="7">
    <fb>73.91</fb>
    <v>13</v>
  </rv>
  <rv s="7">
    <fb>72.819999999999993</fb>
    <v>13</v>
  </rv>
  <rv s="7">
    <fb>71.39</fb>
    <v>13</v>
  </rv>
  <rv s="7">
    <fb>72.55</fb>
    <v>13</v>
  </rv>
  <rv s="7">
    <fb>72.61</fb>
    <v>13</v>
  </rv>
  <rv s="7">
    <fb>73.22</fb>
    <v>13</v>
  </rv>
  <rv s="7">
    <fb>73.290000000000006</fb>
    <v>13</v>
  </rv>
  <rv s="7">
    <fb>72.319999999999993</fb>
    <v>13</v>
  </rv>
  <rv s="7">
    <fb>72.150000000000006</fb>
    <v>13</v>
  </rv>
  <rv s="7">
    <fb>72.69</fb>
    <v>13</v>
  </rv>
  <rv s="7">
    <fb>72.38</fb>
    <v>13</v>
  </rv>
  <rv s="7">
    <fb>77.64</fb>
    <v>13</v>
  </rv>
  <rv s="7">
    <fb>75.27</fb>
    <v>13</v>
  </rv>
  <rv s="7">
    <fb>74.56</fb>
    <v>13</v>
  </rv>
  <rv s="7">
    <fb>83.4</fb>
    <v>13</v>
  </rv>
  <rv s="7">
    <fb>87.25</fb>
    <v>13</v>
  </rv>
  <rv s="7">
    <fb>85.82</fb>
    <v>13</v>
  </rv>
  <rv s="7">
    <fb>83.42</fb>
    <v>13</v>
  </rv>
  <rv s="7">
    <fb>84.3</fb>
    <v>13</v>
  </rv>
  <rv s="7">
    <fb>90.79</fb>
    <v>13</v>
  </rv>
  <rv s="7">
    <fb>92.42</fb>
    <v>13</v>
  </rv>
  <rv s="7">
    <fb>89.7</fb>
    <v>13</v>
  </rv>
  <rv s="7">
    <fb>92.7</fb>
    <v>13</v>
  </rv>
  <rv s="7">
    <fb>92.26</fb>
    <v>13</v>
  </rv>
  <rv s="7">
    <fb>90.75</fb>
    <v>13</v>
  </rv>
  <rv s="7">
    <fb>89.01</fb>
    <v>13</v>
  </rv>
  <rv s="7">
    <fb>88.78</fb>
    <v>13</v>
  </rv>
  <rv s="7">
    <fb>88.55</fb>
    <v>13</v>
  </rv>
  <rv s="7">
    <fb>92.78</fb>
    <v>13</v>
  </rv>
  <rv s="7">
    <fb>93.2</fb>
    <v>13</v>
  </rv>
  <rv s="7">
    <fb>98.92</fb>
    <v>13</v>
  </rv>
  <rv s="7">
    <fb>95.87</fb>
    <v>13</v>
  </rv>
  <rv s="7">
    <fb>98.25</fb>
    <v>13</v>
  </rv>
  <rv s="7">
    <fb>95.42</fb>
    <v>13</v>
  </rv>
  <rv s="7">
    <fb>94.04</fb>
    <v>13</v>
  </rv>
  <rv s="7">
    <fb>142.5</fb>
    <v>13</v>
  </rv>
  <rv s="7">
    <fb>144.61000000000001</fb>
    <v>13</v>
  </rv>
  <rv s="7">
    <fb>149.35</fb>
    <v>13</v>
  </rv>
  <rv s="7">
    <fb>151.63999999999999</fb>
    <v>13</v>
  </rv>
  <rv s="7">
    <fb>150.25</fb>
    <v>13</v>
  </rv>
  <rv s="7">
    <fb>150.71</fb>
    <v>13</v>
  </rv>
  <rv s="7">
    <fb>151.05000000000001</fb>
    <v>13</v>
  </rv>
  <rv s="7">
    <fb>152.41</fb>
    <v>13</v>
  </rv>
  <rv s="7">
    <fb>151.91</fb>
    <v>13</v>
  </rv>
  <rv s="7">
    <fb>149.77000000000001</fb>
    <v>13</v>
  </rv>
  <rv s="7">
    <fb>149.16</fb>
    <v>13</v>
  </rv>
  <rv s="7">
    <fb>149.47999999999999</fb>
    <v>13</v>
  </rv>
  <rv s="7">
    <fb>152.33000000000001</fb>
    <v>13</v>
  </rv>
  <rv s="7">
    <fb>150.66</fb>
    <v>13</v>
  </rv>
  <rv s="7">
    <fb>150.4</fb>
    <v>13</v>
  </rv>
  <rv s="7">
    <fb>149.5</fb>
    <v>13</v>
  </rv>
  <rv s="7">
    <fb>145.69999999999999</fb>
    <v>13</v>
  </rv>
  <rv s="7">
    <fb>144.5</fb>
    <v>13</v>
  </rv>
  <rv s="7">
    <fb>145.28</fb>
    <v>13</v>
  </rv>
  <rv s="7">
    <fb>147.27000000000001</fb>
    <v>13</v>
  </rv>
  <rv s="7">
    <fb>143.69</fb>
    <v>13</v>
  </rv>
  <rv s="7">
    <fb>143.12</fb>
    <v>13</v>
  </rv>
  <rv s="7">
    <fb>141.82</fb>
    <v>13</v>
  </rv>
  <rv s="7">
    <fb>142.24</fb>
    <v>13</v>
  </rv>
  <rv s="7">
    <fb>142.09</fb>
    <v>13</v>
  </rv>
  <rv s="7">
    <fb>144.91999999999999</fb>
    <v>13</v>
  </rv>
  <rv s="7">
    <fb>148.57</fb>
    <v>13</v>
  </rv>
  <rv s="7">
    <fb>149.13999999999999</fb>
    <v>13</v>
  </rv>
  <rv s="7">
    <fb>149.08000000000001</fb>
    <v>13</v>
  </rv>
  <rv s="7">
    <fb>150.12</fb>
    <v>13</v>
  </rv>
  <rv s="7">
    <fb>147.43</fb>
    <v>13</v>
  </rv>
  <rv s="7">
    <fb>147.88999999999999</fb>
    <v>13</v>
  </rv>
  <rv s="7">
    <fb>152.24</fb>
    <v>13</v>
  </rv>
  <rv s="7">
    <fb>152.35</fb>
    <v>13</v>
  </rv>
  <rv s="7">
    <fb>154.06</fb>
    <v>13</v>
  </rv>
  <rv s="7">
    <fb>151.04</fb>
    <v>13</v>
  </rv>
  <rv s="7">
    <fb>151.01</fb>
    <v>13</v>
  </rv>
  <rv s="7">
    <fb>154.46</fb>
    <v>13</v>
  </rv>
  <rv s="7">
    <fb>155.44</fb>
    <v>13</v>
  </rv>
  <rv s="7">
    <fb>155.43</fb>
    <v>13</v>
  </rv>
  <rv s="7">
    <fb>154.66</fb>
    <v>13</v>
  </rv>
  <rv s="7">
    <fb>154.44999999999999</fb>
    <v>13</v>
  </rv>
  <rv s="7">
    <fb>152.16</fb>
    <v>13</v>
  </rv>
  <rv s="7">
    <fb>152.34</fb>
    <v>13</v>
  </rv>
  <rv s="7">
    <fb>152.01</fb>
    <v>13</v>
  </rv>
  <rv s="7">
    <fb>152.81</fb>
    <v>13</v>
  </rv>
  <rv s="7">
    <fb>148.88</fb>
    <v>13</v>
  </rv>
  <rv s="7">
    <fb>149.59</fb>
    <v>13</v>
  </rv>
  <rv s="7">
    <fb>148.33000000000001</fb>
    <v>13</v>
  </rv>
  <rv s="7">
    <fb>149.37</fb>
    <v>13</v>
  </rv>
  <rv s="7">
    <fb>149.88</fb>
    <v>13</v>
  </rv>
  <rv s="7">
    <fb>152</fb>
    <v>13</v>
  </rv>
  <rv s="7">
    <fb>151.88999999999999</fb>
    <v>13</v>
  </rv>
  <rv s="7">
    <fb>153.88999999999999</fb>
    <v>13</v>
  </rv>
  <rv s="7">
    <fb>155.69999999999999</fb>
    <v>13</v>
  </rv>
  <rv s="7">
    <fb>155.55000000000001</fb>
    <v>13</v>
  </rv>
  <rv s="7">
    <fb>155.41</fb>
    <v>13</v>
  </rv>
  <rv s="7">
    <fb>156.62</fb>
    <v>13</v>
  </rv>
  <rv s="7">
    <fb>154.55000000000001</fb>
    <v>13</v>
  </rv>
  <rv s="7">
    <fb>156.47</fb>
    <v>13</v>
  </rv>
  <rv s="7">
    <fb>155.27000000000001</fb>
    <v>13</v>
  </rv>
  <rv s="7">
    <fb>156.35</fb>
    <v>13</v>
  </rv>
  <rv s="7">
    <fb>157.74</fb>
    <v>13</v>
  </rv>
  <rv s="7">
    <fb>159.08000000000001</fb>
    <v>13</v>
  </rv>
  <rv s="7">
    <fb>160.44</fb>
    <v>13</v>
  </rv>
  <rv s="7">
    <fb>160.69</fb>
    <v>13</v>
  </rv>
  <rv s="7">
    <fb>161.6</fb>
    <v>13</v>
  </rv>
  <rv s="7">
    <fb>161.27000000000001</fb>
    <v>13</v>
  </rv>
  <rv s="7">
    <fb>162</fb>
    <v>13</v>
  </rv>
  <rv s="7">
    <fb>161.88999999999999</fb>
    <v>13</v>
  </rv>
  <rv s="7">
    <fb>157.59</fb>
    <v>13</v>
  </rv>
  <rv s="7">
    <fb>157.57</fb>
    <v>13</v>
  </rv>
  <rv s="7">
    <fb>160</fb>
    <v>13</v>
  </rv>
  <rv s="7">
    <fb>161.91999999999999</fb>
    <v>13</v>
  </rv>
  <rv s="7">
    <fb>163.57</fb>
    <v>13</v>
  </rv>
  <rv s="7">
    <fb>165.28</fb>
    <v>13</v>
  </rv>
  <rv s="7">
    <fb>165.89</fb>
    <v>13</v>
  </rv>
  <rv s="7">
    <fb>160.72999999999999</fb>
    <v>13</v>
  </rv>
  <rv s="7">
    <fb>162.30000000000001</fb>
    <v>13</v>
  </rv>
  <rv s="7">
    <fb>162.54</fb>
    <v>13</v>
  </rv>
  <rv s="7">
    <fb>165.45</fb>
    <v>13</v>
  </rv>
  <rv s="7">
    <fb>165.82</fb>
    <v>13</v>
  </rv>
  <rv s="7">
    <fb>163.61000000000001</fb>
    <v>13</v>
  </rv>
  <rv s="7">
    <fb>163.05000000000001</fb>
    <v>13</v>
  </rv>
  <rv s="7">
    <fb>161.09</fb>
    <v>13</v>
  </rv>
  <rv s="7">
    <fb>161.13999999999999</fb>
    <v>13</v>
  </rv>
  <rv s="7">
    <fb>159.97</fb>
    <v>13</v>
  </rv>
  <rv s="7">
    <fb>156.94</fb>
    <v>13</v>
  </rv>
  <rv s="7">
    <fb>159.04</fb>
    <v>13</v>
  </rv>
  <rv s="7">
    <fb>156.9</fb>
    <v>13</v>
  </rv>
  <rv s="7">
    <fb>155.93</fb>
    <v>13</v>
  </rv>
  <rv s="7">
    <fb>156.08000000000001</fb>
    <v>13</v>
  </rv>
  <rv s="7">
    <fb>156.49</fb>
    <v>13</v>
  </rv>
  <rv s="7">
    <fb>154.22</fb>
    <v>13</v>
  </rv>
  <rv s="7">
    <fb>152.84</fb>
    <v>13</v>
  </rv>
  <rv s="7">
    <fb>152.57</fb>
    <v>13</v>
  </rv>
  <rv s="7">
    <fb>153.19</fb>
    <v>13</v>
  </rv>
  <rv s="7">
    <fb>153.33000000000001</fb>
    <v>13</v>
  </rv>
  <rv s="7">
    <fb>159.31</fb>
    <v>13</v>
  </rv>
  <rv s="7">
    <fb>158.46</fb>
    <v>13</v>
  </rv>
  <rv s="7">
    <fb>156.32</fb>
    <v>13</v>
  </rv>
  <rv s="7">
    <fb>156.41999999999999</fb>
    <v>13</v>
  </rv>
  <rv s="7">
    <fb>156.52000000000001</fb>
    <v>13</v>
  </rv>
  <rv s="7">
    <fb>156.71</fb>
    <v>13</v>
  </rv>
  <rv s="7">
    <fb>154.31</fb>
    <v>13</v>
  </rv>
  <rv s="7">
    <fb>154.33000000000001</fb>
    <v>13</v>
  </rv>
  <rv s="7">
    <fb>152.97999999999999</fb>
    <v>13</v>
  </rv>
  <rv s="7">
    <fb>155.13</fb>
    <v>13</v>
  </rv>
  <rv s="7">
    <fb>155.26</fb>
    <v>13</v>
  </rv>
  <rv s="7">
    <fb>155.59</fb>
    <v>13</v>
  </rv>
  <rv s="7">
    <fb>158.04</fb>
    <v>13</v>
  </rv>
  <rv s="7">
    <fb>157.77000000000001</fb>
    <v>13</v>
  </rv>
  <rv s="7">
    <fb>161.97</fb>
    <v>13</v>
  </rv>
  <rv s="7">
    <fb>159.15</fb>
    <v>13</v>
  </rv>
  <rv s="7">
    <fb>156.99</fb>
    <v>13</v>
  </rv>
  <rv s="7">
    <fb>155.07</fb>
    <v>13</v>
  </rv>
  <rv s="7">
    <fb>157.84</fb>
    <v>13</v>
  </rv>
  <rv s="7">
    <fb>159.57</fb>
    <v>13</v>
  </rv>
  <rv s="7">
    <fb>160.47</fb>
    <v>13</v>
  </rv>
  <rv s="7">
    <fb>152.62</fb>
    <v>13</v>
  </rv>
  <rv s="7">
    <fb>148.55000000000001</fb>
    <v>13</v>
  </rv>
  <rv s="7">
    <fb>144.66</fb>
    <v>13</v>
  </rv>
  <rv s="7">
    <fb>143.22999999999999</fb>
    <v>13</v>
  </rv>
  <rv s="7">
    <fb>142.41</fb>
    <v>13</v>
  </rv>
  <rv s="7">
    <fb>144.49</fb>
    <v>13</v>
  </rv>
  <rv s="7">
    <fb>145.02000000000001</fb>
    <v>13</v>
  </rv>
  <rv s="7">
    <fb>144.15</fb>
    <v>13</v>
  </rv>
  <rv s="7">
    <fb>144.66999999999999</fb>
    <v>13</v>
  </rv>
  <rv s="7">
    <fb>146.80000000000001</fb>
    <v>13</v>
  </rv>
  <rv s="7">
    <fb>146.83000000000001</fb>
    <v>13</v>
  </rv>
  <rv s="7">
    <fb>144.69</fb>
    <v>13</v>
  </rv>
  <rv s="7">
    <fb>145.72999999999999</fb>
    <v>13</v>
  </rv>
  <rv s="7">
    <fb>147.62</fb>
    <v>13</v>
  </rv>
  <rv s="7">
    <fb>148.5</fb>
    <v>13</v>
  </rv>
  <rv s="7">
    <fb>146.94999999999999</fb>
    <v>13</v>
  </rv>
  <rv s="7">
    <fb>146</fb>
    <v>13</v>
  </rv>
  <rv s="7">
    <fb>142.07</fb>
    <v>13</v>
  </rv>
  <rv s="7">
    <fb>138.56</fb>
    <v>13</v>
  </rv>
  <rv s="7">
    <fb>140.30000000000001</fb>
    <v>13</v>
  </rv>
  <rv s="7">
    <fb>138.22999999999999</fb>
    <v>13</v>
  </rv>
  <rv s="7">
    <fb>137.88</fb>
    <v>13</v>
  </rv>
  <rv s="7">
    <fb>139.21</fb>
    <v>13</v>
  </rv>
  <rv s="7">
    <fb>140.61000000000001</fb>
    <v>13</v>
  </rv>
  <rv s="7">
    <fb>145.68</fb>
    <v>13</v>
  </rv>
  <rv s="7">
    <fb>147.54</fb>
    <v>13</v>
  </rv>
  <rv s="7">
    <fb>147.44999999999999</fb>
    <v>13</v>
  </rv>
  <rv s="7">
    <fb>143.97</fb>
    <v>13</v>
  </rv>
  <rv s="7">
    <fb>141.99</fb>
    <v>13</v>
  </rv>
  <rv s="7">
    <fb>149.69999999999999</fb>
    <v>13</v>
  </rv>
  <rv s="7">
    <fb>150.94999999999999</fb>
    <v>13</v>
  </rv>
  <rv s="7">
    <fb>151.25</fb>
    <v>13</v>
  </rv>
  <rv s="7">
    <fb>150.74</fb>
    <v>13</v>
  </rv>
  <rv s="7">
    <fb>151.12</fb>
    <v>13</v>
  </rv>
  <rv s="7">
    <fb>148.75</fb>
    <v>13</v>
  </rv>
  <rv s="7">
    <fb>149.65</fb>
    <v>13</v>
  </rv>
  <rv s="7">
    <fb>150.62</fb>
    <v>13</v>
  </rv>
  <rv s="7">
    <fb>151.41999999999999</fb>
    <v>13</v>
  </rv>
  <rv s="7">
    <fb>151.78</fb>
    <v>13</v>
  </rv>
  <rv s="7">
    <fb>147.72999999999999</fb>
    <v>13</v>
  </rv>
  <rv s="7">
    <fb>151.19999999999999</fb>
    <v>13</v>
  </rv>
  <rv s="7">
    <fb>150.75</fb>
    <v>13</v>
  </rv>
  <rv s="7">
    <fb>150.88</fb>
    <v>13</v>
  </rv>
  <rv s="7">
    <fb>150.47999999999999</fb>
    <v>13</v>
  </rv>
  <rv s="7">
    <fb>150.44999999999999</fb>
    <v>13</v>
  </rv>
  <rv s="7">
    <fb>150.81</fb>
    <v>13</v>
  </rv>
  <rv s="7">
    <fb>150.54</fb>
    <v>13</v>
  </rv>
  <rv s="7">
    <fb>148.52000000000001</fb>
    <v>13</v>
  </rv>
  <rv s="7">
    <fb>148.05000000000001</fb>
    <v>13</v>
  </rv>
  <rv s="7">
    <fb>148.82</fb>
    <v>13</v>
  </rv>
  <rv s="7">
    <fb>153.07</fb>
    <v>13</v>
  </rv>
  <rv s="7">
    <fb>153.97</fb>
    <v>13</v>
  </rv>
  <rv s="7">
    <fb>157.72</fb>
    <v>13</v>
  </rv>
  <rv s="7">
    <fb>156.77000000000001</fb>
    <v>13</v>
  </rv>
  <rv s="7">
    <fb>156.93</fb>
    <v>13</v>
  </rv>
  <rv s="7">
    <fb>155.29</fb>
    <v>13</v>
  </rv>
  <rv s="7">
    <fb>158.72</fb>
    <v>13</v>
  </rv>
  <rv s="7">
    <fb>161.80000000000001</fb>
    <v>13</v>
  </rv>
  <rv s="7">
    <fb>161.41999999999999</fb>
    <v>13</v>
  </rv>
  <rv s="7">
    <fb>160.76</fb>
    <v>13</v>
  </rv>
  <rv s="7">
    <fb>159.6</fb>
    <v>13</v>
  </rv>
  <rv s="7">
    <fb>161.33000000000001</fb>
    <v>13</v>
  </rv>
  <rv s="7">
    <fb>161.63</fb>
    <v>13</v>
  </rv>
  <rv s="7">
    <fb>162.36000000000001</fb>
    <v>13</v>
  </rv>
  <rv s="7">
    <fb>160.36000000000001</fb>
    <v>13</v>
  </rv>
  <rv s="7">
    <fb>162.53</fb>
    <v>13</v>
  </rv>
  <rv s="7">
    <fb>162.11000000000001</fb>
    <v>13</v>
  </rv>
  <rv s="7">
    <fb>159.33000000000001</fb>
    <v>13</v>
  </rv>
  <rv s="7">
    <fb>155.24</fb>
    <v>13</v>
  </rv>
  <rv s="7">
    <fb>157.08000000000001</fb>
    <v>13</v>
  </rv>
  <rv s="7">
    <fb>157</fb>
    <v>13</v>
  </rv>
  <rv s="7">
    <fb>49.33</fb>
    <v>13</v>
  </rv>
  <rv s="7">
    <fb>49.69</fb>
    <v>13</v>
  </rv>
  <rv s="7">
    <fb>49.44</fb>
    <v>13</v>
  </rv>
  <rv s="7">
    <fb>49.87</fb>
    <v>13</v>
  </rv>
  <rv s="7">
    <fb>50.24</fb>
    <v>13</v>
  </rv>
  <rv s="7">
    <fb>50.18</fb>
    <v>13</v>
  </rv>
  <rv s="7">
    <fb>49.8</fb>
    <v>13</v>
  </rv>
  <rv s="7">
    <fb>49.7</fb>
    <v>13</v>
  </rv>
  <rv s="7">
    <fb>50.09</fb>
    <v>13</v>
  </rv>
  <rv s="7">
    <fb>50.28</fb>
    <v>13</v>
  </rv>
  <rv s="7">
    <fb>50.44</fb>
    <v>13</v>
  </rv>
  <rv s="7">
    <fb>50.48</fb>
    <v>13</v>
  </rv>
  <rv s="7">
    <fb>50.52</fb>
    <v>13</v>
  </rv>
  <rv s="7">
    <fb>50.51</fb>
    <v>13</v>
  </rv>
  <rv s="7">
    <fb>50.08</fb>
    <v>13</v>
  </rv>
  <rv s="7">
    <fb>50.46</fb>
    <v>13</v>
  </rv>
  <rv s="7">
    <fb>49.91</fb>
    <v>13</v>
  </rv>
  <rv s="7">
    <fb>50.34</fb>
    <v>13</v>
  </rv>
  <rv s="7">
    <fb>50.59</fb>
    <v>13</v>
  </rv>
  <rv s="7">
    <fb>50.3</fb>
    <v>13</v>
  </rv>
  <rv s="7">
    <fb>50.75</fb>
    <v>13</v>
  </rv>
  <rv s="7">
    <fb>51.27</fb>
    <v>13</v>
  </rv>
  <rv s="7">
    <fb>51.57</fb>
    <v>13</v>
  </rv>
  <rv s="7">
    <fb>51.76</fb>
    <v>13</v>
  </rv>
  <rv s="7">
    <fb>51.31</fb>
    <v>13</v>
  </rv>
  <rv s="7">
    <fb>52.33</fb>
    <v>13</v>
  </rv>
  <rv s="7">
    <fb>52.14</fb>
    <v>13</v>
  </rv>
  <rv s="7">
    <fb>52.29</fb>
    <v>13</v>
  </rv>
  <rv s="7">
    <fb>52.24</fb>
    <v>13</v>
  </rv>
  <rv s="7">
    <fb>49.51</fb>
    <v>13</v>
  </rv>
  <rv s="7">
    <fb>49.98</fb>
    <v>13</v>
  </rv>
  <rv s="7">
    <fb>49.77</fb>
    <v>13</v>
  </rv>
  <rv s="7">
    <fb>49.95</fb>
    <v>13</v>
  </rv>
  <rv s="7">
    <fb>50.13</fb>
    <v>13</v>
  </rv>
  <rv s="7">
    <fb>49.99</fb>
    <v>13</v>
  </rv>
  <rv s="7">
    <fb>49.64</fb>
    <v>13</v>
  </rv>
  <rv s="7">
    <fb>49.06</fb>
    <v>13</v>
  </rv>
  <rv s="7">
    <fb>48.44</fb>
    <v>13</v>
  </rv>
  <rv s="7">
    <fb>48.28</fb>
    <v>13</v>
  </rv>
  <rv s="7">
    <fb>48.48</fb>
    <v>13</v>
  </rv>
  <rv s="7">
    <fb>48.57</fb>
    <v>13</v>
  </rv>
  <rv s="7">
    <fb>48.86</fb>
    <v>13</v>
  </rv>
  <rv s="7">
    <fb>48.4</fb>
    <v>13</v>
  </rv>
  <rv s="7">
    <fb>48.31</fb>
    <v>13</v>
  </rv>
  <rv s="7">
    <fb>48.06</fb>
    <v>13</v>
  </rv>
  <rv s="7">
    <fb>48.37</fb>
    <v>13</v>
  </rv>
  <rv s="7">
    <fb>49.13</fb>
    <v>13</v>
  </rv>
  <rv s="7">
    <fb>48.95</fb>
    <v>13</v>
  </rv>
  <rv s="7">
    <fb>49.17</fb>
    <v>13</v>
  </rv>
  <rv s="7">
    <fb>48.9</fb>
    <v>13</v>
  </rv>
  <rv s="7">
    <fb>49.5</fb>
    <v>13</v>
  </rv>
  <rv s="7">
    <fb>50.22</fb>
    <v>13</v>
  </rv>
  <rv s="7">
    <fb>50.07</fb>
    <v>13</v>
  </rv>
  <rv s="7">
    <fb>50.11</fb>
    <v>13</v>
  </rv>
  <rv s="7">
    <fb>49.79</fb>
    <v>13</v>
  </rv>
  <rv s="7">
    <fb>48.93</fb>
    <v>13</v>
  </rv>
  <rv s="7">
    <fb>49.27</fb>
    <v>13</v>
  </rv>
  <rv s="7">
    <fb>49.14</fb>
    <v>13</v>
  </rv>
  <rv s="7">
    <fb>49.55</fb>
    <v>13</v>
  </rv>
  <rv s="7">
    <fb>49.88</fb>
    <v>13</v>
  </rv>
  <rv s="7">
    <fb>49.78</fb>
    <v>13</v>
  </rv>
  <rv s="7">
    <fb>49.68</fb>
    <v>13</v>
  </rv>
  <rv s="7">
    <fb>50.04</fb>
    <v>13</v>
  </rv>
  <rv s="7">
    <fb>49.36</fb>
    <v>13</v>
  </rv>
  <rv s="7">
    <fb>48.74</fb>
    <v>13</v>
  </rv>
  <rv s="7">
    <fb>48.11</fb>
    <v>13</v>
  </rv>
  <rv s="7">
    <fb>48.55</fb>
    <v>13</v>
  </rv>
  <rv s="7">
    <fb>48.24</fb>
    <v>13</v>
  </rv>
  <rv s="7">
    <fb>50.01</fb>
    <v>13</v>
  </rv>
  <rv s="7">
    <fb>49.21</fb>
    <v>13</v>
  </rv>
  <rv s="7">
    <fb>49.53</fb>
    <v>13</v>
  </rv>
  <rv s="7">
    <fb>48.49</fb>
    <v>13</v>
  </rv>
  <rv s="7">
    <fb>47.92</fb>
    <v>13</v>
  </rv>
  <rv s="7">
    <fb>47.79</fb>
    <v>13</v>
  </rv>
  <rv s="7">
    <fb>48.32</fb>
    <v>13</v>
  </rv>
  <rv s="7">
    <fb>48.14</fb>
    <v>13</v>
  </rv>
  <rv s="7">
    <fb>48.35</fb>
    <v>13</v>
  </rv>
  <rv s="7">
    <fb>48.1</fb>
    <v>13</v>
  </rv>
  <rv s="7">
    <fb>47.86</fb>
    <v>13</v>
  </rv>
  <rv s="7">
    <fb>47.78</fb>
    <v>13</v>
  </rv>
  <rv s="7">
    <fb>46.98</fb>
    <v>13</v>
  </rv>
  <rv s="7">
    <fb>46.84</fb>
    <v>13</v>
  </rv>
  <rv s="7">
    <fb>46.79</fb>
    <v>13</v>
  </rv>
  <rv s="7">
    <fb>47.12</fb>
    <v>13</v>
  </rv>
  <rv s="7">
    <fb>47.11</fb>
    <v>13</v>
  </rv>
  <rv s="7">
    <fb>47.28</fb>
    <v>13</v>
  </rv>
  <rv s="7">
    <fb>48</fb>
    <v>13</v>
  </rv>
  <rv s="7">
    <fb>48.68</fb>
    <v>13</v>
  </rv>
  <rv s="7">
    <fb>49.67</fb>
    <v>13</v>
  </rv>
  <rv s="7">
    <fb>48.34</fb>
    <v>13</v>
  </rv>
  <rv s="7">
    <fb>48.17</fb>
    <v>13</v>
  </rv>
  <rv s="7">
    <fb>47.13</fb>
    <v>13</v>
  </rv>
  <rv s="7">
    <fb>46.94</fb>
    <v>13</v>
  </rv>
  <rv s="7">
    <fb>47.43</fb>
    <v>13</v>
  </rv>
  <rv s="7">
    <fb>46.6</fb>
    <v>13</v>
  </rv>
  <rv s="7">
    <fb>46.42</fb>
    <v>13</v>
  </rv>
  <rv s="7">
    <fb>46.28</fb>
    <v>13</v>
  </rv>
  <rv s="7">
    <fb>46.12</fb>
    <v>13</v>
  </rv>
  <rv s="7">
    <fb>46.5</fb>
    <v>13</v>
  </rv>
  <rv s="7">
    <fb>46.65</fb>
    <v>13</v>
  </rv>
  <rv s="7">
    <fb>47.42</fb>
    <v>13</v>
  </rv>
  <rv s="7">
    <fb>46.02</fb>
    <v>13</v>
  </rv>
  <rv s="7">
    <fb>46.23</fb>
    <v>13</v>
  </rv>
  <rv s="7">
    <fb>45.84</fb>
    <v>13</v>
  </rv>
  <rv s="7">
    <fb>45.85</fb>
    <v>13</v>
  </rv>
  <rv s="7">
    <fb>45.77</fb>
    <v>13</v>
  </rv>
  <rv s="7">
    <fb>45.62</fb>
    <v>13</v>
  </rv>
  <rv s="7">
    <fb>45.52</fb>
    <v>13</v>
  </rv>
  <rv s="7">
    <fb>45.68</fb>
    <v>13</v>
  </rv>
  <rv s="7">
    <fb>45.69</fb>
    <v>13</v>
  </rv>
  <rv s="7">
    <fb>45.97</fb>
    <v>13</v>
  </rv>
  <rv s="7">
    <fb>47.29</fb>
    <v>13</v>
  </rv>
  <rv s="7">
    <fb>47.38</fb>
    <v>13</v>
  </rv>
  <rv s="7">
    <fb>46.86</fb>
    <v>13</v>
  </rv>
  <rv s="7">
    <fb>47.45</fb>
    <v>13</v>
  </rv>
  <rv s="7">
    <fb>47.52</fb>
    <v>13</v>
  </rv>
  <rv s="7">
    <fb>47.09</fb>
    <v>13</v>
  </rv>
  <rv s="7">
    <fb>45.8</fb>
    <v>13</v>
  </rv>
  <rv s="7">
    <fb>46.27</fb>
    <v>13</v>
  </rv>
  <rv s="7">
    <fb>46.76</fb>
    <v>13</v>
  </rv>
  <rv s="7">
    <fb>47.4</fb>
    <v>13</v>
  </rv>
  <rv s="7">
    <fb>48.52</fb>
    <v>13</v>
  </rv>
  <rv s="7">
    <fb>48.04</fb>
    <v>13</v>
  </rv>
  <rv s="7">
    <fb>47.32</fb>
    <v>13</v>
  </rv>
  <rv s="7">
    <fb>46.36</fb>
    <v>13</v>
  </rv>
  <rv s="7">
    <fb>46.85</fb>
    <v>13</v>
  </rv>
  <rv s="7">
    <fb>47.24</fb>
    <v>13</v>
  </rv>
  <rv s="7">
    <fb>47.88</fb>
    <v>13</v>
  </rv>
  <rv s="7">
    <fb>47.99</fb>
    <v>13</v>
  </rv>
  <rv s="7">
    <fb>48.45</fb>
    <v>13</v>
  </rv>
  <rv s="7">
    <fb>47.39</fb>
    <v>13</v>
  </rv>
  <rv s="7">
    <fb>46.66</fb>
    <v>13</v>
  </rv>
  <rv s="7">
    <fb>44.74</fb>
    <v>13</v>
  </rv>
  <rv s="7">
    <fb>45.16</fb>
    <v>13</v>
  </rv>
  <rv s="7">
    <fb>45.12</fb>
    <v>13</v>
  </rv>
  <rv s="7">
    <fb>45.83</fb>
    <v>13</v>
  </rv>
  <rv s="7">
    <fb>45.47</fb>
    <v>13</v>
  </rv>
  <rv s="7">
    <fb>44.86</fb>
    <v>13</v>
  </rv>
  <rv s="7">
    <fb>45.37</fb>
    <v>13</v>
  </rv>
  <rv s="7">
    <fb>45.44</fb>
    <v>13</v>
  </rv>
  <rv s="7">
    <fb>48.53</fb>
    <v>13</v>
  </rv>
  <rv s="7">
    <fb>49.46</fb>
    <v>13</v>
  </rv>
  <rv s="7">
    <fb>50.45</fb>
    <v>13</v>
  </rv>
  <rv s="7">
    <fb>50.74</fb>
    <v>13</v>
  </rv>
  <rv s="7">
    <fb>50.79</fb>
    <v>13</v>
  </rv>
  <rv s="7">
    <fb>50.71</fb>
    <v>13</v>
  </rv>
  <rv s="7">
    <fb>49.85</fb>
    <v>13</v>
  </rv>
  <rv s="7">
    <fb>50.39</fb>
    <v>13</v>
  </rv>
  <rv s="7">
    <fb>50.54</fb>
    <v>13</v>
  </rv>
  <rv s="7">
    <fb>50.06</fb>
    <v>13</v>
  </rv>
  <rv s="7">
    <fb>48.5</fb>
    <v>13</v>
  </rv>
  <rv s="7">
    <fb>48.7</fb>
    <v>13</v>
  </rv>
  <rv s="7">
    <fb>48.79</fb>
    <v>13</v>
  </rv>
  <rv s="7">
    <fb>49.11</fb>
    <v>13</v>
  </rv>
  <rv s="7">
    <fb>49.61</fb>
    <v>13</v>
  </rv>
  <rv s="7">
    <fb>51.03</fb>
    <v>13</v>
  </rv>
  <rv s="7">
    <fb>50.61</fb>
    <v>13</v>
  </rv>
  <rv s="7">
    <fb>50.57</fb>
    <v>13</v>
  </rv>
  <rv s="7">
    <fb>51.44</fb>
    <v>13</v>
  </rv>
  <rv s="7">
    <fb>51.97</fb>
    <v>13</v>
  </rv>
  <rv s="7">
    <fb>52.19</fb>
    <v>13</v>
  </rv>
  <rv s="7">
    <fb>52.52</fb>
    <v>13</v>
  </rv>
  <rv s="7">
    <fb>52.65</fb>
    <v>13</v>
  </rv>
  <rv s="7">
    <fb>52.85</fb>
    <v>13</v>
  </rv>
  <rv s="7">
    <fb>53.02</fb>
    <v>13</v>
  </rv>
  <rv s="7">
    <fb>53.22</fb>
    <v>13</v>
  </rv>
  <rv s="7">
    <fb>52.74</fb>
    <v>13</v>
  </rv>
  <rv s="7">
    <fb>52.62</fb>
    <v>13</v>
  </rv>
  <rv s="7">
    <fb>52.43</fb>
    <v>13</v>
  </rv>
  <rv s="7">
    <fb>52.75</fb>
    <v>13</v>
  </rv>
  <rv s="7">
    <fb>52.51</fb>
    <v>13</v>
  </rv>
  <rv s="7">
    <fb>52.73</fb>
    <v>13</v>
  </rv>
  <rv s="7">
    <fb>53.56</fb>
    <v>13</v>
  </rv>
  <rv s="7">
    <fb>53.54</fb>
    <v>13</v>
  </rv>
  <rv s="7">
    <fb>54.25</fb>
    <v>13</v>
  </rv>
  <rv s="7">
    <fb>54.27</fb>
    <v>13</v>
  </rv>
  <rv s="7">
    <fb>54.08</fb>
    <v>13</v>
  </rv>
  <rv s="7">
    <fb>56.38</fb>
    <v>13</v>
  </rv>
  <rv s="7">
    <fb>56.4</fb>
    <v>13</v>
  </rv>
  <rv s="7">
    <fb>56.76</fb>
    <v>13</v>
  </rv>
  <rv s="7">
    <fb>56.59</fb>
    <v>13</v>
  </rv>
  <rv s="7">
    <fb>56.6</fb>
    <v>13</v>
  </rv>
  <rv s="7">
    <fb>56.28</fb>
    <v>13</v>
  </rv>
  <rv s="7">
    <fb>55.96</fb>
    <v>13</v>
  </rv>
  <rv s="7">
    <fb>55.74</fb>
    <v>13</v>
  </rv>
  <rv s="7">
    <fb>55.28</fb>
    <v>13</v>
  </rv>
  <rv s="7">
    <fb>55.68</fb>
    <v>13</v>
  </rv>
  <rv s="7">
    <fb>55.59</fb>
    <v>13</v>
  </rv>
  <rv s="7">
    <fb>54.77</fb>
    <v>13</v>
  </rv>
  <rv s="7">
    <fb>55.5</fb>
    <v>13</v>
  </rv>
  <rv s="7">
    <fb>55.83</fb>
    <v>13</v>
  </rv>
  <rv s="7">
    <fb>56.16</fb>
    <v>13</v>
  </rv>
  <rv s="7">
    <fb>57.87</fb>
    <v>13</v>
  </rv>
  <rv s="7">
    <fb>58.08</fb>
    <v>13</v>
  </rv>
  <rv s="7">
    <fb>58.06</fb>
    <v>13</v>
  </rv>
  <rv s="7">
    <fb>58.63</fb>
    <v>13</v>
  </rv>
  <rv s="7">
    <fb>58.71</fb>
    <v>13</v>
  </rv>
  <rv s="7">
    <fb>59.18</fb>
    <v>13</v>
  </rv>
  <rv s="7">
    <fb>57.92</fb>
    <v>13</v>
  </rv>
  <rv s="7">
    <fb>57.46</fb>
    <v>13</v>
  </rv>
  <rv s="7">
    <fb>57.31</fb>
    <v>13</v>
  </rv>
  <rv s="7">
    <fb>57.01</fb>
    <v>13</v>
  </rv>
  <rv s="7">
    <fb>57.5</fb>
    <v>13</v>
  </rv>
  <rv s="7">
    <fb>57.56</fb>
    <v>13</v>
  </rv>
  <rv s="7">
    <fb>58.55</fb>
    <v>13</v>
  </rv>
  <rv s="7">
    <fb>58.74</fb>
    <v>13</v>
  </rv>
  <rv s="7">
    <fb>59.59</fb>
    <v>13</v>
  </rv>
  <rv s="7">
    <fb>59.29</fb>
    <v>13</v>
  </rv>
  <rv s="7">
    <fb>59.21</fb>
    <v>13</v>
  </rv>
  <rv s="7">
    <fb>59.43</fb>
    <v>13</v>
  </rv>
  <rv s="7">
    <fb>59.48</fb>
    <v>13</v>
  </rv>
  <rv s="7">
    <fb>59.62</fb>
    <v>13</v>
  </rv>
  <rv s="7">
    <fb>60.02</fb>
    <v>13</v>
  </rv>
  <rv s="7">
    <fb>59.89</fb>
    <v>13</v>
  </rv>
  <rv s="7">
    <fb>58.95</fb>
    <v>13</v>
  </rv>
  <rv s="7">
    <fb>58.72</fb>
    <v>13</v>
  </rv>
  <rv s="7">
    <fb>49.34</fb>
    <v>13</v>
  </rv>
  <rv s="7">
    <fb>49.83</fb>
    <v>13</v>
  </rv>
  <rv s="7">
    <fb>49.66</fb>
    <v>13</v>
  </rv>
  <rv s="7">
    <fb>50.93</fb>
    <v>13</v>
  </rv>
  <rv s="7">
    <fb>50.6</fb>
    <v>13</v>
  </rv>
  <rv s="7">
    <fb>50.86</fb>
    <v>13</v>
  </rv>
  <rv s="7">
    <fb>51.34</fb>
    <v>13</v>
  </rv>
  <rv s="7">
    <fb>51.46</fb>
    <v>13</v>
  </rv>
  <rv s="7">
    <fb>51.52</fb>
    <v>13</v>
  </rv>
  <rv s="7">
    <fb>53.04</fb>
    <v>13</v>
  </rv>
  <rv s="7">
    <fb>53.64</fb>
    <v>13</v>
  </rv>
  <rv s="7">
    <fb>53.77</fb>
    <v>13</v>
  </rv>
  <rv s="7">
    <fb>54.33</fb>
    <v>13</v>
  </rv>
  <rv s="7">
    <fb>54.01</fb>
    <v>13</v>
  </rv>
  <rv s="7">
    <fb>53.48</fb>
    <v>13</v>
  </rv>
  <rv s="7">
    <fb>52.08</fb>
    <v>13</v>
  </rv>
  <rv s="7">
    <fb>51.87</fb>
    <v>13</v>
  </rv>
  <rv s="7">
    <fb>51.36</fb>
    <v>13</v>
  </rv>
  <rv s="7">
    <fb>51.11</fb>
    <v>13</v>
  </rv>
  <rv s="7">
    <fb>52.84</fb>
    <v>13</v>
  </rv>
  <rv s="7">
    <fb>53.3</fb>
    <v>13</v>
  </rv>
  <rv s="7">
    <fb>53.26</fb>
    <v>13</v>
  </rv>
  <rv s="7">
    <fb>53.73</fb>
    <v>13</v>
  </rv>
  <rv s="7">
    <fb>53.67</fb>
    <v>13</v>
  </rv>
  <rv s="7">
    <fb>54.11</fb>
    <v>13</v>
  </rv>
  <rv s="7">
    <fb>57.09</fb>
    <v>13</v>
  </rv>
  <rv s="7">
    <fb>56.17</fb>
    <v>13</v>
  </rv>
  <rv s="7">
    <fb>56.06</fb>
    <v>13</v>
  </rv>
  <rv s="7">
    <fb>55.54</fb>
    <v>13</v>
  </rv>
  <rv s="7">
    <fb>54.5</fb>
    <v>13</v>
  </rv>
  <rv s="7">
    <fb>54.35</fb>
    <v>13</v>
  </rv>
  <rv s="7">
    <fb>54.54</fb>
    <v>13</v>
  </rv>
  <rv s="7">
    <fb>54.29</fb>
    <v>13</v>
  </rv>
  <rv s="7">
    <fb>53.99</fb>
    <v>13</v>
  </rv>
  <rv s="7">
    <fb>53.92</fb>
    <v>13</v>
  </rv>
  <rv s="7">
    <fb>52.76</fb>
    <v>13</v>
  </rv>
  <rv s="7">
    <fb>53.98</fb>
    <v>13</v>
  </rv>
  <rv s="7">
    <fb>55.21</fb>
    <v>13</v>
  </rv>
  <rv s="7">
    <fb>54.85</fb>
    <v>13</v>
  </rv>
  <rv s="7">
    <fb>55.42</fb>
    <v>13</v>
  </rv>
  <rv s="7">
    <fb>55.33</fb>
    <v>13</v>
  </rv>
  <rv s="7">
    <fb>55.9</fb>
    <v>13</v>
  </rv>
  <rv s="7">
    <fb>55.93</fb>
    <v>13</v>
  </rv>
  <rv s="7">
    <fb>55.36</fb>
    <v>13</v>
  </rv>
  <rv s="7">
    <fb>55.71</fb>
    <v>13</v>
  </rv>
  <rv s="7">
    <fb>55.05</fb>
    <v>13</v>
  </rv>
  <rv s="7">
    <fb>55.49</fb>
    <v>13</v>
  </rv>
  <rv s="7">
    <fb>55.6</fb>
    <v>13</v>
  </rv>
  <rv s="7">
    <fb>56.14</fb>
    <v>13</v>
  </rv>
  <rv s="7">
    <fb>56.26</fb>
    <v>13</v>
  </rv>
  <rv s="7">
    <fb>57.29</fb>
    <v>13</v>
  </rv>
  <rv s="7">
    <fb>57.72</fb>
    <v>13</v>
  </rv>
  <rv s="7">
    <fb>57.51</fb>
    <v>13</v>
  </rv>
  <rv s="7">
    <fb>57.41</fb>
    <v>13</v>
  </rv>
  <rv s="7">
    <fb>57.45</fb>
    <v>13</v>
  </rv>
  <rv s="7">
    <fb>57.76</fb>
    <v>13</v>
  </rv>
  <rv s="7">
    <fb>57.61</fb>
    <v>13</v>
  </rv>
  <rv s="7">
    <fb>58.86</fb>
    <v>13</v>
  </rv>
  <rv s="7">
    <fb>60.13</fb>
    <v>13</v>
  </rv>
  <rv s="7">
    <fb>61.33</fb>
    <v>13</v>
  </rv>
  <rv s="7">
    <fb>60.82</fb>
    <v>13</v>
  </rv>
  <rv s="7">
    <fb>60.95</fb>
    <v>13</v>
  </rv>
  <rv s="7">
    <fb>61.66</fb>
    <v>13</v>
  </rv>
  <rv s="7">
    <fb>62.75</fb>
    <v>13</v>
  </rv>
  <rv s="7">
    <fb>63.24</fb>
    <v>13</v>
  </rv>
  <rv s="7">
    <fb>63.46</fb>
    <v>13</v>
  </rv>
  <rv s="7">
    <fb>62.84</fb>
    <v>13</v>
  </rv>
  <rv s="7">
    <fb>61.69</fb>
    <v>13</v>
  </rv>
  <rv s="7">
    <fb>60.91</fb>
    <v>13</v>
  </rv>
  <rv s="7">
    <fb>61.6</fb>
    <v>13</v>
  </rv>
  <rv s="7">
    <fb>61.73</fb>
    <v>13</v>
  </rv>
  <rv s="7">
    <fb>60.71</fb>
    <v>13</v>
  </rv>
  <rv s="7">
    <fb>59.68</fb>
    <v>13</v>
  </rv>
  <rv s="7">
    <fb>58.56</fb>
    <v>13</v>
  </rv>
  <rv s="7">
    <fb>57.02</fb>
    <v>13</v>
  </rv>
  <rv s="7">
    <fb>58.17</fb>
    <v>13</v>
  </rv>
  <rv s="7">
    <fb>58.32</fb>
    <v>13</v>
  </rv>
  <rv s="7">
    <fb>59.14</fb>
    <v>13</v>
  </rv>
  <rv s="7">
    <fb>62.67</fb>
    <v>13</v>
  </rv>
  <rv s="7">
    <fb>62.47</fb>
    <v>13</v>
  </rv>
  <rv s="7">
    <fb>61.79</fb>
    <v>13</v>
  </rv>
  <rv s="7">
    <fb>62.66</fb>
    <v>13</v>
  </rv>
  <rv s="7">
    <fb>62.26</fb>
    <v>13</v>
  </rv>
  <rv s="7">
    <fb>61.35</fb>
    <v>13</v>
  </rv>
  <rv s="7">
    <fb>61.54</fb>
    <v>13</v>
  </rv>
  <rv s="7">
    <fb>61.52</fb>
    <v>13</v>
  </rv>
  <rv s="7">
    <fb>62.81</fb>
    <v>13</v>
  </rv>
  <rv s="7">
    <fb>62</fb>
    <v>13</v>
  </rv>
  <rv s="7">
    <fb>63.32</fb>
    <v>13</v>
  </rv>
  <rv s="7">
    <fb>63.53</fb>
    <v>13</v>
  </rv>
  <rv s="7">
    <fb>63.4</fb>
    <v>13</v>
  </rv>
  <rv s="7">
    <fb>63.59</fb>
    <v>13</v>
  </rv>
  <rv s="7">
    <fb>64.239999999999995</fb>
    <v>13</v>
  </rv>
  <rv s="7">
    <fb>64.14</fb>
    <v>13</v>
  </rv>
  <rv s="7">
    <fb>64.069999999999993</fb>
    <v>13</v>
  </rv>
  <rv s="7">
    <fb>63.16</fb>
    <v>13</v>
  </rv>
  <rv s="7">
    <fb>64.739999999999995</fb>
    <v>13</v>
  </rv>
  <rv s="7">
    <fb>63.82</fb>
    <v>13</v>
  </rv>
  <rv s="7">
    <fb>63.02</fb>
    <v>13</v>
  </rv>
  <rv s="7">
    <fb>63.58</fb>
    <v>13</v>
  </rv>
  <rv s="7">
    <fb>62.45</fb>
    <v>13</v>
  </rv>
  <rv s="7">
    <fb>62.01</fb>
    <v>13</v>
  </rv>
  <rv s="7">
    <fb>61.93</fb>
    <v>13</v>
  </rv>
  <rv s="7">
    <fb>62.31</fb>
    <v>13</v>
  </rv>
  <rv s="7">
    <fb>61.92</fb>
    <v>13</v>
  </rv>
  <rv s="7">
    <fb>61.03</fb>
    <v>13</v>
  </rv>
  <rv s="7">
    <fb>61.77</fb>
    <v>13</v>
  </rv>
  <rv s="7">
    <fb>61.94</fb>
    <v>13</v>
  </rv>
  <rv s="7">
    <fb>61.78</fb>
    <v>13</v>
  </rv>
  <rv s="7">
    <fb>61.43</fb>
    <v>13</v>
  </rv>
  <rv s="7">
    <fb>60.01</fb>
    <v>13</v>
  </rv>
  <rv s="7">
    <fb>60.23</fb>
    <v>13</v>
  </rv>
  <rv s="7">
    <fb>59.33</fb>
    <v>13</v>
  </rv>
  <rv s="7">
    <fb>60.06</fb>
    <v>13</v>
  </rv>
  <rv s="7">
    <fb>60.78</fb>
    <v>13</v>
  </rv>
  <rv s="7">
    <fb>60.62</fb>
    <v>13</v>
  </rv>
  <rv s="7">
    <fb>59.99</fb>
    <v>13</v>
  </rv>
  <rv s="7">
    <fb>61.34</fb>
    <v>13</v>
  </rv>
  <rv s="7">
    <fb>61.25</fb>
    <v>13</v>
  </rv>
  <rv s="7">
    <fb>61.55</fb>
    <v>13</v>
  </rv>
  <rv s="7">
    <fb>63.43</fb>
    <v>13</v>
  </rv>
  <rv s="7">
    <fb>64.459999999999994</fb>
    <v>13</v>
  </rv>
  <rv s="7">
    <fb>64.03</fb>
    <v>13</v>
  </rv>
  <rv s="7">
    <fb>66.55</fb>
    <v>13</v>
  </rv>
  <rv s="7">
    <fb>66.98</fb>
    <v>13</v>
  </rv>
  <rv s="7">
    <fb>64.52</fb>
    <v>13</v>
  </rv>
  <rv s="7">
    <fb>65.14</fb>
    <v>13</v>
  </rv>
  <rv s="7">
    <fb>67.27</fb>
    <v>13</v>
  </rv>
  <rv s="7">
    <fb>67.61</fb>
    <v>13</v>
  </rv>
  <rv s="7">
    <fb>64.89</fb>
    <v>13</v>
  </rv>
  <rv s="7">
    <fb>64.5</fb>
    <v>13</v>
  </rv>
  <rv s="7">
    <fb>64.66</fb>
    <v>13</v>
  </rv>
  <rv s="7">
    <fb>63.66</fb>
    <v>13</v>
  </rv>
  <rv s="7">
    <fb>64.37</fb>
    <v>13</v>
  </rv>
  <rv s="7">
    <fb>65.180000000000007</fb>
    <v>13</v>
  </rv>
  <rv s="7">
    <fb>63.28</fb>
    <v>13</v>
  </rv>
  <rv s="7">
    <fb>58.76</fb>
    <v>13</v>
  </rv>
  <rv s="7">
    <fb>56.21</fb>
    <v>13</v>
  </rv>
  <rv s="7">
    <fb>56.56</fb>
    <v>13</v>
  </rv>
  <rv s="7">
    <fb>56.11</fb>
    <v>13</v>
  </rv>
  <rv s="7">
    <fb>58</fb>
    <v>13</v>
  </rv>
  <rv s="7">
    <fb>57.84</fb>
    <v>13</v>
  </rv>
  <rv s="7">
    <fb>58.15</fb>
    <v>13</v>
  </rv>
  <rv s="7">
    <fb>59.28</fb>
    <v>13</v>
  </rv>
  <rv s="7">
    <fb>60.52</fb>
    <v>13</v>
  </rv>
  <rv s="7">
    <fb>61.4</fb>
    <v>13</v>
  </rv>
  <rv s="7">
    <fb>62.03</fb>
    <v>13</v>
  </rv>
  <rv s="7">
    <fb>60.53</fb>
    <v>13</v>
  </rv>
  <rv s="7">
    <fb>60.42</fb>
    <v>13</v>
  </rv>
  <rv s="7">
    <fb>61.68</fb>
    <v>13</v>
  </rv>
  <rv s="7">
    <fb>62.64</fb>
    <v>13</v>
  </rv>
  <rv s="7">
    <fb>61.46</fb>
    <v>13</v>
  </rv>
  <rv s="7">
    <fb>60.96</fb>
    <v>13</v>
  </rv>
  <rv s="7">
    <fb>60.63</fb>
    <v>13</v>
  </rv>
  <rv s="7">
    <fb>59.09</fb>
    <v>13</v>
  </rv>
  <rv s="7">
    <fb>59.54</fb>
    <v>13</v>
  </rv>
  <rv s="7">
    <fb>57.95</fb>
    <v>13</v>
  </rv>
  <rv s="7">
    <fb>57.3</fb>
    <v>13</v>
  </rv>
  <rv s="7">
    <fb>57.33</fb>
    <v>13</v>
  </rv>
  <rv s="7">
    <fb>57.67</fb>
    <v>13</v>
  </rv>
  <rv s="7">
    <fb>58.39</fb>
    <v>13</v>
  </rv>
  <rv s="7">
    <fb>62.58</fb>
    <v>13</v>
  </rv>
  <rv s="7">
    <fb>61.87</fb>
    <v>13</v>
  </rv>
  <rv s="7">
    <fb>62.6</fb>
    <v>13</v>
  </rv>
  <rv s="7">
    <fb>61.81</fb>
    <v>13</v>
  </rv>
  <rv s="7">
    <fb>64.12</fb>
    <v>13</v>
  </rv>
  <rv s="7">
    <fb>63.48</fb>
    <v>13</v>
  </rv>
  <rv s="7">
    <fb>65.739999999999995</fb>
    <v>13</v>
  </rv>
  <rv s="7">
    <fb>66.010000000000005</fb>
    <v>13</v>
  </rv>
  <rv s="7">
    <fb>63.97</fb>
    <v>13</v>
  </rv>
  <rv s="7">
    <fb>62.85</fb>
    <v>13</v>
  </rv>
  <rv s="7">
    <fb>61.83</fb>
    <v>13</v>
  </rv>
  <rv s="7">
    <fb>63.56</fb>
    <v>13</v>
  </rv>
  <rv s="7">
    <fb>63.1</fb>
    <v>13</v>
  </rv>
  <rv s="7">
    <fb>63</fb>
    <v>13</v>
  </rv>
  <rv s="7">
    <fb>61.76</fb>
    <v>13</v>
  </rv>
  <rv s="7">
    <fb>64.69</fb>
    <v>13</v>
  </rv>
  <rv s="7">
    <fb>63.71</fb>
    <v>13</v>
  </rv>
  <rv s="7">
    <fb>62.35</fb>
    <v>13</v>
  </rv>
  <rv s="7">
    <fb>69.03</fb>
    <v>13</v>
  </rv>
  <rv s="7">
    <fb>68.11</fb>
    <v>13</v>
  </rv>
  <rv s="7">
    <fb>69.8</fb>
    <v>13</v>
  </rv>
  <rv s="7">
    <fb>69.02</fb>
    <v>13</v>
  </rv>
  <rv s="7">
    <fb>68.89</fb>
    <v>13</v>
  </rv>
  <rv s="7">
    <fb>68.760000000000005</fb>
    <v>13</v>
  </rv>
  <rv s="7">
    <fb>69</fb>
    <v>13</v>
  </rv>
  <rv s="7">
    <fb>68.599999999999994</fb>
    <v>13</v>
  </rv>
  <rv s="7">
    <fb>68.28</fb>
    <v>13</v>
  </rv>
  <rv s="7">
    <fb>68.95</fb>
    <v>13</v>
  </rv>
  <rv s="7">
    <fb>69.84</fb>
    <v>13</v>
  </rv>
  <rv s="7">
    <fb>70.75</fb>
    <v>13</v>
  </rv>
  <rv s="7">
    <fb>69.75</fb>
    <v>13</v>
  </rv>
  <rv s="7">
    <fb>70.16</fb>
    <v>13</v>
  </rv>
  <rv s="7">
    <fb>70.87</fb>
    <v>13</v>
  </rv>
  <rv s="7">
    <fb>71.42</fb>
    <v>13</v>
  </rv>
  <rv s="7">
    <fb>71.5</fb>
    <v>13</v>
  </rv>
  <rv s="7">
    <fb>72.23</fb>
    <v>13</v>
  </rv>
  <rv s="7">
    <fb>71.86</fb>
    <v>13</v>
  </rv>
  <rv s="7">
    <fb>72.5</fb>
    <v>13</v>
  </rv>
  <rv s="7">
    <fb>629.5</fb>
    <v>13</v>
  </rv>
  <rv s="7">
    <fb>642</fb>
    <v>13</v>
  </rv>
  <rv s="7">
    <fb>630.78</fb>
    <v>13</v>
  </rv>
  <rv s="7">
    <fb>658.82</fb>
    <v>13</v>
  </rv>
  <rv s="7">
    <fb>681.24</fb>
    <v>13</v>
  </rv>
  <rv s="7">
    <fb>677.74</fb>
    <v>13</v>
  </rv>
  <rv s="7">
    <fb>661</fb>
    <v>13</v>
  </rv>
  <rv s="7">
    <fb>665.16</fb>
    <v>13</v>
  </rv>
  <rv s="7">
    <fb>671.6</fb>
    <v>13</v>
  </rv>
  <rv s="7">
    <fb>674.62</fb>
    <v>13</v>
  </rv>
  <rv s="7">
    <fb>666.8</fb>
    <v>13</v>
  </rv>
  <rv s="7">
    <fb>663.1</fb>
    <v>13</v>
  </rv>
  <rv s="7">
    <fb>660.08</fb>
    <v>13</v>
  </rv>
  <rv s="7">
    <fb>650.65</fb>
    <v>13</v>
  </rv>
  <rv s="7">
    <fb>644.69000000000005</fb>
    <v>13</v>
  </rv>
  <rv s="7">
    <fb>648.35</fb>
    <v>13</v>
  </rv>
  <rv s="7">
    <fb>656.01</fb>
    <v>13</v>
  </rv>
  <rv s="7">
    <fb>661.69</fb>
    <v>13</v>
  </rv>
  <rv s="7">
    <fb>667.18</fb>
    <v>13</v>
  </rv>
  <rv s="7">
    <fb>672.76</fb>
    <v>13</v>
  </rv>
  <rv s="7">
    <fb>673.58</fb>
    <v>13</v>
  </rv>
  <rv s="7">
    <fb>683.24</fb>
    <v>13</v>
  </rv>
  <rv s="7">
    <fb>681.49</fb>
    <v>13</v>
  </rv>
  <rv s="7">
    <fb>684.19</fb>
    <v>13</v>
  </rv>
  <rv s="7">
    <fb>687.31</fb>
    <v>13</v>
  </rv>
  <rv s="7">
    <fb>694.97</fb>
    <v>13</v>
  </rv>
  <rv s="7">
    <fb>692.51</fb>
    <v>13</v>
  </rv>
  <rv s="7">
    <fb>687.59</fb>
    <v>13</v>
  </rv>
  <rv s="7">
    <fb>686.51</fb>
    <v>13</v>
  </rv>
  <rv s="7">
    <fb>679.9</fb>
    <v>13</v>
  </rv>
  <rv s="7">
    <fb>686.88</fb>
    <v>13</v>
  </rv>
  <rv s="7">
    <fb>694.01</fb>
    <v>13</v>
  </rv>
  <rv s="7">
    <fb>700.74</fb>
    <v>13</v>
  </rv>
  <rv s="7">
    <fb>694.88</fb>
    <v>13</v>
  </rv>
  <rv s="7">
    <fb>704.48</fb>
    <v>13</v>
  </rv>
  <rv s="7">
    <fb>709.48</fb>
    <v>13</v>
  </rv>
  <rv s="7">
    <fb>711.16</fb>
    <v>13</v>
  </rv>
  <rv s="7">
    <fb>710.79</fb>
    <v>13</v>
  </rv>
  <rv s="7">
    <fb>719.78</fb>
    <v>13</v>
  </rv>
  <rv s="7">
    <fb>724.16</fb>
    <v>13</v>
  </rv>
  <rv s="7">
    <fb>723.4</fb>
    <v>13</v>
  </rv>
  <rv s="7">
    <fb>722.41</fb>
    <v>13</v>
  </rv>
  <rv s="7">
    <fb>714.25</fb>
    <v>13</v>
  </rv>
  <rv s="7">
    <fb>722.18</fb>
    <v>13</v>
  </rv>
  <rv s="7">
    <fb>724.51</fb>
    <v>13</v>
  </rv>
  <rv s="7">
    <fb>723.99</fb>
    <v>13</v>
  </rv>
  <rv s="7">
    <fb>725.69</fb>
    <v>13</v>
  </rv>
  <rv s="7">
    <fb>723.02</fb>
    <v>13</v>
  </rv>
  <rv s="7">
    <fb>734.4</fb>
    <v>13</v>
  </rv>
  <rv s="7">
    <fb>737.93</fb>
    <v>13</v>
  </rv>
  <rv s="7">
    <fb>745.35</fb>
    <v>13</v>
  </rv>
  <rv s="7">
    <fb>744.71</fb>
    <v>13</v>
  </rv>
  <rv s="7">
    <fb>747.96</fb>
    <v>13</v>
  </rv>
  <rv s="7">
    <fb>743.89</fb>
    <v>13</v>
  </rv>
  <rv s="7">
    <fb>749.44</fb>
    <v>13</v>
  </rv>
  <rv s="7">
    <fb>759.18</fb>
    <v>13</v>
  </rv>
  <rv s="7">
    <fb>759.95</fb>
    <v>13</v>
  </rv>
  <rv s="7">
    <fb>773.24</fb>
    <v>13</v>
  </rv>
  <rv s="7">
    <fb>785.59</fb>
    <v>13</v>
  </rv>
  <rv s="7">
    <fb>725.56</fb>
    <v>13</v>
  </rv>
  <rv s="7">
    <fb>714.08</fb>
    <v>13</v>
  </rv>
  <rv s="7">
    <fb>736.88</fb>
    <v>13</v>
  </rv>
  <rv s="7">
    <fb>734.2</fb>
    <v>13</v>
  </rv>
  <rv s="7">
    <fb>731.95</fb>
    <v>13</v>
  </rv>
  <rv s="7">
    <fb>725.63</fb>
    <v>13</v>
  </rv>
  <rv s="7">
    <fb>731.54</fb>
    <v>13</v>
  </rv>
  <rv s="7">
    <fb>732.17</fb>
    <v>13</v>
  </rv>
  <rv s="7">
    <fb>740.72</fb>
    <v>13</v>
  </rv>
  <rv s="7">
    <fb>742.56</fb>
    <v>13</v>
  </rv>
  <rv s="7">
    <fb>734.8</fb>
    <v>13</v>
  </rv>
  <rv s="7">
    <fb>730.96</fb>
    <v>13</v>
  </rv>
  <rv s="7">
    <fb>730.98</fb>
    <v>13</v>
  </rv>
  <rv s="7">
    <fb>732.08</fb>
    <v>13</v>
  </rv>
  <rv s="7">
    <fb>732.63</fb>
    <v>13</v>
  </rv>
  <rv s="7">
    <fb>721.24</fb>
    <v>13</v>
  </rv>
  <rv s="7">
    <fb>711.3</fb>
    <v>13</v>
  </rv>
  <rv s="7">
    <fb>705.69</fb>
    <v>13</v>
  </rv>
  <rv s="7">
    <fb>704.88</fb>
    <v>13</v>
  </rv>
  <rv s="7">
    <fb>713.72</fb>
    <v>13</v>
  </rv>
  <rv s="7">
    <fb>711.81</fb>
    <v>13</v>
  </rv>
  <rv s="7">
    <fb>718.59</fb>
    <v>13</v>
  </rv>
  <rv s="7">
    <fb>722.58</fb>
    <v>13</v>
  </rv>
  <rv s="7">
    <fb>732.35</fb>
    <v>13</v>
  </rv>
  <rv s="7">
    <fb>731.31</fb>
    <v>13</v>
  </rv>
  <rv s="7">
    <fb>718.28</fb>
    <v>13</v>
  </rv>
  <rv s="7">
    <fb>715.97</fb>
    <v>13</v>
  </rv>
  <rv s="7">
    <fb>715.19</fb>
    <v>13</v>
  </rv>
  <rv s="7">
    <fb>711.25</fb>
    <v>13</v>
  </rv>
  <rv s="7">
    <fb>709.51</fb>
    <v>13</v>
  </rv>
  <rv s="7">
    <fb>715.46</fb>
    <v>13</v>
  </rv>
  <rv s="7">
    <fb>722.68</fb>
    <v>13</v>
  </rv>
  <rv s="7">
    <fb>723.89</fb>
    <v>13</v>
  </rv>
  <rv s="7">
    <fb>721.86</fb>
    <v>13</v>
  </rv>
  <rv s="7">
    <fb>729.18</fb>
    <v>13</v>
  </rv>
  <rv s="7">
    <fb>726.33</fb>
    <v>13</v>
  </rv>
  <rv s="7">
    <fb>722.9</fb>
    <v>13</v>
  </rv>
  <rv s="7">
    <fb>722.22</fb>
    <v>13</v>
  </rv>
  <rv s="7">
    <fb>732.44</fb>
    <v>13</v>
  </rv>
  <rv s="7">
    <fb>743.9</fb>
    <v>13</v>
  </rv>
  <rv s="7">
    <fb>756.45</fb>
    <v>13</v>
  </rv>
  <rv s="7">
    <fb>771.31</fb>
    <v>13</v>
  </rv>
  <rv s="7">
    <fb>763.41</fb>
    <v>13</v>
  </rv>
  <rv s="7">
    <fb>779.04</fb>
    <v>13</v>
  </rv>
  <rv s="7">
    <fb>787.19</fb>
    <v>13</v>
  </rv>
  <rv s="7">
    <fb>775.15</fb>
    <v>13</v>
  </rv>
  <rv s="7">
    <fb>777.9</fb>
    <v>13</v>
  </rv>
  <rv s="7">
    <fb>787.04</fb>
    <v>13</v>
  </rv>
  <rv s="7">
    <fb>793.07</fb>
    <v>13</v>
  </rv>
  <rv s="7">
    <fb>795.81</fb>
    <v>13</v>
  </rv>
  <rv s="7">
    <fb>793</fb>
    <v>13</v>
  </rv>
  <rv s="7">
    <fb>800.93</fb>
    <v>13</v>
  </rv>
  <rv s="7">
    <fb>801.86</fb>
    <v>13</v>
  </rv>
  <rv s="7">
    <fb>796.34</fb>
    <v>13</v>
  </rv>
  <rv s="7">
    <fb>809.73</fb>
    <v>13</v>
  </rv>
  <rv s="7">
    <fb>813.17</fb>
    <v>13</v>
  </rv>
  <rv s="7">
    <fb>806.52</fb>
    <v>13</v>
  </rv>
  <rv s="7">
    <fb>815.34</fb>
    <v>13</v>
  </rv>
  <rv s="7">
    <fb>809.89</fb>
    <v>13</v>
  </rv>
  <rv s="7">
    <fb>815.39</fb>
    <v>13</v>
  </rv>
  <rv s="7">
    <fb>827.39</fb>
    <v>13</v>
  </rv>
  <rv s="7">
    <fb>834.3</fb>
    <v>13</v>
  </rv>
  <rv s="7">
    <fb>842.64</fb>
    <v>13</v>
  </rv>
  <rv s="7">
    <fb>845.58</fb>
    <v>13</v>
  </rv>
  <rv s="7">
    <fb>848.34</fb>
    <v>13</v>
  </rv>
  <rv s="7">
    <fb>849.31</fb>
    <v>13</v>
  </rv>
  <rv s="7">
    <fb>847.81</fb>
    <v>13</v>
  </rv>
  <rv s="7">
    <fb>845.96</fb>
    <v>13</v>
  </rv>
  <rv s="7">
    <fb>855.67</fb>
    <v>13</v>
  </rv>
  <rv s="7">
    <fb>867.91</fb>
    <v>13</v>
  </rv>
  <rv s="7">
    <fb>870.75</fb>
    <v>13</v>
  </rv>
  <rv s="7">
    <fb>862.44</fb>
    <v>13</v>
  </rv>
  <rv s="7">
    <fb>848.31</fb>
    <v>13</v>
  </rv>
  <rv s="7">
    <fb>848.16</fb>
    <v>13</v>
  </rv>
  <rv s="7">
    <fb>855.51</fb>
    <v>13</v>
  </rv>
  <rv s="7">
    <fb>856.84</fb>
    <v>13</v>
  </rv>
  <rv s="7">
    <fb>850.62</fb>
    <v>13</v>
  </rv>
  <rv s="7">
    <fb>849.99</fb>
    <v>13</v>
  </rv>
  <rv s="7">
    <fb>845.67</fb>
    <v>13</v>
  </rv>
  <rv s="7">
    <fb>859.36</fb>
    <v>13</v>
  </rv>
  <rv s="7">
    <fb>862.66</fb>
    <v>13</v>
  </rv>
  <rv s="7">
    <fb>885.67</fb>
    <v>13</v>
  </rv>
  <rv s="7">
    <fb>880.84</fb>
    <v>13</v>
  </rv>
  <rv s="7">
    <fb>886.85</fb>
    <v>13</v>
  </rv>
  <rv s="7">
    <fb>884.31</fb>
    <v>13</v>
  </rv>
  <rv s="7">
    <fb>846.59</fb>
    <v>13</v>
  </rv>
  <rv s="7">
    <fb>842.9</fb>
    <v>13</v>
  </rv>
  <rv s="7">
    <fb>848.73</fb>
    <v>13</v>
  </rv>
  <rv s="7">
    <fb>850.77</fb>
    <v>13</v>
  </rv>
  <rv s="7">
    <fb>846.28</fb>
    <v>13</v>
  </rv>
  <rv s="7">
    <fb>839.37</fb>
    <v>13</v>
  </rv>
  <rv s="7">
    <fb>838.13</fb>
    <v>13</v>
  </rv>
  <rv s="7">
    <fb>847.42</fb>
    <v>13</v>
  </rv>
  <rv s="7">
    <fb>852.11</fb>
    <v>13</v>
  </rv>
  <rv s="7">
    <fb>830.82</fb>
    <v>13</v>
  </rv>
  <rv s="7">
    <fb>815.95</fb>
    <v>13</v>
  </rv>
  <rv s="7">
    <fb>817.6</fb>
    <v>13</v>
  </rv>
  <rv s="7">
    <fb>815.56</fb>
    <v>13</v>
  </rv>
  <rv s="7">
    <fb>810.03</fb>
    <v>13</v>
  </rv>
  <rv s="7">
    <fb>822</fb>
    <v>13</v>
  </rv>
  <rv s="7">
    <fb>816.89</fb>
    <v>13</v>
  </rv>
  <rv s="7">
    <fb>822.08</fb>
    <v>13</v>
  </rv>
  <rv s="7">
    <fb>801.83</fb>
    <v>13</v>
  </rv>
  <rv s="7">
    <fb>816.88</fb>
    <v>13</v>
  </rv>
  <rv s="7">
    <fb>810.3</fb>
    <v>13</v>
  </rv>
  <rv s="7">
    <fb>839.43</fb>
    <v>13</v>
  </rv>
  <rv s="7">
    <fb>854.93</fb>
    <v>13</v>
  </rv>
  <rv s="7">
    <fb>863.57</fb>
    <v>13</v>
  </rv>
  <rv s="7">
    <fb>864.82</fb>
    <v>13</v>
  </rv>
  <rv s="7">
    <fb>862.71</fb>
    <v>13</v>
  </rv>
  <rv s="7">
    <fb>877.35</fb>
    <v>13</v>
  </rv>
  <rv s="7">
    <fb>870.59</fb>
    <v>13</v>
  </rv>
  <rv s="7">
    <fb>872.35</fb>
    <v>13</v>
  </rv>
  <rv s="7">
    <fb>876.2</fb>
    <v>13</v>
  </rv>
  <rv s="7">
    <fb>881.42</fb>
    <v>13</v>
  </rv>
  <rv s="7">
    <fb>877.56</fb>
    <v>13</v>
  </rv>
  <rv s="7">
    <fb>879.21</fb>
    <v>13</v>
  </rv>
  <rv s="7">
    <fb>892.51</fb>
    <v>13</v>
  </rv>
  <rv s="7">
    <fb>908.9</fb>
    <v>13</v>
  </rv>
  <rv s="7">
    <fb>888.05</fb>
    <v>13</v>
  </rv>
  <rv s="7">
    <fb>886.63</fb>
    <v>13</v>
  </rv>
  <rv s="7">
    <fb>892.38</fb>
    <v>13</v>
  </rv>
  <rv s="7">
    <fb>878.57</fb>
    <v>13</v>
  </rv>
  <rv s="7">
    <fb>890.02</fb>
    <v>13</v>
  </rv>
  <rv s="7">
    <fb>885.98</fb>
    <v>13</v>
  </rv>
  <rv s="7">
    <fb>876.68</fb>
    <v>13</v>
  </rv>
  <rv s="7">
    <fb>896.49</fb>
    <v>13</v>
  </rv>
  <rv s="7">
    <fb>894.29</fb>
    <v>13</v>
  </rv>
  <rv s="7">
    <fb>900.4</fb>
    <v>13</v>
  </rv>
  <rv s="7">
    <fb>915.03</fb>
    <v>13</v>
  </rv>
  <rv s="7">
    <fb>916</fb>
    <v>13</v>
  </rv>
  <rv s="7">
    <fb>907.87</fb>
    <v>13</v>
  </rv>
  <rv s="7">
    <fb>897.27</fb>
    <v>13</v>
  </rv>
  <rv s="7">
    <fb>892.52</fb>
    <v>13</v>
  </rv>
  <rv s="7">
    <fb>900.74</fb>
    <v>13</v>
  </rv>
  <rv s="7">
    <fb>906.98</fb>
    <v>13</v>
  </rv>
  <rv s="7">
    <fb>917.08</fb>
    <v>13</v>
  </rv>
  <rv s="7">
    <fb>901.54</fb>
    <v>13</v>
  </rv>
  <rv s="7">
    <fb>908.42</fb>
    <v>13</v>
  </rv>
  <rv s="7">
    <fb>901.44</fb>
    <v>13</v>
  </rv>
  <rv s="7">
    <fb>885.62</fb>
    <v>13</v>
  </rv>
  <rv s="7">
    <fb>886.52</fb>
    <v>13</v>
  </rv>
  <rv s="7">
    <fb>877.38</fb>
    <v>13</v>
  </rv>
  <rv s="7">
    <fb>878.53</fb>
    <v>13</v>
  </rv>
  <rv s="7">
    <fb>875.67</fb>
    <v>13</v>
  </rv>
  <rv s="7">
    <fb>883.11</fb>
    <v>13</v>
  </rv>
  <rv s="7">
    <fb>873.59</fb>
    <v>13</v>
  </rv>
  <rv s="7">
    <fb>890.42</fb>
    <v>13</v>
  </rv>
  <rv s="7">
    <fb>909.1</fb>
    <v>13</v>
  </rv>
  <rv s="7">
    <fb>893.63</fb>
    <v>13</v>
  </rv>
  <rv s="7">
    <fb>889.03</fb>
    <v>13</v>
  </rv>
  <rv s="7">
    <fb>889.76</fb>
    <v>13</v>
  </rv>
  <rv s="7">
    <fb>894.61</fb>
    <v>13</v>
  </rv>
  <rv s="7">
    <fb>887.38</fb>
    <v>13</v>
  </rv>
  <rv s="7">
    <fb>885.29</fb>
    <v>13</v>
  </rv>
  <rv s="7">
    <fb>889.56</fb>
    <v>13</v>
  </rv>
  <rv s="7">
    <fb>886.77</fb>
    <v>13</v>
  </rv>
  <rv s="7">
    <fb>893.49</fb>
    <v>13</v>
  </rv>
  <rv s="7">
    <fb>899.17</fb>
    <v>13</v>
  </rv>
  <rv s="7">
    <fb>893.42</fb>
    <v>13</v>
  </rv>
  <rv s="7">
    <fb>891.22</fb>
    <v>13</v>
  </rv>
  <rv s="7">
    <fb>890.96</fb>
    <v>13</v>
  </rv>
  <rv s="7">
    <fb>886.99</fb>
    <v>13</v>
  </rv>
  <rv s="7">
    <fb>879.09</fb>
    <v>13</v>
  </rv>
  <rv s="7">
    <fb>874.18</fb>
    <v>13</v>
  </rv>
  <rv s="7">
    <fb>877.31</fb>
    <v>13</v>
  </rv>
  <rv s="7">
    <fb>886.07</fb>
    <v>13</v>
  </rv>
  <rv s="7">
    <fb>890.17</fb>
    <v>13</v>
  </rv>
  <rv s="7">
    <fb>899.25</fb>
    <v>13</v>
  </rv>
  <rv s="7">
    <fb>913.93</fb>
    <v>13</v>
  </rv>
  <rv s="7">
    <fb>943.8</fb>
    <v>13</v>
  </rv>
  <rv s="7">
    <fb>932.88</fb>
    <v>13</v>
  </rv>
  <rv s="7">
    <fb>932.38</fb>
    <v>13</v>
  </rv>
  <rv s="7">
    <fb>933.73</fb>
    <v>13</v>
  </rv>
  <rv s="7">
    <fb>923.89</fb>
    <v>13</v>
  </rv>
  <rv s="7">
    <fb>907.07</fb>
    <v>13</v>
  </rv>
  <rv s="7">
    <fb>919.51</fb>
    <v>13</v>
  </rv>
  <rv s="7">
    <fb>930.15</fb>
    <v>13</v>
  </rv>
  <rv s="7">
    <fb>928.08</fb>
    <v>13</v>
  </rv>
  <rv s="7">
    <fb>955.65</fb>
    <v>13</v>
  </rv>
  <rv s="7">
    <fb>964.01</fb>
    <v>13</v>
  </rv>
  <rv s="7">
    <fb>960.89</fb>
    <v>13</v>
  </rv>
  <rv s="7">
    <fb>971.5</fb>
    <v>13</v>
  </rv>
  <rv s="7">
    <fb>961.55</fb>
    <v>13</v>
  </rv>
  <rv s="7">
    <fb>971.88</fb>
    <v>13</v>
  </rv>
  <rv s="7">
    <fb>975</fb>
    <v>13</v>
  </rv>
  <rv s="7">
    <fb>982.15</fb>
    <v>13</v>
  </rv>
  <rv s="7">
    <fb>990.92</fb>
    <v>13</v>
  </rv>
  <rv s="7">
    <fb>982.26</fb>
    <v>13</v>
  </rv>
  <rv s="7">
    <fb>992.61</fb>
    <v>13</v>
  </rv>
  <rv s="7">
    <fb>987.86</fb>
    <v>13</v>
  </rv>
  <rv s="7">
    <fb>993.4</fb>
    <v>13</v>
  </rv>
  <rv s="7">
    <fb>98.05</fb>
    <v>13</v>
  </rv>
  <rv s="7">
    <fb>101.58</fb>
    <v>13</v>
  </rv>
  <rv s="7">
    <fb>100.9</fb>
    <v>13</v>
  </rv>
  <rv s="7">
    <fb>101.65</fb>
    <v>13</v>
  </rv>
  <rv s="7">
    <fb>102.99</fb>
    <v>13</v>
  </rv>
  <rv s="7">
    <fb>101.27</fb>
    <v>13</v>
  </rv>
  <rv s="7">
    <fb>101.73</fb>
    <v>13</v>
  </rv>
  <rv s="7">
    <fb>101.91</fb>
    <v>13</v>
  </rv>
  <rv s="7">
    <fb>102.14</fb>
    <v>13</v>
  </rv>
  <rv s="7">
    <fb>101.66</fb>
    <v>13</v>
  </rv>
  <rv s="7">
    <fb>100.19</fb>
    <v>13</v>
  </rv>
  <rv s="7">
    <fb>99.98</fb>
    <v>13</v>
  </rv>
  <rv s="7">
    <fb>102.36</fb>
    <v>13</v>
  </rv>
  <rv s="7">
    <fb>103.22</fb>
    <v>13</v>
  </rv>
  <rv s="7">
    <fb>102.32</fb>
    <v>13</v>
  </rv>
  <rv s="7">
    <fb>102.63</fb>
    <v>13</v>
  </rv>
  <rv s="7">
    <fb>100.92</fb>
    <v>13</v>
  </rv>
  <rv s="7">
    <fb>99.67</fb>
    <v>13</v>
  </rv>
  <rv s="7">
    <fb>98.69</fb>
    <v>13</v>
  </rv>
  <rv s="7">
    <fb>98.67</fb>
    <v>13</v>
  </rv>
  <rv s="7">
    <fb>99.95</fb>
    <v>13</v>
  </rv>
  <rv s="7">
    <fb>97.69</fb>
    <v>13</v>
  </rv>
  <rv s="7">
    <fb>96.98</fb>
    <v>13</v>
  </rv>
  <rv s="7">
    <fb>96.8</fb>
    <v>13</v>
  </rv>
  <rv s="7">
    <fb>96.95</fb>
    <v>13</v>
  </rv>
  <rv s="7">
    <fb>96.82</fb>
    <v>13</v>
  </rv>
  <rv s="7">
    <fb>97.91</fb>
    <v>13</v>
  </rv>
  <rv s="7">
    <fb>99.6</fb>
    <v>13</v>
  </rv>
  <rv s="7">
    <fb>102.13</fb>
    <v>13</v>
  </rv>
  <rv s="7">
    <fb>103</fb>
    <v>13</v>
  </rv>
  <rv s="7">
    <fb>103.13</fb>
    <v>13</v>
  </rv>
  <rv s="7">
    <fb>104.85</fb>
    <v>13</v>
  </rv>
  <rv s="7">
    <fb>102.81</fb>
    <v>13</v>
  </rv>
  <rv s="7">
    <fb>102.39</fb>
    <v>13</v>
  </rv>
  <rv s="7">
    <fb>101.97</fb>
    <v>13</v>
  </rv>
  <rv s="7">
    <fb>101.55</fb>
    <v>13</v>
  </rv>
  <rv s="7">
    <fb>102.25</fb>
    <v>13</v>
  </rv>
  <rv s="7">
    <fb>102.22</fb>
    <v>13</v>
  </rv>
  <rv s="7">
    <fb>103.97</fb>
    <v>13</v>
  </rv>
  <rv s="7">
    <fb>101.77</fb>
    <v>13</v>
  </rv>
  <rv s="7">
    <fb>103.17</fb>
    <v>13</v>
  </rv>
  <rv s="7">
    <fb>101.34</fb>
    <v>13</v>
  </rv>
  <rv s="7">
    <fb>100.84</fb>
    <v>13</v>
  </rv>
  <rv s="7">
    <fb>103.73</fb>
    <v>13</v>
  </rv>
  <rv s="7">
    <fb>102.75</fb>
    <v>13</v>
  </rv>
  <rv s="7">
    <fb>104.76</fb>
    <v>13</v>
  </rv>
  <rv s="7">
    <fb>103.84</fb>
    <v>13</v>
  </rv>
  <rv s="7">
    <fb>104.25</fb>
    <v>13</v>
  </rv>
  <rv s="7">
    <fb>104.03</fb>
    <v>13</v>
  </rv>
  <rv s="7">
    <fb>104.32</fb>
    <v>13</v>
  </rv>
  <rv s="7">
    <fb>104.52</fb>
    <v>13</v>
  </rv>
  <rv s="7">
    <fb>105.84</fb>
    <v>13</v>
  </rv>
  <rv s="7">
    <fb>104.36</fb>
    <v>13</v>
  </rv>
  <rv s="7">
    <fb>105.64</fb>
    <v>13</v>
  </rv>
  <rv s="7">
    <fb>106.77</fb>
    <v>13</v>
  </rv>
  <rv s="7">
    <fb>107.37</fb>
    <v>13</v>
  </rv>
  <rv s="7">
    <fb>108.38</fb>
    <v>13</v>
  </rv>
  <rv s="7">
    <fb>109.02</fb>
    <v>13</v>
  </rv>
  <rv s="7">
    <fb>108.32</fb>
    <v>13</v>
  </rv>
  <rv s="7">
    <fb>109.53</fb>
    <v>13</v>
  </rv>
  <rv s="7">
    <fb>111.47</fb>
    <v>13</v>
  </rv>
  <rv s="7">
    <fb>111.27</fb>
    <v>13</v>
  </rv>
  <rv s="7">
    <fb>112.3</fb>
    <v>13</v>
  </rv>
  <rv s="7">
    <fb>113.09</fb>
    <v>13</v>
  </rv>
  <rv s="7">
    <fb>112.99</fb>
    <v>13</v>
  </rv>
  <rv s="7">
    <fb>113.49</fb>
    <v>13</v>
  </rv>
  <rv s="7">
    <fb>114.65</fb>
    <v>13</v>
  </rv>
  <rv s="7">
    <fb>113.79</fb>
    <v>13</v>
  </rv>
  <rv s="7">
    <fb>114.97</fb>
    <v>13</v>
  </rv>
  <rv s="7">
    <fb>116.24</fb>
    <v>13</v>
  </rv>
  <rv s="7">
    <fb>116.99</fb>
    <v>13</v>
  </rv>
  <rv s="7">
    <fb>119.28</fb>
    <v>13</v>
  </rv>
  <rv s="7">
    <fb>119.3</fb>
    <v>13</v>
  </rv>
  <rv s="7">
    <fb>119.72</fb>
    <v>13</v>
  </rv>
  <rv s="7">
    <fb>121.37</fb>
    <v>13</v>
  </rv>
  <rv s="7">
    <fb>120.55</fb>
    <v>13</v>
  </rv>
  <rv s="7">
    <fb>121.18</fb>
    <v>13</v>
  </rv>
  <rv s="7">
    <fb>122.2</fb>
    <v>13</v>
  </rv>
  <rv s="7">
    <fb>121.79</fb>
    <v>13</v>
  </rv>
  <rv s="7">
    <fb>120.37</fb>
    <v>13</v>
  </rv>
  <rv s="7">
    <fb>119.68</fb>
    <v>13</v>
  </rv>
  <rv s="7">
    <fb>118.69</fb>
    <v>13</v>
  </rv>
  <rv s="7">
    <fb>118.63</fb>
    <v>13</v>
  </rv>
  <rv s="7">
    <fb>118.52</fb>
    <v>13</v>
  </rv>
  <rv s="7">
    <fb>119.88</fb>
    <v>13</v>
  </rv>
  <rv s="7">
    <fb>120.56</fb>
    <v>13</v>
  </rv>
  <rv s="7">
    <fb>121.03</fb>
    <v>13</v>
  </rv>
  <rv s="7">
    <fb>121.05</fb>
    <v>13</v>
  </rv>
  <rv s="7">
    <fb>121.33</fb>
    <v>13</v>
  </rv>
  <rv s="7">
    <fb>117.96</fb>
    <v>13</v>
  </rv>
  <rv s="7">
    <fb>119.64</fb>
    <v>13</v>
  </rv>
  <rv s="7">
    <fb>118.27</fb>
    <v>13</v>
  </rv>
  <rv s="7">
    <fb>116.03</fb>
    <v>13</v>
  </rv>
  <rv s="7">
    <fb>116</fb>
    <v>13</v>
  </rv>
  <rv s="7">
    <fb>116.75</fb>
    <v>13</v>
  </rv>
  <rv s="7">
    <fb>116.17</fb>
    <v>13</v>
  </rv>
  <rv s="7">
    <fb>116.15</fb>
    <v>13</v>
  </rv>
  <rv s="7">
    <fb>118.44</fb>
    <v>13</v>
  </rv>
  <rv s="7">
    <fb>117.91</fb>
    <v>13</v>
  </rv>
  <rv s="7">
    <fb>117.67</fb>
    <v>13</v>
  </rv>
  <rv s="7">
    <fb>118.58</fb>
    <v>13</v>
  </rv>
  <rv s="7">
    <fb>117.87</fb>
    <v>13</v>
  </rv>
  <rv s="7">
    <fb>118.67</fb>
    <v>13</v>
  </rv>
  <rv s="7">
    <fb>117.85</fb>
    <v>13</v>
  </rv>
  <rv s="7">
    <fb>115.48</fb>
    <v>13</v>
  </rv>
  <rv s="7">
    <fb>113.51</fb>
    <v>13</v>
  </rv>
  <rv s="7">
    <fb>113.42</fb>
    <v>13</v>
  </rv>
  <rv s="7">
    <fb>114.86</fb>
    <v>13</v>
  </rv>
  <rv s="7">
    <fb>113.63</fb>
    <v>13</v>
  </rv>
  <rv s="7">
    <fb>113.99</fb>
    <v>13</v>
  </rv>
  <rv s="7">
    <fb>117.26</fb>
    <v>13</v>
  </rv>
  <rv s="7">
    <fb>114.45</fb>
    <v>13</v>
  </rv>
  <rv s="7">
    <fb>112.67</fb>
    <v>13</v>
  </rv>
  <rv s="7">
    <fb>113.12</fb>
    <v>13</v>
  </rv>
  <rv s="7">
    <fb>113.97</fb>
    <v>13</v>
  </rv>
  <rv s="7">
    <fb>112.75</fb>
    <v>13</v>
  </rv>
  <rv s="7">
    <fb>113.08</fb>
    <v>13</v>
  </rv>
  <rv s="7">
    <fb>112.17</fb>
    <v>13</v>
  </rv>
  <rv s="7">
    <fb>110.93</fb>
    <v>13</v>
  </rv>
  <rv s="7">
    <fb>110.04</fb>
    <v>13</v>
  </rv>
  <rv s="7">
    <fb>109.11</fb>
    <v>13</v>
  </rv>
  <rv s="7">
    <fb>108.36</fb>
    <v>13</v>
  </rv>
  <rv s="7">
    <fb>109.38</fb>
    <v>13</v>
  </rv>
  <rv s="7">
    <fb>111.74</fb>
    <v>13</v>
  </rv>
  <rv s="7">
    <fb>110.76</fb>
    <v>13</v>
  </rv>
  <rv s="7">
    <fb>114.05</fb>
    <v>13</v>
  </rv>
  <rv s="7">
    <fb>114.37</fb>
    <v>13</v>
  </rv>
  <rv s="7">
    <fb>114.41</fb>
    <v>13</v>
  </rv>
  <rv s="7">
    <fb>114.9</fb>
    <v>13</v>
  </rv>
  <rv s="7">
    <fb>115.12</fb>
    <v>13</v>
  </rv>
  <rv s="7">
    <fb>114.96</fb>
    <v>13</v>
  </rv>
  <rv s="7">
    <fb>114.18</fb>
    <v>13</v>
  </rv>
  <rv s="7">
    <fb>114.76</fb>
    <v>13</v>
  </rv>
  <rv s="7">
    <fb>113.37</fb>
    <v>13</v>
  </rv>
  <rv s="7">
    <fb>112.18</fb>
    <v>13</v>
  </rv>
  <rv s="7">
    <fb>110.94</fb>
    <v>13</v>
  </rv>
  <rv s="7">
    <fb>111.92</fb>
    <v>13</v>
  </rv>
  <rv s="7">
    <fb>113.25</fb>
    <v>13</v>
  </rv>
  <rv s="7">
    <fb>113.27</fb>
    <v>13</v>
  </rv>
  <rv s="7">
    <fb>115.21</fb>
    <v>13</v>
  </rv>
  <rv s="7">
    <fb>116.04</fb>
    <v>13</v>
  </rv>
  <rv s="7">
    <fb>117.64</fb>
    <v>13</v>
  </rv>
  <rv s="7">
    <fb>118.8</fb>
    <v>13</v>
  </rv>
  <rv s="7">
    <fb>116.07</fb>
    <v>13</v>
  </rv>
  <rv s="7">
    <fb>115.27</fb>
    <v>13</v>
  </rv>
  <rv s="7">
    <fb>113.41</fb>
    <v>13</v>
  </rv>
  <rv s="7">
    <fb>115.01</fb>
    <v>13</v>
  </rv>
  <rv s="7">
    <fb>117.43</fb>
    <v>13</v>
  </rv>
  <rv s="7">
    <fb>117.33</fb>
    <v>13</v>
  </rv>
  <rv s="7">
    <fb>116.1</fb>
    <v>13</v>
  </rv>
  <rv s="7">
    <fb>118.17</fb>
    <v>13</v>
  </rv>
  <rv s="7">
    <fb>118.59</fb>
    <v>13</v>
  </rv>
  <rv s="7">
    <fb>116.95</fb>
    <v>13</v>
  </rv>
  <rv s="7">
    <fb>116.88</fb>
    <v>13</v>
  </rv>
  <rv s="7">
    <fb>114.77</fb>
    <v>13</v>
  </rv>
  <rv s="7">
    <fb>114.16</fb>
    <v>13</v>
  </rv>
  <rv s="7">
    <fb>115.68</fb>
    <v>13</v>
  </rv>
  <rv s="7">
    <fb>117.89</fb>
    <v>13</v>
  </rv>
  <rv s="7">
    <fb>118.85</fb>
    <v>13</v>
  </rv>
  <rv s="7">
    <fb>119</fb>
    <v>13</v>
  </rv>
  <rv s="7">
    <fb>117.86</fb>
    <v>13</v>
  </rv>
  <rv s="7">
    <fb>118.95</fb>
    <v>13</v>
  </rv>
  <rv s="7">
    <fb>118.73</fb>
    <v>13</v>
  </rv>
  <rv s="7">
    <fb>118.53</fb>
    <v>13</v>
  </rv>
  <rv s="7">
    <fb>114.58</fb>
    <v>13</v>
  </rv>
  <rv s="7">
    <fb>113.85</fb>
    <v>13</v>
  </rv>
  <rv s="7">
    <fb>114.73</fb>
    <v>13</v>
  </rv>
  <rv s="7">
    <fb>116.32</fb>
    <v>13</v>
  </rv>
  <rv s="7">
    <fb>118.81</fb>
    <v>13</v>
  </rv>
  <rv s="7">
    <fb>117.68</fb>
    <v>13</v>
  </rv>
  <rv s="7">
    <fb>116.52</fb>
    <v>13</v>
  </rv>
  <rv s="7">
    <fb>118.13</fb>
    <v>13</v>
  </rv>
  <rv s="7">
    <fb>117.94</fb>
    <v>13</v>
  </rv>
  <rv s="7">
    <fb>115.47</fb>
    <v>13</v>
  </rv>
  <rv s="7">
    <fb>114.06</fb>
    <v>13</v>
  </rv>
  <rv s="7">
    <fb>113.17</fb>
    <v>13</v>
  </rv>
  <rv s="7">
    <fb>112.64</fb>
    <v>13</v>
  </rv>
  <rv s="7">
    <fb>110.82</fb>
    <v>13</v>
  </rv>
  <rv s="7">
    <fb>109.72</fb>
    <v>13</v>
  </rv>
  <rv s="7">
    <fb>111.23</fb>
    <v>13</v>
  </rv>
  <rv s="7">
    <fb>111.15</fb>
    <v>13</v>
  </rv>
  <rv s="7">
    <fb>112.71</fb>
    <v>13</v>
  </rv>
  <rv s="7">
    <fb>117.36</fb>
    <v>13</v>
  </rv>
  <rv s="7">
    <fb>117.05</fb>
    <v>13</v>
  </rv>
  <rv s="7">
    <fb>112.8</fb>
    <v>13</v>
  </rv>
  <rv s="7">
    <fb>115.82</fb>
    <v>13</v>
  </rv>
  <rv s="7">
    <fb>117.22</fb>
    <v>13</v>
  </rv>
  <rv s="7">
    <fb>119.93</fb>
    <v>13</v>
  </rv>
  <rv s="7">
    <fb>121.52</fb>
    <v>13</v>
  </rv>
  <rv s="7">
    <fb>122.58</fb>
    <v>13</v>
  </rv>
  <rv s="7">
    <fb>124.83</fb>
    <v>13</v>
  </rv>
  <rv s="7">
    <fb>125.37</fb>
    <v>13</v>
  </rv>
  <rv s="7">
    <fb>122.04</fb>
    <v>13</v>
  </rv>
  <rv s="7">
    <fb>122.09</fb>
    <v>13</v>
  </rv>
  <rv s="7">
    <fb>123.14</fb>
    <v>13</v>
  </rv>
  <rv s="7">
    <fb>123.61</fb>
    <v>13</v>
  </rv>
  <rv s="7">
    <fb>124.08</fb>
    <v>13</v>
  </rv>
  <rv s="7">
    <fb>120.35</fb>
    <v>13</v>
  </rv>
  <rv s="7">
    <fb>120.66</fb>
    <v>13</v>
  </rv>
  <rv s="7">
    <fb>120.01</fb>
    <v>13</v>
  </rv>
  <rv s="7">
    <fb>120.08</fb>
    <v>13</v>
  </rv>
  <rv s="7">
    <fb>120.7</fb>
    <v>13</v>
  </rv>
  <rv s="7">
    <fb>120.27</fb>
    <v>13</v>
  </rv>
  <rv s="7">
    <fb>119.59</fb>
    <v>13</v>
  </rv>
  <rv s="7">
    <fb>119.49</fb>
    <v>13</v>
  </rv>
  <rv s="7">
    <fb>118.9</fb>
    <v>13</v>
  </rv>
  <rv s="7">
    <fb>117.28</fb>
    <v>13</v>
  </rv>
  <rv s="7">
    <fb>116.69</fb>
    <v>13</v>
  </rv>
  <rv s="7">
    <fb>116.78</fb>
    <v>13</v>
  </rv>
  <rv s="7">
    <fb>114.95</fb>
    <v>13</v>
  </rv>
  <rv s="7">
    <fb>118.61</fb>
    <v>13</v>
  </rv>
  <rv s="7">
    <fb>118.96</fb>
    <v>13</v>
  </rv>
  <rv s="7">
    <fb>121</fb>
    <v>13</v>
  </rv>
  <rv s="7">
    <fb>121.15</fb>
    <v>13</v>
  </rv>
  <rv s="7">
    <fb>121.11</fb>
    <v>13</v>
  </rv>
  <rv s="7">
    <fb>120.47</fb>
    <v>13</v>
  </rv>
  <rv s="7">
    <fb>121.47</fb>
    <v>13</v>
  </rv>
  <rv s="7">
    <fb>119.31</fb>
    <v>13</v>
  </rv>
  <rv s="7">
    <fb>120.31</fb>
    <v>13</v>
  </rv>
  <rv s="7">
    <fb>120.32</fb>
    <v>13</v>
  </rv>
  <rv s="7">
    <fb>121.93</fb>
    <v>13</v>
  </rv>
  <rv s="7">
    <fb>119.97</fb>
    <v>13</v>
  </rv>
  <rv s="7">
    <fb>117.97</fb>
    <v>13</v>
  </rv>
  <rv s="7">
    <fb>117.66</fb>
    <v>13</v>
  </rv>
  <rv s="7">
    <fb>114.28</fb>
    <v>13</v>
  </rv>
  <rv s="7">
    <fb>114.78</fb>
    <v>13</v>
  </rv>
  <rv s="7">
    <fb>113.57</fb>
    <v>13</v>
  </rv>
  <rv s="7">
    <fb>112.9</fb>
    <v>13</v>
  </rv>
  <rv s="7">
    <fb>44.04</fb>
    <v>13</v>
  </rv>
  <rv s="7">
    <fb>44.57</fb>
    <v>13</v>
  </rv>
  <rv s="7">
    <fb>45.18</fb>
    <v>13</v>
  </rv>
  <rv s="7">
    <fb>46.16</fb>
    <v>13</v>
  </rv>
  <rv s="7">
    <fb>45.76</fb>
    <v>13</v>
  </rv>
  <rv s="7">
    <fb>47.08</fb>
    <v>13</v>
  </rv>
  <rv s="7">
    <fb>50.5</fb>
    <v>13</v>
  </rv>
  <rv s="7">
    <fb>50.76</fb>
    <v>13</v>
  </rv>
  <rv s="7">
    <fb>50.25</fb>
    <v>13</v>
  </rv>
  <rv s="7">
    <fb>47.8</fb>
    <v>13</v>
  </rv>
  <rv s="7">
    <fb>47.05</fb>
    <v>13</v>
  </rv>
  <rv s="7">
    <fb>46.87</fb>
    <v>13</v>
  </rv>
  <rv s="7">
    <fb>46.89</fb>
    <v>13</v>
  </rv>
  <rv s="7">
    <fb>48.05</fb>
    <v>13</v>
  </rv>
  <rv s="7">
    <fb>47.47</fb>
    <v>13</v>
  </rv>
  <rv s="7">
    <fb>47.64</fb>
    <v>13</v>
  </rv>
  <rv s="7">
    <fb>47.06</fb>
    <v>13</v>
  </rv>
  <rv s="7">
    <fb>46.74</fb>
    <v>13</v>
  </rv>
  <rv s="7">
    <fb>48.15</fb>
    <v>13</v>
  </rv>
  <rv s="7">
    <fb>48.22</fb>
    <v>13</v>
  </rv>
  <rv s="7">
    <fb>48.89</fb>
    <v>13</v>
  </rv>
  <rv s="7">
    <fb>49.09</fb>
    <v>13</v>
  </rv>
  <rv s="7">
    <fb>43.65</fb>
    <v>13</v>
  </rv>
  <rv s="7">
    <fb>43.84</fb>
    <v>13</v>
  </rv>
  <rv s="7">
    <fb>42.92</fb>
    <v>13</v>
  </rv>
  <rv s="7">
    <fb>43.08</fb>
    <v>13</v>
  </rv>
  <rv s="7">
    <fb>43.36</fb>
    <v>13</v>
  </rv>
  <rv s="7">
    <fb>42.77</fb>
    <v>13</v>
  </rv>
  <rv s="7">
    <fb>42.74</fb>
    <v>13</v>
  </rv>
  <rv s="7">
    <fb>42.78</fb>
    <v>13</v>
  </rv>
  <rv s="7">
    <fb>42.5</fb>
    <v>13</v>
  </rv>
  <rv s="7">
    <fb>43.31</fb>
    <v>13</v>
  </rv>
  <rv s="7">
    <fb>44.03</fb>
    <v>13</v>
  </rv>
  <rv s="7">
    <fb>43.16</fb>
    <v>13</v>
  </rv>
  <rv s="7">
    <fb>44.19</fb>
    <v>13</v>
  </rv>
  <rv s="7">
    <fb>44.05</fb>
    <v>13</v>
  </rv>
  <rv s="7">
    <fb>43.51</fb>
    <v>13</v>
  </rv>
  <rv s="7">
    <fb>44.52</fb>
    <v>13</v>
  </rv>
  <rv s="7">
    <fb>43.47</fb>
    <v>13</v>
  </rv>
  <rv s="7">
    <fb>42.98</fb>
    <v>13</v>
  </rv>
  <rv s="7">
    <fb>42.99</fb>
    <v>13</v>
  </rv>
  <rv s="7">
    <fb>42.73</fb>
    <v>13</v>
  </rv>
  <rv s="7">
    <fb>41.99</fb>
    <v>13</v>
  </rv>
  <rv s="7">
    <fb>43.05</fb>
    <v>13</v>
  </rv>
  <rv s="7">
    <fb>43.82</fb>
    <v>13</v>
  </rv>
  <rv s="7">
    <fb>45.61</fb>
    <v>13</v>
  </rv>
  <rv s="7">
    <fb>44.51</fb>
    <v>13</v>
  </rv>
  <rv s="7">
    <fb>46.15</fb>
    <v>13</v>
  </rv>
  <rv s="7">
    <fb>44</fb>
    <v>13</v>
  </rv>
  <rv s="7">
    <fb>45.24</fb>
    <v>13</v>
  </rv>
  <rv s="7">
    <fb>43.23</fb>
    <v>13</v>
  </rv>
  <rv s="7">
    <fb>42.75</fb>
    <v>13</v>
  </rv>
  <rv s="7">
    <fb>42.64</fb>
    <v>13</v>
  </rv>
  <rv s="7">
    <fb>42.71</fb>
    <v>13</v>
  </rv>
  <rv s="7">
    <fb>42.05</fb>
    <v>13</v>
  </rv>
  <rv s="7">
    <fb>42.2</fb>
    <v>13</v>
  </rv>
  <rv s="7">
    <fb>42.42</fb>
    <v>13</v>
  </rv>
  <rv s="7">
    <fb>42.57</fb>
    <v>13</v>
  </rv>
  <rv s="7">
    <fb>41.83</fb>
    <v>13</v>
  </rv>
  <rv s="7">
    <fb>43.77</fb>
    <v>13</v>
  </rv>
  <rv s="7">
    <fb>44.17</fb>
    <v>13</v>
  </rv>
  <rv s="7">
    <fb>43.94</fb>
    <v>13</v>
  </rv>
  <rv s="7">
    <fb>40.33</fb>
    <v>13</v>
  </rv>
  <rv s="7">
    <fb>39.729999999999997</fb>
    <v>13</v>
  </rv>
  <rv s="7">
    <fb>38.71</fb>
    <v>13</v>
  </rv>
  <rv s="7">
    <fb>37.979999999999997</fb>
    <v>13</v>
  </rv>
  <rv s="7">
    <fb>38.33</fb>
    <v>13</v>
  </rv>
  <rv s="7">
    <fb>37.200000000000003</fb>
    <v>13</v>
  </rv>
  <rv s="7">
    <fb>37.630000000000003</fb>
    <v>13</v>
  </rv>
  <rv s="7">
    <fb>36.31</fb>
    <v>13</v>
  </rv>
  <rv s="7">
    <fb>36.26</fb>
    <v>13</v>
  </rv>
  <rv s="7">
    <fb>35.68</fb>
    <v>13</v>
  </rv>
  <rv s="7">
    <fb>35.04</fb>
    <v>13</v>
  </rv>
  <rv s="7">
    <fb>34.200000000000003</fb>
    <v>13</v>
  </rv>
  <rv s="7">
    <fb>34.409999999999997</fb>
    <v>13</v>
  </rv>
  <rv s="7">
    <fb>34.5</fb>
    <v>13</v>
  </rv>
  <rv s="7">
    <fb>35.11</fb>
    <v>13</v>
  </rv>
  <rv s="7">
    <fb>31.88</fb>
    <v>13</v>
  </rv>
  <rv s="7">
    <fb>31.36</fb>
    <v>13</v>
  </rv>
  <rv s="7">
    <fb>30.47</fb>
    <v>13</v>
  </rv>
  <rv s="7">
    <fb>30.37</fb>
    <v>13</v>
  </rv>
  <rv s="7">
    <fb>30.51</fb>
    <v>13</v>
  </rv>
  <rv s="7">
    <fb>30.9</fb>
    <v>13</v>
  </rv>
  <rv s="7">
    <fb>30.97</fb>
    <v>13</v>
  </rv>
  <rv s="7">
    <fb>30.68</fb>
    <v>13</v>
  </rv>
  <rv s="7">
    <fb>30</fb>
    <v>13</v>
  </rv>
  <rv s="7">
    <fb>30.09</fb>
    <v>13</v>
  </rv>
  <rv s="7">
    <fb>29.85</fb>
    <v>13</v>
  </rv>
  <rv s="7">
    <fb>31.05</fb>
    <v>13</v>
  </rv>
  <rv s="7">
    <fb>31.27</fb>
    <v>13</v>
  </rv>
  <rv s="7">
    <fb>32.03</fb>
    <v>13</v>
  </rv>
  <rv s="7">
    <fb>31.83</fb>
    <v>13</v>
  </rv>
  <rv s="7">
    <fb>32.1</fb>
    <v>13</v>
  </rv>
  <rv s="7">
    <fb>31.74</fb>
    <v>13</v>
  </rv>
  <rv s="7">
    <fb>31.42</fb>
    <v>13</v>
  </rv>
  <rv s="7">
    <fb>30.08</fb>
    <v>13</v>
  </rv>
  <rv s="7">
    <fb>30.72</fb>
    <v>13</v>
  </rv>
  <rv s="7">
    <fb>31.06</fb>
    <v>13</v>
  </rv>
  <rv s="7">
    <fb>30.13</fb>
    <v>13</v>
  </rv>
  <rv s="7">
    <fb>30.19</fb>
    <v>13</v>
  </rv>
  <rv s="7">
    <fb>30.85</fb>
    <v>13</v>
  </rv>
  <rv s="7">
    <fb>30.29</fb>
    <v>13</v>
  </rv>
  <rv s="7">
    <fb>30.03</fb>
    <v>13</v>
  </rv>
  <rv s="7">
    <fb>30.78</fb>
    <v>13</v>
  </rv>
  <rv s="7">
    <fb>30.42</fb>
    <v>13</v>
  </rv>
  <rv s="7">
    <fb>30.91</fb>
    <v>13</v>
  </rv>
  <rv s="7">
    <fb>30.92</fb>
    <v>13</v>
  </rv>
  <rv s="7">
    <fb>30.76</fb>
    <v>13</v>
  </rv>
  <rv s="7">
    <fb>30.46</fb>
    <v>13</v>
  </rv>
  <rv s="7">
    <fb>30.45</fb>
    <v>13</v>
  </rv>
  <rv s="7">
    <fb>30.98</fb>
    <v>13</v>
  </rv>
  <rv s="7">
    <fb>30.63</fb>
    <v>13</v>
  </rv>
  <rv s="7">
    <fb>30.62</fb>
    <v>13</v>
  </rv>
  <rv s="7">
    <fb>31.09</fb>
    <v>13</v>
  </rv>
  <rv s="7">
    <fb>30.57</fb>
    <v>13</v>
  </rv>
  <rv s="7">
    <fb>30.54</fb>
    <v>13</v>
  </rv>
  <rv s="7">
    <fb>30.59</fb>
    <v>13</v>
  </rv>
  <rv s="7">
    <fb>30.84</fb>
    <v>13</v>
  </rv>
  <rv s="7">
    <fb>31.07</fb>
    <v>13</v>
  </rv>
  <rv s="7">
    <fb>31.23</fb>
    <v>13</v>
  </rv>
  <rv s="7">
    <fb>32.020000000000003</fb>
    <v>13</v>
  </rv>
  <rv s="7">
    <fb>33.99</fb>
    <v>13</v>
  </rv>
  <rv s="7">
    <fb>34.590000000000003</fb>
    <v>13</v>
  </rv>
  <rv s="7">
    <fb>34.869999999999997</fb>
    <v>13</v>
  </rv>
  <rv s="7">
    <fb>33.5</fb>
    <v>13</v>
  </rv>
  <rv s="7">
    <fb>34.49</fb>
    <v>13</v>
  </rv>
  <rv s="7">
    <fb>34.46</fb>
    <v>13</v>
  </rv>
  <rv s="7">
    <fb>34.340000000000003</fb>
    <v>13</v>
  </rv>
  <rv s="7">
    <fb>33.369999999999997</fb>
    <v>13</v>
  </rv>
  <rv s="7">
    <fb>32.950000000000003</fb>
    <v>13</v>
  </rv>
  <rv s="7">
    <fb>31.7</fb>
    <v>13</v>
  </rv>
  <rv s="7">
    <fb>31.1</fb>
    <v>13</v>
  </rv>
  <rv s="7">
    <fb>31.35</fb>
    <v>13</v>
  </rv>
  <rv s="7">
    <fb>30.83</fb>
    <v>13</v>
  </rv>
  <rv s="7">
    <fb>29.05</fb>
    <v>13</v>
  </rv>
  <rv s="7">
    <fb>21.48</fb>
    <v>13</v>
  </rv>
  <rv s="7">
    <fb>20.11</fb>
    <v>13</v>
  </rv>
  <rv s="7">
    <fb>19.829999999999998</fb>
    <v>13</v>
  </rv>
  <rv s="7">
    <fb>18.989999999999998</fb>
    <v>13</v>
  </rv>
  <rv s="7">
    <fb>20.49</fb>
    <v>13</v>
  </rv>
  <rv s="7">
    <fb>19.71</fb>
    <v>13</v>
  </rv>
  <rv s="7">
    <fb>19.36</fb>
    <v>13</v>
  </rv>
  <rv s="7">
    <fb>20.47</fb>
    <v>13</v>
  </rv>
  <rv s="7">
    <fb>19.920000000000002</fb>
    <v>13</v>
  </rv>
  <rv s="7">
    <fb>20.69</fb>
    <v>13</v>
  </rv>
  <rv s="7">
    <fb>20.87</fb>
    <v>13</v>
  </rv>
  <rv s="7">
    <fb>21.52</fb>
    <v>13</v>
  </rv>
  <rv s="7">
    <fb>20.99</fb>
    <v>13</v>
  </rv>
  <rv s="7">
    <fb>21.41</fb>
    <v>13</v>
  </rv>
  <rv s="7">
    <fb>20.100000000000001</fb>
    <v>13</v>
  </rv>
  <rv s="7">
    <fb>20.54</fb>
    <v>13</v>
  </rv>
  <rv s="7">
    <fb>20.13</fb>
    <v>13</v>
  </rv>
  <rv s="7">
    <fb>20.07</fb>
    <v>13</v>
  </rv>
  <rv s="7">
    <fb>19.61</fb>
    <v>13</v>
  </rv>
  <rv s="7">
    <fb>18.89</fb>
    <v>13</v>
  </rv>
  <rv s="7">
    <fb>19.07</fb>
    <v>13</v>
  </rv>
  <rv s="7">
    <fb>19.64</fb>
    <v>13</v>
  </rv>
  <rv s="7">
    <fb>19.66</fb>
    <v>13</v>
  </rv>
  <rv s="7">
    <fb>20.91</fb>
    <v>13</v>
  </rv>
  <rv s="7">
    <fb>21.47</fb>
    <v>13</v>
  </rv>
  <rv s="7">
    <fb>20.77</fb>
    <v>13</v>
  </rv>
  <rv s="7">
    <fb>21.14</fb>
    <v>13</v>
  </rv>
  <rv s="7">
    <fb>21.84</fb>
    <v>13</v>
  </rv>
  <rv s="7">
    <fb>22.56</fb>
    <v>13</v>
  </rv>
  <rv s="7">
    <fb>22.81</fb>
    <v>13</v>
  </rv>
  <rv s="7">
    <fb>23.54</fb>
    <v>13</v>
  </rv>
  <rv s="7">
    <fb>23.92</fb>
    <v>13</v>
  </rv>
  <rv s="7">
    <fb>23.91</fb>
    <v>13</v>
  </rv>
  <rv s="7">
    <fb>23.46</fb>
    <v>13</v>
  </rv>
  <rv s="7">
    <fb>22.69</fb>
    <v>13</v>
  </rv>
  <rv s="7">
    <fb>22.39</fb>
    <v>13</v>
  </rv>
  <rv s="7">
    <fb>22.26</fb>
    <v>13</v>
  </rv>
  <rv s="7">
    <fb>22.59</fb>
    <v>13</v>
  </rv>
  <rv s="7">
    <fb>22.38</fb>
    <v>13</v>
  </rv>
  <rv s="7">
    <fb>23.32</fb>
    <v>13</v>
  </rv>
  <rv s="7">
    <fb>23.22</fb>
    <v>13</v>
  </rv>
  <rv s="7">
    <fb>23.56</fb>
    <v>13</v>
  </rv>
  <rv s="7">
    <fb>23.44</fb>
    <v>13</v>
  </rv>
  <rv s="7">
    <fb>22.66</fb>
    <v>13</v>
  </rv>
  <rv s="7">
    <fb>22.44</fb>
    <v>13</v>
  </rv>
  <rv s="7">
    <fb>22.77</fb>
    <v>13</v>
  </rv>
  <rv s="7">
    <fb>22.84</fb>
    <v>13</v>
  </rv>
  <rv s="7">
    <fb>22.4</fb>
    <v>13</v>
  </rv>
  <rv s="7">
    <fb>21.98</fb>
    <v>13</v>
  </rv>
  <rv s="7">
    <fb>22.92</fb>
    <v>13</v>
  </rv>
  <rv s="7">
    <fb>22.9</fb>
    <v>13</v>
  </rv>
  <rv s="7">
    <fb>23.2</fb>
    <v>13</v>
  </rv>
  <rv s="7">
    <fb>22.52</fb>
    <v>13</v>
  </rv>
  <rv s="7">
    <fb>25.05</fb>
    <v>13</v>
  </rv>
  <rv s="7">
    <fb>26.23</fb>
    <v>13</v>
  </rv>
  <rv s="7">
    <fb>26.2</fb>
    <v>13</v>
  </rv>
  <rv s="7">
    <fb>24.16</fb>
    <v>13</v>
  </rv>
  <rv s="7">
    <fb>24.92</fb>
    <v>13</v>
  </rv>
  <rv s="7">
    <fb>25.03</fb>
    <v>13</v>
  </rv>
  <rv s="7">
    <fb>24.35</fb>
    <v>13</v>
  </rv>
  <rv s="7">
    <fb>24.84</fb>
    <v>13</v>
  </rv>
  <rv s="7">
    <fb>24.2</fb>
    <v>13</v>
  </rv>
  <rv s="7">
    <fb>24.01</fb>
    <v>13</v>
  </rv>
  <rv s="7">
    <fb>24.44</fb>
    <v>13</v>
  </rv>
  <rv s="7">
    <fb>24.5</fb>
    <v>13</v>
  </rv>
  <rv s="7">
    <fb>24.87</fb>
    <v>13</v>
  </rv>
  <rv s="7">
    <fb>24.05</fb>
    <v>13</v>
  </rv>
  <rv s="7">
    <fb>23.65</fb>
    <v>13</v>
  </rv>
  <rv s="7">
    <fb>23.93</fb>
    <v>13</v>
  </rv>
  <rv s="7">
    <fb>22.47</fb>
    <v>13</v>
  </rv>
  <rv s="7">
    <fb>21.96</fb>
    <v>13</v>
  </rv>
  <rv s="7">
    <fb>20.8</fb>
    <v>13</v>
  </rv>
  <rv s="7">
    <fb>20.92</fb>
    <v>13</v>
  </rv>
  <rv s="7">
    <fb>20.81</fb>
    <v>13</v>
  </rv>
  <rv s="7">
    <fb>20.16</fb>
    <v>13</v>
  </rv>
  <rv s="7">
    <fb>164.71</fb>
    <v>13</v>
  </rv>
  <rv s="7">
    <fb>163.62</fb>
    <v>13</v>
  </rv>
  <rv s="7">
    <fb>162.91</fb>
    <v>13</v>
  </rv>
  <rv s="7">
    <fb>162.22999999999999</fb>
    <v>13</v>
  </rv>
  <rv s="7">
    <fb>162.74</fb>
    <v>13</v>
  </rv>
  <rv s="7">
    <fb>161.56</fb>
    <v>13</v>
  </rv>
  <rv s="7">
    <fb>160.05000000000001</fb>
    <v>13</v>
  </rv>
  <rv s="7">
    <fb>160.78</fb>
    <v>13</v>
  </rv>
  <rv s="7">
    <fb>163.21</fb>
    <v>13</v>
  </rv>
  <rv s="7">
    <fb>163.75</fb>
    <v>13</v>
  </rv>
  <rv s="7">
    <fb>161.5</fb>
    <v>13</v>
  </rv>
  <rv s="7">
    <fb>160.1</fb>
    <v>13</v>
  </rv>
  <rv s="7">
    <fb>160.86000000000001</fb>
    <v>13</v>
  </rv>
  <rv s="7">
    <fb>159.16</fb>
    <v>13</v>
  </rv>
  <rv s="7">
    <fb>160.08000000000001</fb>
    <v>13</v>
  </rv>
  <rv s="7">
    <fb>162.16</fb>
    <v>13</v>
  </rv>
  <rv s="7">
    <fb>166.96</fb>
    <v>13</v>
  </rv>
  <rv s="7">
    <fb>166.08</fb>
    <v>13</v>
  </rv>
  <rv s="7">
    <fb>166.84</fb>
    <v>13</v>
  </rv>
  <rv s="7">
    <fb>172.83</fb>
    <v>13</v>
  </rv>
  <rv s="7">
    <fb>173.94</fb>
    <v>13</v>
  </rv>
  <rv s="7">
    <fb>173.93</fb>
    <v>13</v>
  </rv>
  <rv s="7">
    <fb>190.43</fb>
    <v>13</v>
  </rv>
  <rv s="7">
    <fb>187.42</fb>
    <v>13</v>
  </rv>
  <rv s="7">
    <fb>187.14</fb>
    <v>13</v>
  </rv>
  <rv s="7">
    <fb>187.87</fb>
    <v>13</v>
  </rv>
  <rv s="7">
    <fb>186.9</fb>
    <v>13</v>
  </rv>
  <rv s="7">
    <fb>185.79</fb>
    <v>13</v>
  </rv>
  <rv s="7">
    <fb>183.41</fb>
    <v>13</v>
  </rv>
  <rv s="7">
    <fb>183.74</fb>
    <v>13</v>
  </rv>
  <rv s="7">
    <fb>184.36</fb>
    <v>13</v>
  </rv>
  <rv s="7">
    <fb>186.16</fb>
    <v>13</v>
  </rv>
  <rv s="7">
    <fb>183.7</fb>
    <v>13</v>
  </rv>
  <rv s="7">
    <fb>183.57</fb>
    <v>13</v>
  </rv>
  <rv s="7">
    <fb>186.87</fb>
    <v>13</v>
  </rv>
  <rv s="7">
    <fb>187.64</fb>
    <v>13</v>
  </rv>
  <rv s="7">
    <fb>183.44</fb>
    <v>13</v>
  </rv>
  <rv s="7">
    <fb>179.7</fb>
    <v>13</v>
  </rv>
  <rv s="7">
    <fb>184.21</fb>
    <v>13</v>
  </rv>
  <rv s="7">
    <fb>185.72</fb>
    <v>13</v>
  </rv>
  <rv s="7">
    <fb>184.13</fb>
    <v>13</v>
  </rv>
  <rv s="7">
    <fb>184.87</fb>
    <v>13</v>
  </rv>
  <rv s="7">
    <fb>185.3</fb>
    <v>13</v>
  </rv>
  <rv s="7">
    <fb>185.03</fb>
    <v>13</v>
  </rv>
  <rv s="7">
    <fb>188.2</fb>
    <v>13</v>
  </rv>
  <rv s="7">
    <fb>193.06</fb>
    <v>13</v>
  </rv>
  <rv s="7">
    <fb>191.95</fb>
    <v>13</v>
  </rv>
  <rv s="7">
    <fb>196.16</fb>
    <v>13</v>
  </rv>
  <rv s="7">
    <fb>196.54</fb>
    <v>13</v>
  </rv>
  <rv s="7">
    <fb>195.95</fb>
    <v>13</v>
  </rv>
  <rv s="7">
    <fb>197.78</fb>
    <v>13</v>
  </rv>
  <rv s="7">
    <fb>196.7</fb>
    <v>13</v>
  </rv>
  <rv s="7">
    <fb>193.43</fb>
    <v>13</v>
  </rv>
  <rv s="7">
    <fb>191.07</fb>
    <v>13</v>
  </rv>
  <rv s="7">
    <fb>191.69</fb>
    <v>13</v>
  </rv>
  <rv s="7">
    <fb>193.34</fb>
    <v>13</v>
  </rv>
  <rv s="7">
    <fb>191.9</fb>
    <v>13</v>
  </rv>
  <rv s="7">
    <fb>190.84</fb>
    <v>13</v>
  </rv>
  <rv s="7">
    <fb>188.79</fb>
    <v>13</v>
  </rv>
  <rv s="7">
    <fb>188.5</fb>
    <v>13</v>
  </rv>
  <rv s="7">
    <fb>190.8</fb>
    <v>13</v>
  </rv>
  <rv s="7">
    <fb>190.96</fb>
    <v>13</v>
  </rv>
  <rv s="7">
    <fb>189.83</fb>
    <v>13</v>
  </rv>
  <rv s="7">
    <fb>188.88</fb>
    <v>13</v>
  </rv>
  <rv s="7">
    <fb>187.94</fb>
    <v>13</v>
  </rv>
  <rv s="7">
    <fb>189.14</fb>
    <v>13</v>
  </rv>
  <rv s="7">
    <fb>189.82</fb>
    <v>13</v>
  </rv>
  <rv s="7">
    <fb>189.31</fb>
    <v>13</v>
  </rv>
  <rv s="7">
    <fb>186.04</fb>
    <v>13</v>
  </rv>
  <rv s="7">
    <fb>185.9</fb>
    <v>13</v>
  </rv>
  <rv s="7">
    <fb>182.27</fb>
    <v>13</v>
  </rv>
  <rv s="7">
    <fb>181.25</fb>
    <v>13</v>
  </rv>
  <rv s="7">
    <fb>183.1</fb>
    <v>13</v>
  </rv>
  <rv s="7">
    <fb>181.47</fb>
    <v>13</v>
  </rv>
  <rv s="7">
    <fb>181.58</fb>
    <v>13</v>
  </rv>
  <rv s="7">
    <fb>181.9</fb>
    <v>13</v>
  </rv>
  <rv s="7">
    <fb>182.19</fb>
    <v>13</v>
  </rv>
  <rv s="7">
    <fb>184.1</fb>
    <v>13</v>
  </rv>
  <rv s="7">
    <fb>168.91</fb>
    <v>13</v>
  </rv>
  <rv s="7">
    <fb>167.13</fb>
    <v>13</v>
  </rv>
  <rv s="7">
    <fb>166.2</fb>
    <v>13</v>
  </rv>
  <rv s="7">
    <fb>164.43</fb>
    <v>13</v>
  </rv>
  <rv s="7">
    <fb>164.69</fb>
    <v>13</v>
  </rv>
  <rv s="7">
    <fb>165.71</fb>
    <v>13</v>
  </rv>
  <rv s="7">
    <fb>168.61</fb>
    <v>13</v>
  </rv>
  <rv s="7">
    <fb>168.38</fb>
    <v>13</v>
  </rv>
  <rv s="7">
    <fb>166.27</fb>
    <v>13</v>
  </rv>
  <rv s="7">
    <fb>167.15</fb>
    <v>13</v>
  </rv>
  <rv s="7">
    <fb>167.56</fb>
    <v>13</v>
  </rv>
  <rv s="7">
    <fb>167.36</fb>
    <v>13</v>
  </rv>
  <rv s="7">
    <fb>168.26</fb>
    <v>13</v>
  </rv>
  <rv s="7">
    <fb>168.97</fb>
    <v>13</v>
  </rv>
  <rv s="7">
    <fb>169.03</fb>
    <v>13</v>
  </rv>
  <rv s="7">
    <fb>169.92</fb>
    <v>13</v>
  </rv>
  <rv s="7">
    <fb>173.47</fb>
    <v>13</v>
  </rv>
  <rv s="7">
    <fb>170.67</fb>
    <v>13</v>
  </rv>
  <rv s="7">
    <fb>170.89</fb>
    <v>13</v>
  </rv>
  <rv s="7">
    <fb>169.66</fb>
    <v>13</v>
  </rv>
  <rv s="7">
    <fb>167.05</fb>
    <v>13</v>
  </rv>
  <rv s="7">
    <fb>165.63</fb>
    <v>13</v>
  </rv>
  <rv s="7">
    <fb>166.85</fb>
    <v>13</v>
  </rv>
  <rv s="7">
    <fb>165.81</fb>
    <v>13</v>
  </rv>
  <rv s="7">
    <fb>167.38</fb>
    <v>13</v>
  </rv>
  <rv s="7">
    <fb>168.2</fb>
    <v>13</v>
  </rv>
  <rv s="7">
    <fb>170.01</fb>
    <v>13</v>
  </rv>
  <rv s="7">
    <fb>170.38</fb>
    <v>13</v>
  </rv>
  <rv s="7">
    <fb>169.32</fb>
    <v>13</v>
  </rv>
  <rv s="7">
    <fb>169.21</fb>
    <v>13</v>
  </rv>
  <rv s="7">
    <fb>169.5</fb>
    <v>13</v>
  </rv>
  <rv s="7">
    <fb>170.55</fb>
    <v>13</v>
  </rv>
  <rv s="7">
    <fb>173.92</fb>
    <v>13</v>
  </rv>
  <rv s="7">
    <fb>172.46</fb>
    <v>13</v>
  </rv>
  <rv s="7">
    <fb>172.6</fb>
    <v>13</v>
  </rv>
  <rv s="7">
    <fb>171.87</fb>
    <v>13</v>
  </rv>
  <rv s="7">
    <fb>172.95</fb>
    <v>13</v>
  </rv>
  <rv s="7">
    <fb>177.3</fb>
    <v>13</v>
  </rv>
  <rv s="7">
    <fb>175.73</fb>
    <v>13</v>
  </rv>
  <rv s="7">
    <fb>176.02</fb>
    <v>13</v>
  </rv>
  <rv s="7">
    <fb>177.64</fb>
    <v>13</v>
  </rv>
  <rv s="7">
    <fb>176.48</fb>
    <v>13</v>
  </rv>
  <rv s="7">
    <fb>177.84</fb>
    <v>13</v>
  </rv>
  <rv s="7">
    <fb>178.31</fb>
    <v>13</v>
  </rv>
  <rv s="7">
    <fb>182.83</fb>
    <v>13</v>
  </rv>
  <rv s="7">
    <fb>182.88</fb>
    <v>13</v>
  </rv>
  <rv s="7">
    <fb>185.81</fb>
    <v>13</v>
  </rv>
  <rv s="7">
    <fb>187.45</fb>
    <v>13</v>
  </rv>
  <rv s="7">
    <fb>185.22</fb>
    <v>13</v>
  </rv>
  <rv s="7">
    <fb>183.25</fb>
    <v>13</v>
  </rv>
  <rv s="7">
    <fb>184.02</fb>
    <v>13</v>
  </rv>
  <rv s="7">
    <fb>191.98</fb>
    <v>13</v>
  </rv>
  <rv s="7">
    <fb>191.75</fb>
    <v>13</v>
  </rv>
  <rv s="7">
    <fb>191.5</fb>
    <v>13</v>
  </rv>
  <rv s="7">
    <fb>192.14</fb>
    <v>13</v>
  </rv>
  <rv s="7">
    <fb>189.66</fb>
    <v>13</v>
  </rv>
  <rv s="7">
    <fb>189.12</fb>
    <v>13</v>
  </rv>
  <rv s="7">
    <fb>183.31</fb>
    <v>13</v>
  </rv>
  <rv s="7">
    <fb>186.8</fb>
    <v>13</v>
  </rv>
  <rv s="7">
    <fb>192.61</fb>
    <v>13</v>
  </rv>
  <rv s="7">
    <fb>191.45</fb>
    <v>13</v>
  </rv>
  <rv s="7">
    <fb>189.48</fb>
    <v>13</v>
  </rv>
  <rv s="7">
    <fb>190.99</fb>
    <v>13</v>
  </rv>
  <rv s="7">
    <fb>192.32</fb>
    <v>13</v>
  </rv>
  <rv s="7">
    <fb>193.95</fb>
    <v>13</v>
  </rv>
  <rv s="7">
    <fb>193.78</fb>
    <v>13</v>
  </rv>
  <rv s="7">
    <fb>194.73</fb>
    <v>13</v>
  </rv>
  <rv s="7">
    <fb>196.03</fb>
    <v>13</v>
  </rv>
  <rv s="7">
    <fb>197.21</fb>
    <v>13</v>
  </rv>
  <rv s="7">
    <fb>195.96</fb>
    <v>13</v>
  </rv>
  <rv s="7">
    <fb>196.1</fb>
    <v>13</v>
  </rv>
  <rv s="7">
    <fb>197.98</fb>
    <v>13</v>
  </rv>
  <rv s="7">
    <fb>198.73</fb>
    <v>13</v>
  </rv>
  <rv s="7">
    <fb>198.46</fb>
    <v>13</v>
  </rv>
  <rv s="7">
    <fb>198.9</fb>
    <v>13</v>
  </rv>
  <rv s="7">
    <fb>202.13</fb>
    <v>13</v>
  </rv>
  <rv s="7">
    <fb>201.28</fb>
    <v>13</v>
  </rv>
  <rv s="7">
    <fb>204.11</fb>
    <v>13</v>
  </rv>
  <rv s="7">
    <fb>202.59</fb>
    <v>13</v>
  </rv>
  <rv s="7">
    <fb>200.74</fb>
    <v>13</v>
  </rv>
  <rv s="7">
    <fb>203.53</fb>
    <v>13</v>
  </rv>
  <rv s="7">
    <fb>205.32</fb>
    <v>13</v>
  </rv>
  <rv s="7">
    <fb>209.89</fb>
    <v>13</v>
  </rv>
  <rv s="7">
    <fb>211.61</fb>
    <v>13</v>
  </rv>
  <rv s="7">
    <fb>214.79</fb>
    <v>13</v>
  </rv>
  <rv s="7">
    <fb>217.16</fb>
    <v>13</v>
  </rv>
  <rv s="7">
    <fb>214.13</fb>
    <v>13</v>
  </rv>
  <rv s="7">
    <fb>214.94</fb>
    <v>13</v>
  </rv>
  <rv s="7">
    <fb>213.89</fb>
    <v>13</v>
  </rv>
  <rv s="7">
    <fb>217.7</fb>
    <v>13</v>
  </rv>
  <rv s="7">
    <fb>220.5</fb>
    <v>13</v>
  </rv>
  <rv s="7">
    <fb>220.97</fb>
    <v>13</v>
  </rv>
  <rv s="7">
    <fb>221.23</fb>
    <v>13</v>
  </rv>
  <rv s="7">
    <fb>223.43</fb>
    <v>13</v>
  </rv>
  <rv s="7">
    <fb>220.84</fb>
    <v>13</v>
  </rv>
  <rv s="7">
    <fb>221.08</fb>
    <v>13</v>
  </rv>
  <rv s="7">
    <fb>219.35</fb>
    <v>13</v>
  </rv>
  <rv s="7">
    <fb>219.73</fb>
    <v>13</v>
  </rv>
  <rv s="7">
    <fb>226</fb>
    <v>13</v>
  </rv>
  <rv s="7">
    <fb>227.12</fb>
    <v>13</v>
  </rv>
  <rv s="7">
    <fb>228.62</fb>
    <v>13</v>
  </rv>
  <rv s="7">
    <fb>234.3</fb>
    <v>13</v>
  </rv>
  <rv s="7">
    <fb>233.02</fb>
    <v>13</v>
  </rv>
  <rv s="7">
    <fb>233.26</fb>
    <v>13</v>
  </rv>
  <rv s="7">
    <fb>235.26</fb>
    <v>13</v>
  </rv>
  <rv s="7">
    <fb>232.96</fb>
    <v>13</v>
  </rv>
  <rv s="7">
    <fb>232.88</fb>
    <v>13</v>
  </rv>
  <rv s="7">
    <fb>232.2</fb>
    <v>13</v>
  </rv>
  <rv s="7">
    <fb>231.75</fb>
    <v>13</v>
  </rv>
  <rv s="7">
    <fb>232.25</fb>
    <v>13</v>
  </rv>
  <rv s="7">
    <fb>232.75</fb>
    <v>13</v>
  </rv>
  <rv s="7">
    <fb>218.39</fb>
    <v>13</v>
  </rv>
  <rv s="7">
    <fb>214.67</fb>
    <v>13</v>
  </rv>
  <rv s="7">
    <fb>212.91</fb>
    <v>13</v>
  </rv>
  <rv s="7">
    <fb>210.43</fb>
    <v>13</v>
  </rv>
  <rv s="7">
    <fb>204.9</fb>
    <v>13</v>
  </rv>
  <rv s="7">
    <fb>206.72</fb>
    <v>13</v>
  </rv>
  <rv s="7">
    <fb>208.25</fb>
    <v>13</v>
  </rv>
  <rv s="7">
    <fb>206.32</fb>
    <v>13</v>
  </rv>
  <rv s="7">
    <fb>207.57</fb>
    <v>13</v>
  </rv>
  <rv s="7">
    <fb>213.6</fb>
    <v>13</v>
  </rv>
  <rv s="7">
    <fb>213.69</fb>
    <v>13</v>
  </rv>
  <rv s="7">
    <fb>213.72</fb>
    <v>13</v>
  </rv>
  <rv s="7">
    <fb>213.57</fb>
    <v>13</v>
  </rv>
  <rv s="7">
    <fb>210.86</fb>
    <v>13</v>
  </rv>
  <rv s="7">
    <fb>210.92</fb>
    <v>13</v>
  </rv>
  <rv s="7">
    <fb>208.99</fb>
    <v>13</v>
  </rv>
  <rv s="7">
    <fb>204.99</fb>
    <v>13</v>
  </rv>
  <rv s="7">
    <fb>208.09</fb>
    <v>13</v>
  </rv>
  <rv s="7">
    <fb>210.25</fb>
    <v>13</v>
  </rv>
  <rv s="7">
    <fb>214.6</fb>
    <v>13</v>
  </rv>
  <rv s="7">
    <fb>222.4</fb>
    <v>13</v>
  </rv>
  <rv s="7">
    <fb>222.97</fb>
    <v>13</v>
  </rv>
  <rv s="7">
    <fb>226.13</fb>
    <v>13</v>
  </rv>
  <rv s="7">
    <fb>228.83</fb>
    <v>13</v>
  </rv>
  <rv s="7">
    <fb>226.92</fb>
    <v>13</v>
  </rv>
  <rv s="7">
    <fb>227.41</fb>
    <v>13</v>
  </rv>
  <rv s="7">
    <fb>227.39</fb>
    <v>13</v>
  </rv>
  <rv s="7">
    <fb>233.49</fb>
    <v>13</v>
  </rv>
  <rv s="7">
    <fb>234.75</fb>
    <v>13</v>
  </rv>
  <rv s="7">
    <fb>238.04</fb>
    <v>13</v>
  </rv>
  <rv s="7">
    <fb>230</fb>
    <v>13</v>
  </rv>
  <rv s="7">
    <fb>231.72</fb>
    <v>13</v>
  </rv>
  <rv s="7">
    <fb>155.79</fb>
    <v>13</v>
  </rv>
  <rv s="7">
    <fb>155.16</fb>
    <v>13</v>
  </rv>
  <rv s="7">
    <fb>156.46</fb>
    <v>13</v>
  </rv>
  <rv s="7">
    <fb>153.27000000000001</fb>
    <v>13</v>
  </rv>
  <rv s="7">
    <fb>155.46</fb>
    <v>13</v>
  </rv>
  <rv s="7">
    <fb>156.58000000000001</fb>
    <v>13</v>
  </rv>
  <rv s="7">
    <fb>160.97</fb>
    <v>13</v>
  </rv>
  <rv s="7">
    <fb>160.63</fb>
    <v>13</v>
  </rv>
  <rv s="7">
    <fb>161.13</fb>
    <v>13</v>
  </rv>
  <rv s="7">
    <fb>161.53</fb>
    <v>13</v>
  </rv>
  <rv s="7">
    <fb>161.87</fb>
    <v>13</v>
  </rv>
  <rv s="7">
    <fb>161.15</fb>
    <v>13</v>
  </rv>
  <rv s="7">
    <fb>162.38999999999999</fb>
    <v>13</v>
  </rv>
  <rv s="7">
    <fb>160.52000000000001</fb>
    <v>13</v>
  </rv>
  <rv s="7">
    <fb>161.21</fb>
    <v>13</v>
  </rv>
  <rv s="7">
    <fb>161.68</fb>
    <v>13</v>
  </rv>
  <rv s="7">
    <fb>162.47</fb>
    <v>13</v>
  </rv>
  <rv s="7">
    <fb>159.56</fb>
    <v>13</v>
  </rv>
  <rv s="7">
    <fb>159.5</fb>
    <v>13</v>
  </rv>
  <rv s="7">
    <fb>159.36000000000001</fb>
    <v>13</v>
  </rv>
  <rv s="7">
    <fb>158.77000000000001</fb>
    <v>13</v>
  </rv>
  <rv s="7">
    <fb>158.9</fb>
    <v>13</v>
  </rv>
  <rv s="7">
    <fb>158.36000000000001</fb>
    <v>13</v>
  </rv>
  <rv s="7">
    <fb>156.61000000000001</fb>
    <v>13</v>
  </rv>
  <rv s="7">
    <fb>155.80000000000001</fb>
    <v>13</v>
  </rv>
  <rv s="7">
    <fb>157.97999999999999</fb>
    <v>13</v>
  </rv>
  <rv s="7">
    <fb>156.76</fb>
    <v>13</v>
  </rv>
  <rv s="7">
    <fb>157.85</fb>
    <v>13</v>
  </rv>
  <rv s="7">
    <fb>155.74</fb>
    <v>13</v>
  </rv>
  <rv s="7">
    <fb>157.91999999999999</fb>
    <v>13</v>
  </rv>
  <rv s="7">
    <fb>156.55000000000001</fb>
    <v>13</v>
  </rv>
  <rv s="7">
    <fb>157.86000000000001</fb>
    <v>13</v>
  </rv>
  <rv s="7">
    <fb>158.68</fb>
    <v>13</v>
  </rv>
  <rv s="7">
    <fb>160.44999999999999</fb>
    <v>13</v>
  </rv>
  <rv s="7">
    <fb>161.84</fb>
    <v>13</v>
  </rv>
  <rv s="7">
    <fb>160.97999999999999</fb>
    <v>13</v>
  </rv>
  <rv s="7">
    <fb>161.55000000000001</fb>
    <v>13</v>
  </rv>
  <rv s="7">
    <fb>161.38</fb>
    <v>13</v>
  </rv>
  <rv s="7">
    <fb>162.12</fb>
    <v>13</v>
  </rv>
  <rv s="7">
    <fb>159.84</fb>
    <v>13</v>
  </rv>
  <rv s="7">
    <fb>159.34</fb>
    <v>13</v>
  </rv>
  <rv s="7">
    <fb>158.87</fb>
    <v>13</v>
  </rv>
  <rv s="7">
    <fb>159.52000000000001</fb>
    <v>13</v>
  </rv>
  <rv s="7">
    <fb>159.21</fb>
    <v>13</v>
  </rv>
  <rv s="7">
    <fb>158.18</fb>
    <v>13</v>
  </rv>
  <rv s="7">
    <fb>156.21</fb>
    <v>13</v>
  </rv>
  <rv s="7">
    <fb>155.76</fb>
    <v>13</v>
  </rv>
  <rv s="7">
    <fb>155.75</fb>
    <v>13</v>
  </rv>
  <rv s="7">
    <fb>155.22999999999999</fb>
    <v>13</v>
  </rv>
  <rv s="7">
    <fb>155.22</fb>
    <v>13</v>
  </rv>
  <rv s="7">
    <fb>157.96</fb>
    <v>13</v>
  </rv>
  <rv s="7">
    <fb>158.19</fb>
    <v>13</v>
  </rv>
  <rv s="7">
    <fb>157.78</fb>
    <v>13</v>
  </rv>
  <rv s="7">
    <fb>154.26</fb>
    <v>13</v>
  </rv>
  <rv s="7">
    <fb>151.59</fb>
    <v>13</v>
  </rv>
  <rv s="7">
    <fb>152.29</fb>
    <v>13</v>
  </rv>
  <rv s="7">
    <fb>150.19999999999999</fb>
    <v>13</v>
  </rv>
  <rv s="7">
    <fb>148.79</fb>
    <v>13</v>
  </rv>
  <rv s="7">
    <fb>147.52000000000001</fb>
    <v>13</v>
  </rv>
  <rv s="7">
    <fb>147.59</fb>
    <v>13</v>
  </rv>
  <rv s="7">
    <fb>144.44999999999999</fb>
    <v>13</v>
  </rv>
  <rv s="7">
    <fb>144.77000000000001</fb>
    <v>13</v>
  </rv>
  <rv s="7">
    <fb>145.74</fb>
    <v>13</v>
  </rv>
  <rv s="7">
    <fb>147.91</fb>
    <v>13</v>
  </rv>
  <rv s="7">
    <fb>149.12</fb>
    <v>13</v>
  </rv>
  <rv s="7">
    <fb>149.56</fb>
    <v>13</v>
  </rv>
  <rv s="7">
    <fb>148.53</fb>
    <v>13</v>
  </rv>
  <rv s="7">
    <fb>146.82</fb>
    <v>13</v>
  </rv>
  <rv s="7">
    <fb>146.13999999999999</fb>
    <v>13</v>
  </rv>
  <rv s="7">
    <fb>144.59</fb>
    <v>13</v>
  </rv>
  <rv s="7">
    <fb>151.18</fb>
    <v>13</v>
  </rv>
  <rv s="7">
    <fb>149.91999999999999</fb>
    <v>13</v>
  </rv>
  <rv s="7">
    <fb>149.27000000000001</fb>
    <v>13</v>
  </rv>
  <rv s="7">
    <fb>148.58000000000001</fb>
    <v>13</v>
  </rv>
  <rv s="7">
    <fb>148.72</fb>
    <v>13</v>
  </rv>
  <rv s="7">
    <fb>148.94999999999999</fb>
    <v>13</v>
  </rv>
  <rv s="7">
    <fb>149.85</fb>
    <v>13</v>
  </rv>
  <rv s="7">
    <fb>149.91</fb>
    <v>13</v>
  </rv>
  <rv s="7">
    <fb>151.22</fb>
    <v>13</v>
  </rv>
  <rv s="7">
    <fb>151.38</fb>
    <v>13</v>
  </rv>
  <rv s="7">
    <fb>152.66999999999999</fb>
    <v>13</v>
  </rv>
  <rv s="7">
    <fb>154.28</fb>
    <v>13</v>
  </rv>
  <rv s="7">
    <fb>154.63999999999999</fb>
    <v>13</v>
  </rv>
  <rv s="7">
    <fb>151.27000000000001</fb>
    <v>13</v>
  </rv>
  <rv s="7">
    <fb>151.24</fb>
    <v>13</v>
  </rv>
  <rv s="7">
    <fb>146.97</fb>
    <v>13</v>
  </rv>
  <rv s="7">
    <fb>144.38</fb>
    <v>13</v>
  </rv>
  <rv s="7">
    <fb>144.44</fb>
    <v>13</v>
  </rv>
  <rv s="7">
    <fb>146.66999999999999</fb>
    <v>13</v>
  </rv>
  <rv s="7">
    <fb>147.74</fb>
    <v>13</v>
  </rv>
  <rv s="7">
    <fb>147.80000000000001</fb>
    <v>13</v>
  </rv>
  <rv s="7">
    <fb>145.97</fb>
    <v>13</v>
  </rv>
  <rv s="7">
    <fb>146.41999999999999</fb>
    <v>13</v>
  </rv>
  <rv s="7">
    <fb>147.08000000000001</fb>
    <v>13</v>
  </rv>
  <rv s="7">
    <fb>147.13</fb>
    <v>13</v>
  </rv>
  <rv s="7">
    <fb>146.76</fb>
    <v>13</v>
  </rv>
  <rv s="7">
    <fb>145.44999999999999</fb>
    <v>13</v>
  </rv>
  <rv s="7">
    <fb>145.94999999999999</fb>
    <v>13</v>
  </rv>
  <rv s="7">
    <fb>145.65</fb>
    <v>13</v>
  </rv>
  <rv s="7">
    <fb>147.78</fb>
    <v>13</v>
  </rv>
  <rv s="7">
    <fb>147.19</fb>
    <v>13</v>
  </rv>
  <rv s="7">
    <fb>145.80000000000001</fb>
    <v>13</v>
  </rv>
  <rv s="7">
    <fb>146.44</fb>
    <v>13</v>
  </rv>
  <rv s="7">
    <fb>146.03</fb>
    <v>13</v>
  </rv>
  <rv s="7">
    <fb>145.69</fb>
    <v>13</v>
  </rv>
  <rv s="7">
    <fb>146.47999999999999</fb>
    <v>13</v>
  </rv>
  <rv s="7">
    <fb>145.47999999999999</fb>
    <v>13</v>
  </rv>
  <rv s="7">
    <fb>147.05000000000001</fb>
    <v>13</v>
  </rv>
  <rv s="7">
    <fb>149.43</fb>
    <v>13</v>
  </rv>
  <rv s="7">
    <fb>149.24</fb>
    <v>13</v>
  </rv>
  <rv s="7">
    <fb>155.41999999999999</fb>
    <v>13</v>
  </rv>
  <rv s="7">
    <fb>154.24</fb>
    <v>13</v>
  </rv>
  <rv s="7">
    <fb>159.63999999999999</fb>
    <v>13</v>
  </rv>
  <rv s="7">
    <fb>158.56</fb>
    <v>13</v>
  </rv>
  <rv s="7">
    <fb>164.14</fb>
    <v>13</v>
  </rv>
  <rv s="7">
    <fb>161.25</fb>
    <v>13</v>
  </rv>
  <rv s="7">
    <fb>158.97</fb>
    <v>13</v>
  </rv>
  <rv s="7">
    <fb>160.22</fb>
    <v>13</v>
  </rv>
  <rv s="7">
    <fb>160.62</fb>
    <v>13</v>
  </rv>
  <rv s="7">
    <fb>159.88</fb>
    <v>13</v>
  </rv>
  <rv s="7">
    <fb>158.38999999999999</fb>
    <v>13</v>
  </rv>
  <rv s="7">
    <fb>158.47999999999999</fb>
    <v>13</v>
  </rv>
  <rv s="7">
    <fb>159.09</fb>
    <v>13</v>
  </rv>
  <rv s="7">
    <fb>159.38999999999999</fb>
    <v>13</v>
  </rv>
  <rv s="7">
    <fb>160.16</fb>
    <v>13</v>
  </rv>
  <rv s="7">
    <fb>161.43</fb>
    <v>13</v>
  </rv>
  <rv s="7">
    <fb>162.35</fb>
    <v>13</v>
  </rv>
  <rv s="7">
    <fb>164.13</fb>
    <v>13</v>
  </rv>
  <rv s="7">
    <fb>164.61</fb>
    <v>13</v>
  </rv>
  <rv s="7">
    <fb>162.94999999999999</fb>
    <v>13</v>
  </rv>
  <rv s="7">
    <fb>163.92</fb>
    <v>13</v>
  </rv>
  <rv s="7">
    <fb>164.23</fb>
    <v>13</v>
  </rv>
  <rv s="7">
    <fb>167.16</fb>
    <v>13</v>
  </rv>
  <rv s="7">
    <fb>164.99</fb>
    <v>13</v>
  </rv>
  <rv s="7">
    <fb>166.61</fb>
    <v>13</v>
  </rv>
  <rv s="7">
    <fb>164.82</fb>
    <v>13</v>
  </rv>
  <rv s="7">
    <fb>167.07</fb>
    <v>13</v>
  </rv>
  <rv s="7">
    <fb>163.22</fb>
    <v>13</v>
  </rv>
  <rv s="7">
    <fb>160.6</fb>
    <v>13</v>
  </rv>
  <rv s="7">
    <fb>161.38999999999999</fb>
    <v>13</v>
  </rv>
  <rv s="7">
    <fb>161.4</fb>
    <v>13</v>
  </rv>
  <rv s="7">
    <fb>162.06</fb>
    <v>13</v>
  </rv>
  <rv s="7">
    <fb>161.99</fb>
    <v>13</v>
  </rv>
  <rv s="7">
    <fb>161.16999999999999</fb>
    <v>13</v>
  </rv>
  <rv s="7">
    <fb>160.5</fb>
    <v>13</v>
  </rv>
  <rv s="7">
    <fb>160.29</fb>
    <v>13</v>
  </rv>
  <rv s="7">
    <fb>159.53</fb>
    <v>13</v>
  </rv>
  <rv s="7">
    <fb>159.69</fb>
    <v>13</v>
  </rv>
  <rv s="7">
    <fb>160.65</fb>
    <v>13</v>
  </rv>
  <rv s="7">
    <fb>160.51</fb>
    <v>13</v>
  </rv>
  <rv s="7">
    <fb>161.46</fb>
    <v>13</v>
  </rv>
  <rv s="7">
    <fb>164.1</fb>
    <v>13</v>
  </rv>
  <rv s="7">
    <fb>164.28</fb>
    <v>13</v>
  </rv>
  <rv s="7">
    <fb>165.12</fb>
    <v>13</v>
  </rv>
  <rv s="7">
    <fb>162.83000000000001</fb>
    <v>13</v>
  </rv>
  <rv s="7">
    <fb>163.44999999999999</fb>
    <v>13</v>
  </rv>
  <rv s="7">
    <fb>160.88</fb>
    <v>13</v>
  </rv>
  <rv s="7">
    <fb>160.09</fb>
    <v>13</v>
  </rv>
  <rv s="7">
    <fb>160.61000000000001</fb>
    <v>13</v>
  </rv>
  <rv s="7">
    <fb>159.86000000000001</fb>
    <v>13</v>
  </rv>
  <rv s="7">
    <fb>160.13</fb>
    <v>13</v>
  </rv>
  <rv s="7">
    <fb>158.24</fb>
    <v>13</v>
  </rv>
  <rv s="7">
    <fb>158.35</fb>
    <v>13</v>
  </rv>
  <rv s="7">
    <fb>157.88</fb>
    <v>13</v>
  </rv>
  <rv s="7">
    <fb>156.72999999999999</fb>
    <v>13</v>
  </rv>
  <rv s="7">
    <fb>155.04</fb>
    <v>13</v>
  </rv>
  <rv s="7">
    <fb>152.63999999999999</fb>
    <v>13</v>
  </rv>
  <rv s="7">
    <fb>153.24</fb>
    <v>13</v>
  </rv>
  <rv s="7">
    <fb>154.77000000000001</fb>
    <v>13</v>
  </rv>
  <rv s="7">
    <fb>153</fb>
    <v>13</v>
  </rv>
  <rv s="7">
    <fb>153.11000000000001</fb>
    <v>13</v>
  </rv>
  <rv s="7">
    <fb>155.5</fb>
    <v>13</v>
  </rv>
  <rv s="7">
    <fb>155.16999999999999</fb>
    <v>13</v>
  </rv>
  <rv s="7">
    <fb>154.52000000000001</fb>
    <v>13</v>
  </rv>
  <rv s="7">
    <fb>155.4</fb>
    <v>13</v>
  </rv>
  <rv s="7">
    <fb>155.01</fb>
    <v>13</v>
  </rv>
  <rv s="7">
    <fb>154.80000000000001</fb>
    <v>13</v>
  </rv>
  <rv s="7">
    <fb>152.36000000000001</fb>
    <v>13</v>
  </rv>
  <rv s="7">
    <fb>150.47</fb>
    <v>13</v>
  </rv>
  <rv s="7">
    <fb>149.52000000000001</fb>
    <v>13</v>
  </rv>
  <rv s="7">
    <fb>149.31</fb>
    <v>13</v>
  </rv>
  <rv s="7">
    <fb>149.6</fb>
    <v>13</v>
  </rv>
  <rv s="7">
    <fb>149.22999999999999</fb>
    <v>13</v>
  </rv>
  <rv s="7">
    <fb>161.06</fb>
    <v>13</v>
  </rv>
  <rv s="7">
    <fb>163.99</fb>
    <v>13</v>
  </rv>
  <rv s="7">
    <fb>165.23</fb>
    <v>13</v>
  </rv>
  <rv s="7">
    <fb>166.23</fb>
    <v>13</v>
  </rv>
  <rv s="7">
    <fb>166.55</fb>
    <v>13</v>
  </rv>
  <rv s="7">
    <fb>167.5</fb>
    <v>13</v>
  </rv>
  <rv s="7">
    <fb>167.4</fb>
    <v>13</v>
  </rv>
  <rv s="7">
    <fb>168.39</fb>
    <v>13</v>
  </rv>
  <rv s="7">
    <fb>169.4</fb>
    <v>13</v>
  </rv>
  <rv s="7">
    <fb>170.3</fb>
    <v>13</v>
  </rv>
  <rv s="7">
    <fb>172.08</fb>
    <v>13</v>
  </rv>
  <rv s="7">
    <fb>171.33</fb>
    <v>13</v>
  </rv>
  <rv s="7">
    <fb>172.27</fb>
    <v>13</v>
  </rv>
  <rv s="7">
    <fb>172.02</fb>
    <v>13</v>
  </rv>
  <rv s="7">
    <fb>170.66</fb>
    <v>13</v>
  </rv>
  <rv s="7">
    <fb>169.05</fb>
    <v>13</v>
  </rv>
  <rv s="7">
    <fb>167.99</fb>
    <v>13</v>
  </rv>
  <rv s="7">
    <fb>167.09</fb>
    <v>13</v>
  </rv>
  <rv s="7">
    <fb>167.42</fb>
    <v>13</v>
  </rv>
  <rv s="7">
    <fb>170.11</fb>
    <v>13</v>
  </rv>
  <rv s="7">
    <fb>172.94</fb>
    <v>13</v>
  </rv>
  <rv s="7">
    <fb>172.73</fb>
    <v>13</v>
  </rv>
  <rv s="7">
    <fb>176.27</fb>
    <v>13</v>
  </rv>
  <rv s="7">
    <fb>174.36</fb>
    <v>13</v>
  </rv>
  <rv s="7">
    <fb>173.73</fb>
    <v>13</v>
  </rv>
  <rv s="7">
    <fb>174.5</fb>
    <v>13</v>
  </rv>
  <rv s="7">
    <fb>174.8</fb>
    <v>13</v>
  </rv>
  <rv s="7">
    <fb>175.79</fb>
    <v>13</v>
  </rv>
  <rv s="7">
    <fb>174.26</fb>
    <v>13</v>
  </rv>
  <rv s="7">
    <fb>176.03</fb>
    <v>13</v>
  </rv>
  <rv s="7">
    <fb>179.87</fb>
    <v>13</v>
  </rv>
  <rv s="7">
    <fb>179.03</fb>
    <v>13</v>
  </rv>
  <rv s="7">
    <fb>180.9</fb>
    <v>13</v>
  </rv>
  <rv s="7">
    <fb>183.07</fb>
    <v>13</v>
  </rv>
  <rv s="7">
    <fb>183.99</fb>
    <v>13</v>
  </rv>
  <rv s="7">
    <fb>183.36</fb>
    <v>13</v>
  </rv>
  <rv s="7">
    <fb>183.45</fb>
    <v>13</v>
  </rv>
  <rv s="7">
    <fb>184.38</fb>
    <v>13</v>
  </rv>
  <rv s="7">
    <fb>186.06</fb>
    <v>13</v>
  </rv>
  <rv s="7">
    <fb>185.29</fb>
    <v>13</v>
  </rv>
  <rv s="7">
    <fb>186.68</fb>
    <v>13</v>
  </rv>
  <rv s="7">
    <fb>188.55</fb>
    <v>13</v>
  </rv>
  <rv s="7">
    <fb>189.53</fb>
    <v>13</v>
  </rv>
  <rv s="7">
    <fb>188.22</fb>
    <v>13</v>
  </rv>
  <rv s="7">
    <fb>188.29</fb>
    <v>13</v>
  </rv>
  <rv s="7">
    <fb>191.38</fb>
    <v>13</v>
  </rv>
  <rv s="7">
    <fb>190.3</fb>
    <v>13</v>
  </rv>
  <rv s="7">
    <fb>193.79</fb>
    <v>13</v>
  </rv>
  <rv s="7">
    <fb>196.33</fb>
    <v>13</v>
  </rv>
  <rv s="7">
    <fb>199.06</fb>
    <v>13</v>
  </rv>
  <rv s="7">
    <fb>196.62</fb>
    <v>13</v>
  </rv>
  <rv s="7">
    <fb>194.82</fb>
    <v>13</v>
  </rv>
  <rv s="7">
    <fb>195.73</fb>
    <v>13</v>
  </rv>
  <rv s="7">
    <fb>199.52</fb>
    <v>13</v>
  </rv>
  <rv s="7">
    <fb>200.3</fb>
    <v>13</v>
  </rv>
  <rv s="7">
    <fb>198.94</fb>
    <v>13</v>
  </rv>
  <rv s="7">
    <fb>198.86</fb>
    <v>13</v>
  </rv>
  <rv s="7">
    <fb>198.3</fb>
    <v>13</v>
  </rv>
  <rv s="7">
    <fb>195.65</fb>
    <v>13</v>
  </rv>
  <rv s="7">
    <fb>197.45</fb>
    <v>13</v>
  </rv>
  <rv s="7">
    <fb>198.48</fb>
    <v>13</v>
  </rv>
  <rv s="7">
    <fb>197.15</fb>
    <v>13</v>
  </rv>
  <rv s="7">
    <fb>195.47</fb>
    <v>13</v>
  </rv>
  <rv s="7">
    <fb>195.43</fb>
    <v>13</v>
  </rv>
  <rv s="7">
    <fb>182.79</fb>
    <v>13</v>
  </rv>
  <rv s="7">
    <fb>182.89</fb>
    <v>13</v>
  </rv>
  <rv s="7">
    <fb>180.08</fb>
    <v>13</v>
  </rv>
  <rv s="7">
    <fb>185.8</fb>
    <v>13</v>
  </rv>
  <rv s="7">
    <fb>193.08</fb>
    <v>13</v>
  </rv>
  <rv s="7">
    <fb>193.37</fb>
    <v>13</v>
  </rv>
  <rv s="7">
    <fb>193.49</fb>
    <v>13</v>
  </rv>
  <rv s="7">
    <fb>193.28</fb>
    <v>13</v>
  </rv>
  <rv s="7">
    <fb>191.74</fb>
    <v>13</v>
  </rv>
  <rv s="7">
    <fb>191.86</fb>
    <v>13</v>
  </rv>
  <rv s="7">
    <fb>191.66</fb>
    <v>13</v>
  </rv>
  <rv s="7">
    <fb>190.51</fb>
    <v>13</v>
  </rv>
  <rv s="7">
    <fb>192</fb>
    <v>13</v>
  </rv>
  <rv s="7">
    <fb>197.5</fb>
    <v>13</v>
  </rv>
  <rv s="7">
    <fb>198.77</fb>
    <v>13</v>
  </rv>
  <rv s="7">
    <fb>201.51</fb>
    <v>13</v>
  </rv>
  <rv s="7">
    <fb>202.11</fb>
    <v>13</v>
  </rv>
  <rv s="7">
    <fb>202.47</fb>
    <v>13</v>
  </rv>
  <rv s="7">
    <fb>204.79</fb>
    <v>13</v>
  </rv>
  <rv s="7">
    <fb>195.58</fb>
    <v>13</v>
  </rv>
  <rv s="7">
    <fb>198.31</fb>
    <v>13</v>
  </rv>
  <rv s="7">
    <fb>196.92</fb>
    <v>13</v>
  </rv>
  <rv s="7">
    <fb>200.71</fb>
    <v>13</v>
  </rv>
  <rv s="7">
    <fb>199.33</fb>
    <v>13</v>
  </rv>
  <rv s="7">
    <fb>202.63</fb>
    <v>13</v>
  </rv>
  <rv s="7">
    <fb>201.82</fb>
    <v>13</v>
  </rv>
  <rv s="7">
    <fb>199.16</fb>
    <v>13</v>
  </rv>
  <rv s="7">
    <fb>197.26</fb>
    <v>13</v>
  </rv>
  <rv s="7">
    <fb>196.91</fb>
    <v>13</v>
  </rv>
  <rv s="7">
    <fb>199.95</fb>
    <v>13</v>
  </rv>
  <rv s="7">
    <fb>199.61</fb>
    <v>13</v>
  </rv>
  <rv s="7">
    <fb>194.36</fb>
    <v>13</v>
  </rv>
  <rv s="7">
    <fb>191.53</fb>
    <v>13</v>
  </rv>
  <rv s="7">
    <fb>193.66</fb>
    <v>13</v>
  </rv>
  <rv s="7">
    <fb>194.98</fb>
    <v>13</v>
  </rv>
  <rv s="7">
    <fb>197</fb>
    <v>13</v>
  </rv>
  <rv s="7">
    <fb>198.67</fb>
    <v>13</v>
  </rv>
  <rv s="7">
    <fb>196.3</fb>
    <v>13</v>
  </rv>
  <rv s="7">
    <fb>198.88</fb>
    <v>13</v>
  </rv>
  <rv s="7">
    <fb>198.07</fb>
    <v>13</v>
  </rv>
  <rv s="7">
    <fb>197.43</fb>
    <v>13</v>
  </rv>
  <rv s="7">
    <fb>199.17</fb>
    <v>13</v>
  </rv>
  <rv s="7">
    <fb>202.26</fb>
    <v>13</v>
  </rv>
  <rv s="7">
    <fb>205.45</fb>
    <v>13</v>
  </rv>
  <rv s="7">
    <fb>208.83</fb>
    <v>13</v>
  </rv>
  <rv s="7">
    <fb>208.69</fb>
    <v>13</v>
  </rv>
  <rv s="7">
    <fb>205.17</fb>
    <v>13</v>
  </rv>
  <rv s="7">
    <fb>207.63</fb>
    <v>13</v>
  </rv>
  <rv s="7">
    <fb>207.8</fb>
    <v>13</v>
  </rv>
  <rv s="7">
    <fb>207.45</fb>
    <v>13</v>
  </rv>
  <rv s="7">
    <fb>204.94</fb>
    <v>13</v>
  </rv>
  <rv s="7">
    <fb>213.62</fb>
    <v>13</v>
  </rv>
  <rv s="7">
    <fb>216.87</fb>
    <v>13</v>
  </rv>
  <rv s="7">
    <fb>209.98</fb>
    <v>13</v>
  </rv>
  <rv s="7">
    <fb>209.78</fb>
    <v>13</v>
  </rv>
  <rv s="7">
    <fb>210.28</fb>
    <v>13</v>
  </rv>
  <rv s="7">
    <fb>210.33</fb>
    <v>13</v>
  </rv>
  <rv s="7">
    <fb>208.59</fb>
    <v>13</v>
  </rv>
  <rv s="7">
    <fb>208.67</fb>
    <v>13</v>
  </rv>
  <rv s="7">
    <fb>212.24</fb>
    <v>13</v>
  </rv>
  <rv s="7">
    <fb>210.85</fb>
    <v>13</v>
  </rv>
  <rv s="7">
    <fb>215.19</fb>
    <v>13</v>
  </rv>
  <rv s="7">
    <fb>212.8</fb>
    <v>13</v>
  </rv>
  <rv s="7">
    <fb>207.96</fb>
    <v>13</v>
  </rv>
  <rv s="7">
    <fb>199.14</fb>
    <v>13</v>
  </rv>
  <rv s="7">
    <fb>194.9</fb>
    <v>13</v>
  </rv>
  <rv s="7">
    <fb>200.34</fb>
    <v>13</v>
  </rv>
  <rv s="7">
    <fb>200.4</fb>
    <v>13</v>
  </rv>
  <rv s="7">
    <fb>204.06</fb>
    <v>13</v>
  </rv>
  <rv s="7">
    <fb>205.8</fb>
    <v>13</v>
  </rv>
  <rv s="7">
    <fb>206.19</fb>
    <v>13</v>
  </rv>
  <rv s="7">
    <fb>207.94</fb>
    <v>13</v>
  </rv>
  <rv s="7">
    <fb>210.24</fb>
    <v>13</v>
  </rv>
  <rv s="7">
    <fb>211.55</fb>
    <v>13</v>
  </rv>
  <rv s="7">
    <fb>213.97</fb>
    <v>13</v>
  </rv>
  <rv s="7">
    <fb>215.45</fb>
    <v>13</v>
  </rv>
  <rv s="7">
    <fb>214.52</fb>
    <v>13</v>
  </rv>
  <rv s="7">
    <fb>216.63</fb>
    <v>13</v>
  </rv>
  <rv s="7">
    <fb>218.31</fb>
    <v>13</v>
  </rv>
  <rv s="7">
    <fb>219.17</fb>
    <v>13</v>
  </rv>
  <rv s="7">
    <fb>220.18</fb>
    <v>13</v>
  </rv>
  <rv s="7">
    <fb>221.29</fb>
    <v>13</v>
  </rv>
  <rv s="7">
    <fb>222.21</fb>
    <v>13</v>
  </rv>
  <rv s="7">
    <fb>224.8</fb>
    <v>13</v>
  </rv>
  <rv s="7">
    <fb>220.3</fb>
    <v>13</v>
  </rv>
  <rv s="7">
    <fb>219.33</fb>
    <v>13</v>
  </rv>
  <rv s="7">
    <fb>217.63</fb>
    <v>13</v>
  </rv>
  <rv s="7">
    <fb>212.46</fb>
    <v>13</v>
  </rv>
  <rv s="7">
    <fb>216.81</fb>
    <v>13</v>
  </rv>
  <rv s="7">
    <fb>205.56</fb>
    <v>13</v>
  </rv>
  <rv s="7">
    <fb>206.6</fb>
    <v>13</v>
  </rv>
  <rv s="7">
    <fb>204.32</fb>
    <v>13</v>
  </rv>
  <rv s="7">
    <fb>209.25</fb>
    <v>13</v>
  </rv>
  <rv s="7">
    <fb>207.53</fb>
    <v>13</v>
  </rv>
  <rv s="7">
    <fb>210.48</fb>
    <v>13</v>
  </rv>
  <rv s="7">
    <fb>211.09</fb>
    <v>13</v>
  </rv>
  <rv s="7">
    <fb>211.44</fb>
    <v>13</v>
  </rv>
  <rv s="7">
    <fb>211.59</fb>
    <v>13</v>
  </rv>
  <rv s="7">
    <fb>210.19</fb>
    <v>13</v>
  </rv>
  <rv s="7">
    <fb>210.5</fb>
    <v>13</v>
  </rv>
  <rv s="7">
    <fb>207.04</fb>
    <v>13</v>
  </rv>
  <rv s="7">
    <fb>207.29</fb>
    <v>13</v>
  </rv>
  <rv s="7">
    <fb>205.23</fb>
    <v>13</v>
  </rv>
  <rv s="7">
    <fb>211.22</fb>
    <v>13</v>
  </rv>
  <rv s="7">
    <fb>210.93</fb>
    <v>13</v>
  </rv>
  <rv s="7">
    <fb>210.75</fb>
    <v>13</v>
  </rv>
  <rv s="7">
    <fb>213.42</fb>
    <v>13</v>
  </rv>
  <rv s="7">
    <fb>212.84</fb>
    <v>13</v>
  </rv>
  <rv s="7">
    <fb>222.29</fb>
    <v>13</v>
  </rv>
  <rv s="7">
    <fb>221.48</fb>
    <v>13</v>
  </rv>
  <rv s="7">
    <fb>222.39</fb>
    <v>13</v>
  </rv>
  <rv s="7">
    <fb>223.64</fb>
    <v>13</v>
  </rv>
  <rv s="7">
    <fb>224.42</fb>
    <v>13</v>
  </rv>
  <rv s="7">
    <fb>225.37</fb>
    <v>13</v>
  </rv>
  <rv s="7">
    <fb>223</fb>
    <v>13</v>
  </rv>
  <rv s="7">
    <fb>224.12</fb>
    <v>13</v>
  </rv>
  <rv s="7">
    <fb>223.41</fb>
    <v>13</v>
  </rv>
  <rv s="7">
    <fb>224.98</fb>
    <v>13</v>
  </rv>
  <rv s="7">
    <fb>222.31</fb>
    <v>13</v>
  </rv>
  <rv s="7">
    <fb>225.5</fb>
    <v>13</v>
  </rv>
  <rv s="7">
    <fb>222.9</fb>
    <v>13</v>
  </rv>
  <rv s="7">
    <fb>224.41</fb>
    <v>13</v>
  </rv>
  <rv s="7">
    <fb>221.92</fb>
    <v>13</v>
  </rv>
  <rv s="7">
    <fb>222.94</fb>
    <v>13</v>
  </rv>
  <rv s="7">
    <fb>219.78</fb>
    <v>13</v>
  </rv>
  <rv s="7">
    <fb>221.49</fb>
    <v>13</v>
  </rv>
  <rv s="7">
    <fb>247.06</fb>
    <v>13</v>
  </rv>
  <rv s="7">
    <fb>236.38</fb>
    <v>13</v>
  </rv>
  <rv s="7">
    <fb>236.98</fb>
    <v>13</v>
  </rv>
  <rv s="7">
    <fb>239.29</fb>
    <v>13</v>
  </rv>
  <rv s="7">
    <fb>239.56</fb>
    <v>13</v>
  </rv>
  <rv s="7">
    <fb>241.16</fb>
    <v>13</v>
  </rv>
  <rv s="7">
    <fb>241.87</fb>
    <v>13</v>
  </rv>
  <rv s="7">
    <fb>245.31</fb>
    <v>13</v>
  </rv>
  <rv s="7">
    <fb>245.03</fb>
    <v>13</v>
  </rv>
  <rv s="7">
    <fb>243.09</fb>
    <v>13</v>
  </rv>
  <rv s="7">
    <fb>240.78</fb>
    <v>13</v>
  </rv>
  <rv s="7">
    <fb>244.76</fb>
    <v>13</v>
  </rv>
  <rv s="7">
    <fb>248.55</fb>
    <v>13</v>
  </rv>
  <rv s="7">
    <fb>250.29</fb>
    <v>13</v>
  </rv>
  <rv s="7">
    <fb>249.97</fb>
    <v>13</v>
  </rv>
  <rv s="7">
    <fb>249.79</fb>
    <v>13</v>
  </rv>
  <rv s="7">
    <fb>249.72</fb>
    <v>13</v>
  </rv>
  <rv s="7">
    <fb>246.25</fb>
    <v>13</v>
  </rv>
  <rv s="7">
    <fb>244.82</fb>
    <v>13</v>
  </rv>
  <rv s="7">
    <fb>243.4</fb>
    <v>13</v>
  </rv>
  <rv s="7">
    <fb>245.48</fb>
    <v>13</v>
  </rv>
  <rv s="7">
    <fb>247.36</fb>
    <v>13</v>
  </rv>
  <rv s="7">
    <fb>243.81</fb>
    <v>13</v>
  </rv>
  <rv s="7">
    <fb>242.86</fb>
    <v>13</v>
  </rv>
  <rv s="7">
    <fb>208.7</fb>
    <v>13</v>
  </rv>
  <rv s="7">
    <fb>225.54</fb>
    <v>13</v>
  </rv>
  <rv s="7">
    <fb>225.59</fb>
    <v>13</v>
  </rv>
  <rv s="7">
    <fb>224.06</fb>
    <v>13</v>
  </rv>
  <rv s="7">
    <fb>225.42</fb>
    <v>13</v>
  </rv>
  <rv s="7">
    <fb>223.55</fb>
    <v>13</v>
  </rv>
  <rv s="7">
    <fb>222.82</fb>
    <v>13</v>
  </rv>
  <rv s="7">
    <fb>222.89</fb>
    <v>13</v>
  </rv>
  <rv s="7">
    <fb>222.55</fb>
    <v>13</v>
  </rv>
  <rv s="7">
    <fb>218.65</fb>
    <v>13</v>
  </rv>
  <rv s="7">
    <fb>212.27</fb>
    <v>13</v>
  </rv>
  <rv s="7">
    <fb>212.51</fb>
    <v>13</v>
  </rv>
  <rv s="7">
    <fb>217.14</fb>
    <v>13</v>
  </rv>
  <rv s="7">
    <fb>217.01</fb>
    <v>13</v>
  </rv>
  <rv s="7">
    <fb>220.21</fb>
    <v>13</v>
  </rv>
  <rv s="7">
    <fb>220.16</fb>
    <v>13</v>
  </rv>
  <rv s="7">
    <fb>218.91</fb>
    <v>13</v>
  </rv>
  <rv s="7">
    <fb>220.43</fb>
    <v>13</v>
  </rv>
  <rv s="7">
    <fb>218.05</fb>
    <v>13</v>
  </rv>
  <rv s="7">
    <fb>218.23</fb>
    <v>13</v>
  </rv>
  <rv s="7">
    <fb>220.01</fb>
    <v>13</v>
  </rv>
  <rv s="7">
    <fb>214.47</fb>
    <v>13</v>
  </rv>
  <rv s="7">
    <fb>210.55</fb>
    <v>13</v>
  </rv>
  <rv s="7">
    <fb>212.08</fb>
    <v>13</v>
  </rv>
  <rv s="7">
    <fb>211.98</fb>
    <v>13</v>
  </rv>
  <rv s="7">
    <fb>211.84</fb>
    <v>13</v>
  </rv>
  <rv s="7">
    <fb>220.23</fb>
    <v>13</v>
  </rv>
  <rv s="7">
    <fb>219.49</fb>
    <v>13</v>
  </rv>
  <rv s="7">
    <fb>218.01</fb>
    <v>13</v>
  </rv>
  <rv s="7">
    <fb>218.12</fb>
    <v>13</v>
  </rv>
  <rv s="7">
    <fb>220.39</fb>
    <v>13</v>
  </rv>
  <rv s="7">
    <fb>222.26</fb>
    <v>13</v>
  </rv>
  <rv s="7">
    <fb>229.86</fb>
    <v>13</v>
  </rv>
  <rv s="7">
    <fb>225.43</fb>
    <v>13</v>
  </rv>
  <rv s="7">
    <fb>226.93</fb>
    <v>13</v>
  </rv>
  <rv s="7">
    <fb>228.33</fb>
    <v>13</v>
  </rv>
  <rv s="7">
    <fb>226.85</fb>
    <v>13</v>
  </rv>
  <rv s="7">
    <fb>225.51</fb>
    <v>13</v>
  </rv>
  <rv s="7">
    <fb>230.51</fb>
    <v>13</v>
  </rv>
  <rv s="7">
    <fb>232.56</fb>
    <v>13</v>
  </rv>
  <rv s="7">
    <fb>231.32</fb>
    <v>13</v>
  </rv>
  <rv s="7">
    <fb>235.39</fb>
    <v>13</v>
  </rv>
  <rv s="7">
    <fb>238.8</fb>
    <v>13</v>
  </rv>
  <rv s="7">
    <fb>240.67</fb>
    <v>13</v>
  </rv>
  <rv s="7">
    <fb>244.69</fb>
    <v>13</v>
  </rv>
  <rv s="7">
    <fb>242.1</fb>
    <v>13</v>
  </rv>
  <rv s="7">
    <fb>240.82</fb>
    <v>13</v>
  </rv>
  <rv s="7">
    <fb>241.12</fb>
    <v>13</v>
  </rv>
  <rv s="7">
    <fb>241.72</fb>
    <v>13</v>
  </rv>
  <rv s="7">
    <fb>241.95</fb>
    <v>13</v>
  </rv>
  <rv s="7">
    <fb>240.96</fb>
    <v>13</v>
  </rv>
  <rv s="7">
    <fb>243.26</fb>
    <v>13</v>
  </rv>
  <rv s="7">
    <fb>247.41</fb>
    <v>13</v>
  </rv>
  <rv s="7">
    <fb>244.63</fb>
    <v>13</v>
  </rv>
  <rv s="7">
    <fb>244.73</fb>
    <v>13</v>
  </rv>
  <rv s="7">
    <fb>243.48</fb>
    <v>13</v>
  </rv>
  <rv s="7">
    <fb>248.02</fb>
    <v>13</v>
  </rv>
  <rv s="7">
    <fb>251.96</fb>
    <v>13</v>
  </rv>
  <rv s="7">
    <fb>261</fb>
    <v>13</v>
  </rv>
  <rv s="7">
    <fb>258.5</fb>
    <v>13</v>
  </rv>
  <rv s="7">
    <fb>254</fb>
    <v>13</v>
  </rv>
  <rv s="7">
    <fb>251.42</fb>
    <v>13</v>
  </rv>
  <rv s="7">
    <fb>253.33</fb>
    <v>13</v>
  </rv>
  <rv s="7">
    <fb>254.73</fb>
    <v>13</v>
  </rv>
  <rv s="7">
    <fb>249.28</fb>
    <v>13</v>
  </rv>
  <rv s="7">
    <fb>244.45</fb>
    <v>13</v>
  </rv>
  <rv s="7">
    <fb>240.7</fb>
    <v>13</v>
  </rv>
  <rv s="7">
    <fb>238.01</fb>
    <v>13</v>
  </rv>
  <rv s="7">
    <fb>239.32</fb>
    <v>13</v>
  </rv>
  <rv s="7">
    <fb>242.59</fb>
    <v>13</v>
  </rv>
  <rv s="7">
    <fb>244.39</fb>
    <v>13</v>
  </rv>
  <rv s="7">
    <fb>237.16</fb>
    <v>13</v>
  </rv>
  <rv s="7">
    <fb>235.44</fb>
    <v>13</v>
  </rv>
  <rv s="7">
    <fb>232.05</fb>
    <v>13</v>
  </rv>
  <rv s="7">
    <fb>230.01</fb>
    <v>13</v>
  </rv>
  <rv s="7">
    <fb>228.35</fb>
    <v>13</v>
  </rv>
  <rv s="7">
    <fb>228.86</fb>
    <v>13</v>
  </rv>
  <rv s="7">
    <fb>228.79</fb>
    <v>13</v>
  </rv>
  <rv s="7">
    <fb>230.24</fb>
    <v>13</v>
  </rv>
  <rv s="7">
    <fb>231.23</fb>
    <v>13</v>
  </rv>
  <rv s="7">
    <fb>233.56</fb>
    <v>13</v>
  </rv>
  <rv s="7">
    <fb>230.29</fb>
    <v>13</v>
  </rv>
  <rv s="7">
    <fb>229.96</fb>
    <v>13</v>
  </rv>
  <rv s="7">
    <fb>230.94</fb>
    <v>13</v>
  </rv>
  <rv s="7">
    <fb>227.99</fb>
    <v>13</v>
  </rv>
  <rv s="7">
    <fb>229.58</fb>
    <v>13</v>
  </rv>
  <rv s="7">
    <fb>232.13</fb>
    <v>13</v>
  </rv>
  <rv s="7">
    <fb>231.7</fb>
    <v>13</v>
  </rv>
  <rv s="7">
    <fb>231.46</fb>
    <v>13</v>
  </rv>
  <rv s="7">
    <fb>232.07</fb>
    <v>13</v>
  </rv>
  <rv s="7">
    <fb>236.13</fb>
    <v>13</v>
  </rv>
  <rv s="7">
    <fb>235.03</fb>
    <v>13</v>
  </rv>
  <rv s="7">
    <fb>231.58</fb>
    <v>13</v>
  </rv>
  <rv s="7">
    <fb>236.08</fb>
    <v>13</v>
  </rv>
  <rv s="7">
    <fb>232.26</fb>
    <v>13</v>
  </rv>
  <rv s="7">
    <fb>231.11</fb>
    <v>13</v>
  </rv>
  <rv s="7">
    <fb>229.17</fb>
    <v>13</v>
  </rv>
  <rv s="7">
    <fb>224.86</fb>
    <v>13</v>
  </rv>
  <rv s="7">
    <fb>221.13</fb>
    <v>13</v>
  </rv>
  <rv s="7">
    <fb>217.48</fb>
    <v>13</v>
  </rv>
  <rv s="7">
    <fb>215.21</fb>
    <v>13</v>
  </rv>
  <rv s="7">
    <fb>215.37</fb>
    <v>13</v>
  </rv>
  <rv s="7">
    <fb>214.27</fb>
    <v>13</v>
  </rv>
  <rv s="7">
    <fb>215.46</fb>
    <v>13</v>
  </rv>
  <rv s="7">
    <fb>216.73</fb>
    <v>13</v>
  </rv>
  <rv s="7">
    <fb>216.53</fb>
    <v>13</v>
  </rv>
  <rv s="7">
    <fb>219.47</fb>
    <v>13</v>
  </rv>
  <rv s="7">
    <fb>218.45</fb>
    <v>13</v>
  </rv>
  <rv s="7">
    <fb>218.1</fb>
    <v>13</v>
  </rv>
  <rv s="7">
    <fb>218.35</fb>
    <v>13</v>
  </rv>
  <rv s="7">
    <fb>225.02</fb>
    <v>13</v>
  </rv>
  <rv s="7">
    <fb>226.86</fb>
    <v>13</v>
  </rv>
  <rv s="7">
    <fb>223.35</fb>
    <v>13</v>
  </rv>
  <rv s="7">
    <fb>226.77</fb>
    <v>13</v>
  </rv>
  <rv s="7">
    <fb>227.77</fb>
    <v>13</v>
  </rv>
  <rv s="7">
    <fb>227.53</fb>
    <v>13</v>
  </rv>
  <rv s="7">
    <fb>228.59</fb>
    <v>13</v>
  </rv>
  <rv s="7">
    <fb>228.39</fb>
    <v>13</v>
  </rv>
  <rv s="7">
    <fb>217.25</fb>
    <v>13</v>
  </rv>
  <rv s="7">
    <fb>218.78</fb>
    <v>13</v>
  </rv>
  <rv s="7">
    <fb>219.8</fb>
    <v>13</v>
  </rv>
  <rv s="7">
    <fb>220.46</fb>
    <v>13</v>
  </rv>
  <rv s="7">
    <fb>213.56</fb>
    <v>13</v>
  </rv>
  <rv s="7">
    <fb>213.7</fb>
    <v>13</v>
  </rv>
  <rv s="7">
    <fb>213.3</fb>
    <v>13</v>
  </rv>
  <rv s="7">
    <fb>217.15</fb>
    <v>13</v>
  </rv>
  <rv s="7">
    <fb>216.33</fb>
    <v>13</v>
  </rv>
  <rv s="7">
    <fb>220.74</fb>
    <v>13</v>
  </rv>
  <rv s="7">
    <fb>229.75</fb>
    <v>13</v>
  </rv>
  <rv s="7">
    <fb>234.08</fb>
    <v>13</v>
  </rv>
  <rv s="7">
    <fb>232.17</fb>
    <v>13</v>
  </rv>
  <rv s="7">
    <fb>240.97</fb>
    <v>13</v>
  </rv>
  <rv s="7">
    <fb>239.37</fb>
    <v>13</v>
  </rv>
  <rv s="7">
    <fb>238.52</fb>
    <v>13</v>
  </rv>
  <rv s="7">
    <fb>240.27</fb>
    <v>13</v>
  </rv>
  <rv s="7">
    <fb>238.31</fb>
    <v>13</v>
  </rv>
  <rv s="7">
    <fb>231.67</fb>
    <v>13</v>
  </rv>
  <rv s="7">
    <fb>234.77</fb>
    <v>13</v>
  </rv>
  <rv s="7">
    <fb>238.87</fb>
    <v>13</v>
  </rv>
  <rv s="7">
    <fb>239.8</fb>
    <v>13</v>
  </rv>
  <rv s="7">
    <fb>241.4</fb>
    <v>13</v>
  </rv>
  <rv s="7">
    <fb>245.51</fb>
    <v>13</v>
  </rv>
  <rv s="7">
    <fb>241.36</fb>
    <v>13</v>
  </rv>
  <rv s="7">
    <fb>240.42</fb>
    <v>13</v>
  </rv>
  <rv s="7">
    <fb>237.02</fb>
    <v>13</v>
  </rv>
  <rv s="7">
    <fb>240.65</fb>
    <v>13</v>
  </rv>
  <rv s="7">
    <fb>231.59</fb>
    <v>13</v>
  </rv>
  <rv s="7">
    <fb>236.33</fb>
    <v>13</v>
  </rv>
  <rv s="7">
    <fb>235.83</fb>
    <v>13</v>
  </rv>
  <rv s="7">
    <fb>231.07</fb>
    <v>13</v>
  </rv>
  <rv s="7">
    <fb>236.19</fb>
    <v>13</v>
  </rv>
  <rv s="7">
    <fb>237.64</fb>
    <v>13</v>
  </rv>
  <rv s="7">
    <fb>240.06</fb>
    <v>13</v>
  </rv>
  <rv s="7">
    <fb>241.15</fb>
    <v>13</v>
  </rv>
  <rv s="7">
    <fb>243.21</fb>
    <v>13</v>
  </rv>
  <rv s="7">
    <fb>240.33</fb>
    <v>13</v>
  </rv>
  <rv s="7">
    <fb>242.37</fb>
    <v>13</v>
  </rv>
  <rv s="7">
    <fb>240.31</fb>
    <v>13</v>
  </rv>
  <rv s="7">
    <fb>250.07</fb>
    <v>13</v>
  </rv>
  <rv s="7">
    <fb>250.5</fb>
    <v>13</v>
  </rv>
  <rv s="7">
    <fb>248.57</fb>
    <v>13</v>
  </rv>
  <rv s="7">
    <fb>248.94</fb>
    <v>13</v>
  </rv>
  <rv s="7">
    <fb>246.77</fb>
    <v>13</v>
  </rv>
  <rv s="7">
    <fb>248.5</fb>
    <v>13</v>
  </rv>
  <rv s="7">
    <fb>245.46</fb>
    <v>13</v>
  </rv>
  <rv s="7">
    <fb>245.45</fb>
    <v>13</v>
  </rv>
  <rv s="7">
    <fb>244.11</fb>
    <v>13</v>
  </rv>
  <rv s="7">
    <fb>247.38</fb>
    <v>13</v>
  </rv>
  <rv s="7">
    <fb>252.05</fb>
    <v>13</v>
  </rv>
  <rv s="7">
    <fb>255.41</fb>
    <v>13</v>
  </rv>
  <rv s="7">
    <fb>256.64</fb>
    <v>13</v>
  </rv>
  <rv s="7">
    <fb>256.72000000000003</fb>
    <v>13</v>
  </rv>
  <rv s="7">
    <fb>256.63</fb>
    <v>13</v>
  </rv>
  <rv s="7">
    <fb>260.14</fb>
    <v>13</v>
  </rv>
  <rv s="7">
    <fb>262.29000000000002</fb>
    <v>13</v>
  </rv>
  <rv s="7">
    <fb>266.04000000000002</fb>
    <v>13</v>
  </rv>
  <rv s="7">
    <fb>264.97000000000003</fb>
    <v>13</v>
  </rv>
  <rv s="7">
    <fb>265.61</fb>
    <v>13</v>
  </rv>
  <rv s="7">
    <fb>267.14</fb>
    <v>13</v>
  </rv>
  <rv s="7">
    <fb>270.85000000000002</fb>
    <v>13</v>
  </rv>
  <rv s="7">
    <fb>272.64</fb>
    <v>13</v>
  </rv>
  <rv s="7">
    <fb>271.86</fb>
    <v>13</v>
  </rv>
  <rv s="7">
    <fb>270.20999999999998</fb>
    <v>13</v>
  </rv>
  <rv s="7">
    <fb>267.76</fb>
    <v>13</v>
  </rv>
  <rv s="7">
    <fb>268.54000000000002</fb>
    <v>13</v>
  </rv>
  <rv s="7">
    <fb>273.27</fb>
    <v>13</v>
  </rv>
  <rv s="7">
    <fb>277.18</fb>
    <v>13</v>
  </rv>
  <rv s="7">
    <fb>273.20999999999998</fb>
    <v>13</v>
  </rv>
  <rv s="7">
    <fb>275.76</fb>
    <v>13</v>
  </rv>
  <rv s="7">
    <fb>280.73</fb>
    <v>13</v>
  </rv>
  <rv s="7">
    <fb>281.83</fb>
    <v>13</v>
  </rv>
  <rv s="7">
    <fb>284.05</fb>
    <v>13</v>
  </rv>
  <rv s="7">
    <fb>281.31</fb>
    <v>13</v>
  </rv>
  <rv s="7">
    <fb>281.64</fb>
    <v>13</v>
  </rv>
  <rv s="7">
    <fb>276.83999999999997</fb>
    <v>13</v>
  </rv>
  <rv s="7">
    <fb>272.22000000000003</fb>
    <v>13</v>
  </rv>
  <rv s="7">
    <fb>270.11</fb>
    <v>13</v>
  </rv>
  <rv s="7">
    <fb>271.36</fb>
    <v>13</v>
  </rv>
  <rv s="7">
    <fb>267.64</fb>
    <v>13</v>
  </rv>
  <rv s="7">
    <fb>267.97000000000003</fb>
    <v>13</v>
  </rv>
  <rv s="7">
    <fb>262.97000000000003</fb>
    <v>13</v>
  </rv>
  <rv s="7">
    <fb>261.39</fb>
    <v>13</v>
  </rv>
  <rv s="7">
    <fb>261.83</fb>
    <v>13</v>
  </rv>
  <rv s="7">
    <fb>261.94</fb>
    <v>13</v>
  </rv>
  <rv s="7">
    <fb>264.98</fb>
    <v>13</v>
  </rv>
  <rv s="7">
    <fb>269.18</fb>
    <v>13</v>
  </rv>
  <rv s="7">
    <fb>261.73</fb>
    <v>13</v>
  </rv>
  <rv s="7">
    <fb>266.3</fb>
    <v>13</v>
  </rv>
  <rv s="7">
    <fb>271.10000000000002</fb>
    <v>13</v>
  </rv>
  <rv s="7">
    <fb>274.51</fb>
    <v>13</v>
  </rv>
  <rv s="7">
    <fb>269.89999999999998</fb>
    <v>13</v>
  </rv>
  <rv s="7">
    <fb>272.32</fb>
    <v>13</v>
  </rv>
  <rv s="7">
    <fb>270.35000000000002</fb>
    <v>13</v>
  </rv>
  <rv s="7">
    <fb>269.39999999999998</fb>
    <v>13</v>
  </rv>
  <rv s="7">
    <fb>271.77</fb>
    <v>13</v>
  </rv>
  <rv s="7">
    <fb>259.26</fb>
    <v>13</v>
  </rv>
  <rv s="7">
    <fb>263.02999999999997</fb>
    <v>13</v>
  </rv>
  <rv s="7">
    <fb>265.22000000000003</fb>
    <v>13</v>
  </rv>
  <rv s="7">
    <fb>264.68</fb>
    <v>13</v>
  </rv>
  <rv s="7">
    <fb>275.32</fb>
    <v>13</v>
  </rv>
  <rv s="7">
    <fb>274.47000000000003</fb>
    <v>13</v>
  </rv>
  <rv s="7">
    <fb>273.19</fb>
    <v>13</v>
  </rv>
  <rv s="7">
    <fb>272.43</fb>
    <v>13</v>
  </rv>
  <rv s="7">
    <fb>272.05</fb>
    <v>13</v>
  </rv>
  <rv s="7">
    <fb>274.39</fb>
    <v>13</v>
  </rv>
  <rv s="7">
    <fb>272.27</fb>
    <v>13</v>
  </rv>
  <rv s="7">
    <fb>270.07</fb>
    <v>13</v>
  </rv>
  <rv s="7">
    <fb>273.43</fb>
    <v>13</v>
  </rv>
  <rv s="7">
    <fb>274.14999999999998</fb>
    <v>13</v>
  </rv>
  <rv s="7">
    <fb>420.75</fb>
    <v>13</v>
  </rv>
  <rv s="7">
    <fb>424.68</fb>
    <v>13</v>
  </rv>
  <rv s="7">
    <fb>418.56</fb>
    <v>13</v>
  </rv>
  <rv s="7">
    <fb>418.57</fb>
    <v>13</v>
  </rv>
  <rv s="7">
    <fb>424.43</fb>
    <v>13</v>
  </rv>
  <rv s="7">
    <fb>425.47</fb>
    <v>13</v>
  </rv>
  <rv s="7">
    <fb>419.45</fb>
    <v>13</v>
  </rv>
  <rv s="7">
    <fb>423.44</fb>
    <v>13</v>
  </rv>
  <rv s="7">
    <fb>424.1</fb>
    <v>13</v>
  </rv>
  <rv s="7">
    <fb>423.67</fb>
    <v>13</v>
  </rv>
  <rv s="7">
    <fb>424.36</fb>
    <v>13</v>
  </rv>
  <rv s="7">
    <fb>426.32</fb>
    <v>13</v>
  </rv>
  <rv s="7">
    <fb>426.51</fb>
    <v>13</v>
  </rv>
  <rv s="7">
    <fb>421.89</fb>
    <v>13</v>
  </rv>
  <rv s="7">
    <fb>418.77</fb>
    <v>13</v>
  </rv>
  <rv s="7">
    <fb>419.77</fb>
    <v>13</v>
  </rv>
  <rv s="7">
    <fb>419.42</fb>
    <v>13</v>
  </rv>
  <rv s="7">
    <fb>421.98</fb>
    <v>13</v>
  </rv>
  <rv s="7">
    <fb>422.6</fb>
    <v>13</v>
  </rv>
  <rv s="7">
    <fb>428.27</fb>
    <v>13</v>
  </rv>
  <rv s="7">
    <fb>426.72</fb>
    <v>13</v>
  </rv>
  <rv s="7">
    <fb>429.1</fb>
    <v>13</v>
  </rv>
  <rv s="7">
    <fb>428.35</fb>
    <v>13</v>
  </rv>
  <rv s="7">
    <fb>427.42</fb>
    <v>13</v>
  </rv>
  <rv s="7">
    <fb>430.72</fb>
    <v>13</v>
  </rv>
  <rv s="7">
    <fb>436.78</fb>
    <v>13</v>
  </rv>
  <rv s="7">
    <fb>439.75</fb>
    <v>13</v>
  </rv>
  <rv s="7">
    <fb>438.76</fb>
    <v>13</v>
  </rv>
  <rv s="7">
    <fb>438.7</fb>
    <v>13</v>
  </rv>
  <rv s="7">
    <fb>436.8</fb>
    <v>13</v>
  </rv>
  <rv s="7">
    <fb>438.53</fb>
    <v>13</v>
  </rv>
  <rv s="7">
    <fb>440.58</fb>
    <v>13</v>
  </rv>
  <rv s="7">
    <fb>445.19</fb>
    <v>13</v>
  </rv>
  <rv s="7">
    <fb>449.23</fb>
    <v>13</v>
  </rv>
  <rv s="7">
    <fb>460.92</fb>
    <v>13</v>
  </rv>
  <rv s="7">
    <fb>460.58</fb>
    <v>13</v>
  </rv>
  <rv s="7">
    <fb>456.76</fb>
    <v>13</v>
  </rv>
  <rv s="7">
    <fb>460.5</fb>
    <v>13</v>
  </rv>
  <rv s="7">
    <fb>461.91</fb>
    <v>13</v>
  </rv>
  <rv s="7">
    <fb>458.26</fb>
    <v>13</v>
  </rv>
  <rv s="7">
    <fb>457.88</fb>
    <v>13</v>
  </rv>
  <rv s="7">
    <fb>458.71</fb>
    <v>13</v>
  </rv>
  <rv s="7">
    <fb>460.46</fb>
    <v>13</v>
  </rv>
  <rv s="7">
    <fb>465.19</fb>
    <v>13</v>
  </rv>
  <rv s="7">
    <fb>471.28</fb>
    <v>13</v>
  </rv>
  <rv s="7">
    <fb>468.13</fb>
    <v>13</v>
  </rv>
  <rv s="7">
    <fb>451.75</fb>
    <v>13</v>
  </rv>
  <rv s="7">
    <fb>459.05</fb>
    <v>13</v>
  </rv>
  <rv s="7">
    <fb>471.56</fb>
    <v>13</v>
  </rv>
  <rv s="7">
    <fb>473.42</fb>
    <v>13</v>
  </rv>
  <rv s="7">
    <fb>474.51</fb>
    <v>13</v>
  </rv>
  <rv s="7">
    <fb>474.75</fb>
    <v>13</v>
  </rv>
  <rv s="7">
    <fb>478.85</fb>
    <v>13</v>
  </rv>
  <rv s="7">
    <fb>474.76</fb>
    <v>13</v>
  </rv>
  <rv s="7">
    <fb>476.63</fb>
    <v>13</v>
  </rv>
  <rv s="7">
    <fb>468.49</fb>
    <v>13</v>
  </rv>
  <rv s="7">
    <fb>467.52</fb>
    <v>13</v>
  </rv>
  <rv s="7">
    <fb>471.6</fb>
    <v>13</v>
  </rv>
  <rv s="7">
    <fb>467.54</fb>
    <v>13</v>
  </rv>
  <rv s="7">
    <fb>469.26</fb>
    <v>13</v>
  </rv>
  <rv s="7">
    <fb>469.16</fb>
    <v>13</v>
  </rv>
  <rv s="7">
    <fb>472.87</fb>
    <v>13</v>
  </rv>
  <rv s="7">
    <fb>475.61</fb>
    <v>13</v>
  </rv>
  <rv s="7">
    <fb>479.48</fb>
    <v>13</v>
  </rv>
  <rv s="7">
    <fb>475.83</fb>
    <v>13</v>
  </rv>
  <rv s="7">
    <fb>478.89</fb>
    <v>13</v>
  </rv>
  <rv s="7">
    <fb>484</fb>
    <v>13</v>
  </rv>
  <rv s="7">
    <fb>488.04</fb>
    <v>13</v>
  </rv>
  <rv s="7">
    <fb>488.64</fb>
    <v>13</v>
  </rv>
  <rv s="7">
    <fb>481.67</fb>
    <v>13</v>
  </rv>
  <rv s="7">
    <fb>476.04</fb>
    <v>13</v>
  </rv>
  <rv s="7">
    <fb>476.8</fb>
    <v>13</v>
  </rv>
  <rv s="7">
    <fb>477.95</fb>
    <v>13</v>
  </rv>
  <rv s="7">
    <fb>481.57</fb>
    <v>13</v>
  </rv>
  <rv s="7">
    <fb>478.4</fb>
    <v>13</v>
  </rv>
  <rv s="7">
    <fb>479.43</fb>
    <v>13</v>
  </rv>
  <rv s="7">
    <fb>477.42</fb>
    <v>13</v>
  </rv>
  <rv s="7">
    <fb>469.77</fb>
    <v>13</v>
  </rv>
  <rv s="7">
    <fb>477.15</fb>
    <v>13</v>
  </rv>
  <rv s="7">
    <fb>472.16</fb>
    <v>13</v>
  </rv>
  <rv s="7">
    <fb>469.17</fb>
    <v>13</v>
  </rv>
  <rv s="7">
    <fb>468.31</fb>
    <v>13</v>
  </rv>
  <rv s="7">
    <fb>465.38</fb>
    <v>13</v>
  </rv>
  <rv s="7">
    <fb>459.79</fb>
    <v>13</v>
  </rv>
  <rv s="7">
    <fb>459.82</fb>
    <v>13</v>
  </rv>
  <rv s="7">
    <fb>460.16</fb>
    <v>13</v>
  </rv>
  <rv s="7">
    <fb>454.7</fb>
    <v>13</v>
  </rv>
  <rv s="7">
    <fb>455.39</fb>
    <v>13</v>
  </rv>
  <rv s="7">
    <fb>456.75</fb>
    <v>13</v>
  </rv>
  <rv s="7">
    <fb>462.82</fb>
    <v>13</v>
  </rv>
  <rv s="7">
    <fb>462.5</fb>
    <v>13</v>
  </rv>
  <rv s="7">
    <fb>462.11</fb>
    <v>13</v>
  </rv>
  <rv s="7">
    <fb>462.42</fb>
    <v>13</v>
  </rv>
  <rv s="7">
    <fb>457.1</fb>
    <v>13</v>
  </rv>
  <rv s="7">
    <fb>451.2</fb>
    <v>13</v>
  </rv>
  <rv s="7">
    <fb>442.07</fb>
    <v>13</v>
  </rv>
  <rv s="7">
    <fb>441.1</fb>
    <v>13</v>
  </rv>
  <rv s="7">
    <fb>443.58</fb>
    <v>13</v>
  </rv>
  <rv s="7">
    <fb>449.37</fb>
    <v>13</v>
  </rv>
  <rv s="7">
    <fb>453.06</fb>
    <v>13</v>
  </rv>
  <rv s="7">
    <fb>454.77</fb>
    <v>13</v>
  </rv>
  <rv s="7">
    <fb>455.49</fb>
    <v>13</v>
  </rv>
  <rv s="7">
    <fb>456.98</fb>
    <v>13</v>
  </rv>
  <rv s="7">
    <fb>457.76</fb>
    <v>13</v>
  </rv>
  <rv s="7">
    <fb>454.2</fb>
    <v>13</v>
  </rv>
  <rv s="7">
    <fb>458</fb>
    <v>13</v>
  </rv>
  <rv s="7">
    <fb>458.87</fb>
    <v>13</v>
  </rv>
  <rv s="7">
    <fb>460.27</fb>
    <v>13</v>
  </rv>
  <rv s="7">
    <fb>459.66</fb>
    <v>13</v>
  </rv>
  <rv s="7">
    <fb>459.1</fb>
    <v>13</v>
  </rv>
  <rv s="7">
    <fb>456.52</fb>
    <v>13</v>
  </rv>
  <rv s="7">
    <fb>451.21</fb>
    <v>13</v>
  </rv>
  <rv s="7">
    <fb>451.18</fb>
    <v>13</v>
  </rv>
  <rv s="7">
    <fb>445.08</fb>
    <v>13</v>
  </rv>
  <rv s="7">
    <fb>442.47</fb>
    <v>13</v>
  </rv>
  <rv s="7">
    <fb>442.1</fb>
    <v>13</v>
  </rv>
  <rv s="7">
    <fb>447.07</fb>
    <v>13</v>
  </rv>
  <rv s="7">
    <fb>443.19</fb>
    <v>13</v>
  </rv>
  <rv s="7">
    <fb>444.77</fb>
    <v>13</v>
  </rv>
  <rv s="7">
    <fb>446.66</fb>
    <v>13</v>
  </rv>
  <rv s="7">
    <fb>448.68</fb>
    <v>13</v>
  </rv>
  <rv s="7">
    <fb>449.79</fb>
    <v>13</v>
  </rv>
  <rv s="7">
    <fb>449.25</fb>
    <v>13</v>
  </rv>
  <rv s="7">
    <fb>449.04</fb>
    <v>13</v>
  </rv>
  <rv s="7">
    <fb>443</fb>
    <v>13</v>
  </rv>
  <rv s="7">
    <fb>445</fb>
    <v>13</v>
  </rv>
  <rv s="7">
    <fb>444.63</fb>
    <v>13</v>
  </rv>
  <rv s="7">
    <fb>448.11</fb>
    <v>13</v>
  </rv>
  <rv s="7">
    <fb>450.11</fb>
    <v>13</v>
  </rv>
  <rv s="7">
    <fb>452.51</fb>
    <v>13</v>
  </rv>
  <rv s="7">
    <fb>454.85</fb>
    <v>13</v>
  </rv>
  <rv s="7">
    <fb>456.96</fb>
    <v>13</v>
  </rv>
  <rv s="7">
    <fb>455.65</fb>
    <v>13</v>
  </rv>
  <rv s="7">
    <fb>452.38</fb>
    <v>13</v>
  </rv>
  <rv s="7">
    <fb>442.75</fb>
    <v>13</v>
  </rv>
  <rv s="7">
    <fb>441.16</fb>
    <v>13</v>
  </rv>
  <rv s="7">
    <fb>437.61</fb>
    <v>13</v>
  </rv>
  <rv s="7">
    <fb>444.65</fb>
    <v>13</v>
  </rv>
  <rv s="7">
    <fb>448.18</fb>
    <v>13</v>
  </rv>
  <rv s="7">
    <fb>449.49</fb>
    <v>13</v>
  </rv>
  <rv s="7">
    <fb>446.24</fb>
    <v>13</v>
  </rv>
  <rv s="7">
    <fb>444.7</fb>
    <v>13</v>
  </rv>
  <rv s="7">
    <fb>433.64</fb>
    <v>13</v>
  </rv>
  <rv s="7">
    <fb>436.42</fb>
    <v>13</v>
  </rv>
  <rv s="7">
    <fb>440.11</fb>
    <v>13</v>
  </rv>
  <rv s="7">
    <fb>444</fb>
    <v>13</v>
  </rv>
  <rv s="7">
    <fb>443.53</fb>
    <v>13</v>
  </rv>
  <rv s="7">
    <fb>451.16</fb>
    <v>13</v>
  </rv>
  <rv s="7">
    <fb>448.72</fb>
    <v>13</v>
  </rv>
  <rv s="7">
    <fb>443.69</fb>
    <v>13</v>
  </rv>
  <rv s="7">
    <fb>447.94</fb>
    <v>13</v>
  </rv>
  <rv s="7">
    <fb>441.72</fb>
    <v>13</v>
  </rv>
  <rv s="7">
    <fb>432.45</fb>
    <v>13</v>
  </rv>
  <rv s="7">
    <fb>429.6</fb>
    <v>13</v>
  </rv>
  <rv s="7">
    <fb>438.18</fb>
    <v>13</v>
  </rv>
  <rv s="7">
    <fb>441.3</fb>
    <v>13</v>
  </rv>
  <rv s="7">
    <fb>447.45</fb>
    <v>13</v>
  </rv>
  <rv s="7">
    <fb>463.71</fb>
    <v>13</v>
  </rv>
  <rv s="7">
    <fb>462.41</fb>
    <v>13</v>
  </rv>
  <rv s="7">
    <fb>462.02</fb>
    <v>13</v>
  </rv>
  <rv s="7">
    <fb>442</fb>
    <v>13</v>
  </rv>
  <rv s="7">
    <fb>448.3</fb>
    <v>13</v>
  </rv>
  <rv s="7">
    <fb>449.84</fb>
    <v>13</v>
  </rv>
  <rv s="7">
    <fb>455.58</fb>
    <v>13</v>
  </rv>
  <rv s="7">
    <fb>456.78</fb>
    <v>13</v>
  </rv>
  <rv s="7">
    <fb>455.69</fb>
    <v>13</v>
  </rv>
  <rv s="7">
    <fb>459.36</fb>
    <v>13</v>
  </rv>
  <rv s="7">
    <fb>468.71</fb>
    <v>13</v>
  </rv>
  <rv s="7">
    <fb>468.88</fb>
    <v>13</v>
  </rv>
  <rv s="7">
    <fb>466.98</fb>
    <v>13</v>
  </rv>
  <rv s="7">
    <fb>469.12</fb>
    <v>13</v>
  </rv>
  <rv s="7">
    <fb>468</fb>
    <v>13</v>
  </rv>
  <rv s="7">
    <fb>468.82</fb>
    <v>13</v>
  </rv>
  <rv s="7">
    <fb>466.44</fb>
    <v>13</v>
  </rv>
  <rv s="7">
    <fb>468.64</fb>
    <v>13</v>
  </rv>
  <rv s="7">
    <fb>474.99</fb>
    <v>13</v>
  </rv>
  <rv s="7">
    <fb>471.8</fb>
    <v>13</v>
  </rv>
  <rv s="7">
    <fb>480.8</fb>
    <v>13</v>
  </rv>
  <rv s="7">
    <fb>483.34</fb>
    <v>13</v>
  </rv>
  <rv s="7">
    <fb>482.12</fb>
    <v>13</v>
  </rv>
  <rv s="7">
    <fb>483.14</fb>
    <v>13</v>
  </rv>
  <rv s="7">
    <fb>477.36</fb>
    <v>13</v>
  </rv>
  <rv s="7">
    <fb>476.12</fb>
    <v>13</v>
  </rv>
  <rv s="7">
    <fb>487.09</fb>
    <v>13</v>
  </rv>
  <rv s="7">
    <fb>488.02</fb>
    <v>13</v>
  </rv>
  <rv s="7">
    <fb>488.18</fb>
    <v>13</v>
  </rv>
  <rv s="7">
    <fb>492.11</fb>
    <v>13</v>
  </rv>
  <rv s="7">
    <fb>493.36</fb>
    <v>13</v>
  </rv>
  <rv s="7">
    <fb>500.99</fb>
    <v>13</v>
  </rv>
  <rv s="7">
    <fb>494.76</fb>
    <v>13</v>
  </rv>
  <rv s="7">
    <fb>493.01</fb>
    <v>13</v>
  </rv>
  <rv s="7">
    <fb>492.74</fb>
    <v>13</v>
  </rv>
  <rv s="7">
    <fb>497.14</fb>
    <v>13</v>
  </rv>
  <rv s="7">
    <fb>487.41</fb>
    <v>13</v>
  </rv>
  <rv s="7">
    <fb>489.45</fb>
    <v>13</v>
  </rv>
  <rv s="7">
    <fb>491.27</fb>
    <v>13</v>
  </rv>
  <rv s="7">
    <fb>493.64</fb>
    <v>13</v>
  </rv>
  <rv s="7">
    <fb>493.8</fb>
    <v>13</v>
  </rv>
  <rv s="7">
    <fb>496.38</fb>
    <v>13</v>
  </rv>
  <rv s="7">
    <fb>495.57</fb>
    <v>13</v>
  </rv>
  <rv s="7">
    <fb>494.97</fb>
    <v>13</v>
  </rv>
  <rv s="7">
    <fb>497.7</fb>
    <v>13</v>
  </rv>
  <rv s="7">
    <fb>491.3</fb>
    <v>13</v>
  </rv>
  <rv s="7">
    <fb>497.06</fb>
    <v>13</v>
  </rv>
  <rv s="7">
    <fb>499.95</fb>
    <v>13</v>
  </rv>
  <rv s="7">
    <fb>498.02</fb>
    <v>13</v>
  </rv>
  <rv s="7">
    <fb>502.26</fb>
    <v>13</v>
  </rv>
  <rv s="7">
    <fb>506.66</fb>
    <v>13</v>
  </rv>
  <rv s="7">
    <fb>514.07000000000005</fb>
    <v>13</v>
  </rv>
  <rv s="7">
    <fb>513.76</fb>
    <v>13</v>
  </rv>
  <rv s="7">
    <fb>516.34</fb>
    <v>13</v>
  </rv>
  <rv s="7">
    <fb>515.01</fb>
    <v>13</v>
  </rv>
  <rv s="7">
    <fb>513.02</fb>
    <v>13</v>
  </rv>
  <rv s="7">
    <fb>513.73</fb>
    <v>13</v>
  </rv>
  <rv s="7">
    <fb>510.62</fb>
    <v>13</v>
  </rv>
  <rv s="7">
    <fb>507.36</fb>
    <v>13</v>
  </rv>
  <rv s="7">
    <fb>508.21</fb>
    <v>13</v>
  </rv>
  <rv s="7">
    <fb>506.28</fb>
    <v>13</v>
  </rv>
  <rv s="7">
    <fb>513.69000000000005</fb>
    <v>13</v>
  </rv>
  <rv s="7">
    <fb>499.59</fb>
    <v>13</v>
  </rv>
  <rv s="7">
    <fb>508.08</fb>
    <v>13</v>
  </rv>
  <rv s="7">
    <fb>505.58</fb>
    <v>13</v>
  </rv>
  <rv s="7">
    <fb>505.56</fb>
    <v>13</v>
  </rv>
  <rv s="7">
    <fb>521.13</fb>
    <v>13</v>
  </rv>
  <rv s="7">
    <fb>517.88</fb>
    <v>13</v>
  </rv>
  <rv s="7">
    <fb>524.76</fb>
    <v>13</v>
  </rv>
  <rv s="7">
    <fb>530.12</fb>
    <v>13</v>
  </rv>
  <rv s="7">
    <fb>529.16999999999996</fb>
    <v>13</v>
  </rv>
  <rv s="7">
    <fb>521.88</fb>
    <v>13</v>
  </rv>
  <rv s="7">
    <fb>520.4</fb>
    <v>13</v>
  </rv>
  <rv s="7">
    <fb>521.89</fb>
    <v>13</v>
  </rv>
  <rv s="7">
    <fb>521.63</fb>
    <v>13</v>
  </rv>
  <rv s="7">
    <fb>519.46</fb>
    <v>13</v>
  </rv>
  <rv s="7">
    <fb>512.54</fb>
    <v>13</v>
  </rv>
  <rv s="7">
    <fb>515.1</fb>
    <v>13</v>
  </rv>
  <rv s="7">
    <fb>520.86</fb>
    <v>13</v>
  </rv>
  <rv s="7">
    <fb>526.6</fb>
    <v>13</v>
  </rv>
  <rv s="7">
    <fb>528.48</fb>
    <v>13</v>
  </rv>
  <rv s="7">
    <fb>532.38</fb>
    <v>13</v>
  </rv>
  <rv s="7">
    <fb>532.94000000000005</fb>
    <v>13</v>
  </rv>
  <rv s="7">
    <fb>531.36</fb>
    <v>13</v>
  </rv>
  <rv s="7">
    <fb>526.17999999999995</fb>
    <v>13</v>
  </rv>
  <rv s="7">
    <fb>521.14</fb>
    <v>13</v>
  </rv>
  <rv s="7">
    <fb>524.77</fb>
    <v>13</v>
  </rv>
  <rv s="7">
    <fb>528.57000000000005</fb>
    <v>13</v>
  </rv>
  <rv s="7">
    <fb>522.82000000000005</fb>
    <v>13</v>
  </rv>
  <rv s="7">
    <fb>529.01</fb>
    <v>13</v>
  </rv>
  <rv s="7">
    <fb>291.42</fb>
    <v>13</v>
  </rv>
  <rv s="7">
    <fb>295.93</fb>
    <v>13</v>
  </rv>
  <rv s="7">
    <fb>290.02</fb>
    <v>13</v>
  </rv>
  <rv s="7">
    <fb>287.27</fb>
    <v>13</v>
  </rv>
  <rv s="7">
    <fb>290.23</fb>
    <v>13</v>
  </rv>
  <rv s="7">
    <fb>290.73</fb>
    <v>13</v>
  </rv>
  <rv s="7">
    <fb>288.99</fb>
    <v>13</v>
  </rv>
  <rv s="7">
    <fb>291.39</fb>
    <v>13</v>
  </rv>
  <rv s="7">
    <fb>291.7</fb>
    <v>13</v>
  </rv>
  <rv s="7">
    <fb>292.86</fb>
    <v>13</v>
  </rv>
  <rv s="7">
    <fb>294.55</fb>
    <v>13</v>
  </rv>
  <rv s="7">
    <fb>295.83999999999997</fb>
    <v>13</v>
  </rv>
  <rv s="7">
    <fb>296.51</fb>
    <v>13</v>
  </rv>
  <rv s="7">
    <fb>297.04000000000002</fb>
    <v>13</v>
  </rv>
  <rv s="7">
    <fb>294.39</fb>
    <v>13</v>
  </rv>
  <rv s="7">
    <fb>291.74</fb>
    <v>13</v>
  </rv>
  <rv s="7">
    <fb>291.89999999999998</fb>
    <v>13</v>
  </rv>
  <rv s="7">
    <fb>290.87</fb>
    <v>13</v>
  </rv>
  <rv s="7">
    <fb>294.08999999999997</fb>
    <v>13</v>
  </rv>
  <rv s="7">
    <fb>294.14999999999998</fb>
    <v>13</v>
  </rv>
  <rv s="7">
    <fb>293.47000000000003</fb>
    <v>13</v>
  </rv>
  <rv s="7">
    <fb>291.08999999999997</fb>
    <v>13</v>
  </rv>
  <rv s="7">
    <fb>291.16000000000003</fb>
    <v>13</v>
  </rv>
  <rv s="7">
    <fb>294.36</fb>
    <v>13</v>
  </rv>
  <rv s="7">
    <fb>300.52999999999997</fb>
    <v>13</v>
  </rv>
  <rv s="7">
    <fb>298.41000000000003</fb>
    <v>13</v>
  </rv>
  <rv s="7">
    <fb>300.05</fb>
    <v>13</v>
  </rv>
  <rv s="7">
    <fb>300.44</fb>
    <v>13</v>
  </rv>
  <rv s="7">
    <fb>297.20999999999998</fb>
    <v>13</v>
  </rv>
  <rv s="7">
    <fb>292.26</fb>
    <v>13</v>
  </rv>
  <rv s="7">
    <fb>292.31</fb>
    <v>13</v>
  </rv>
  <rv s="7">
    <fb>294.64999999999998</fb>
    <v>13</v>
  </rv>
  <rv s="7">
    <fb>292.72000000000003</fb>
    <v>13</v>
  </rv>
  <rv s="7">
    <fb>298.08</fb>
    <v>13</v>
  </rv>
  <rv s="7">
    <fb>297.05</fb>
    <v>13</v>
  </rv>
  <rv s="7">
    <fb>285.97000000000003</fb>
    <v>13</v>
  </rv>
  <rv s="7">
    <fb>284.64999999999998</fb>
    <v>13</v>
  </rv>
  <rv s="7">
    <fb>287.33</fb>
    <v>13</v>
  </rv>
  <rv s="7">
    <fb>291.93</fb>
    <v>13</v>
  </rv>
  <rv s="7">
    <fb>289.47000000000003</fb>
    <v>13</v>
  </rv>
  <rv s="7">
    <fb>289.44</fb>
    <v>13</v>
  </rv>
  <rv s="7">
    <fb>287.11</fb>
    <v>13</v>
  </rv>
  <rv s="7">
    <fb>288.17</fb>
    <v>13</v>
  </rv>
  <rv s="7">
    <fb>291.86</fb>
    <v>13</v>
  </rv>
  <rv s="7">
    <fb>292.02</fb>
    <v>13</v>
  </rv>
  <rv s="7">
    <fb>292.64999999999998</fb>
    <v>13</v>
  </rv>
  <rv s="7">
    <fb>293.91000000000003</fb>
    <v>13</v>
  </rv>
  <rv s="7">
    <fb>295.92</fb>
    <v>13</v>
  </rv>
  <rv s="7">
    <fb>297.75</fb>
    <v>13</v>
  </rv>
  <rv s="7">
    <fb>297.12</fb>
    <v>13</v>
  </rv>
  <rv s="7">
    <fb>293.76</fb>
    <v>13</v>
  </rv>
  <rv s="7">
    <fb>295.19</fb>
    <v>13</v>
  </rv>
  <rv s="7">
    <fb>292.27999999999997</fb>
    <v>13</v>
  </rv>
  <rv s="7">
    <fb>290.94</fb>
    <v>13</v>
  </rv>
  <rv s="7">
    <fb>292.54000000000002</fb>
    <v>13</v>
  </rv>
  <rv s="7">
    <fb>292.93</fb>
    <v>13</v>
  </rv>
  <rv s="7">
    <fb>291.11</fb>
    <v>13</v>
  </rv>
  <rv s="7">
    <fb>292.55</fb>
    <v>13</v>
  </rv>
  <rv s="7">
    <fb>294.82</fb>
    <v>13</v>
  </rv>
  <rv s="7">
    <fb>294.31</fb>
    <v>13</v>
  </rv>
  <rv s="7">
    <fb>282.86</fb>
    <v>13</v>
  </rv>
  <rv s="7">
    <fb>281.73</fb>
    <v>13</v>
  </rv>
  <rv s="7">
    <fb>279.14</fb>
    <v>13</v>
  </rv>
  <rv s="7">
    <fb>278.58</fb>
    <v>13</v>
  </rv>
  <rv s="7">
    <fb>282.87</fb>
    <v>13</v>
  </rv>
  <rv s="7">
    <fb>284.45</fb>
    <v>13</v>
  </rv>
  <rv s="7">
    <fb>283.52999999999997</fb>
    <v>13</v>
  </rv>
  <rv s="7">
    <fb>282.63</fb>
    <v>13</v>
  </rv>
  <rv s="7">
    <fb>278.62</fb>
    <v>13</v>
  </rv>
  <rv s="7">
    <fb>282.02</fb>
    <v>13</v>
  </rv>
  <rv s="7">
    <fb>281.95</fb>
    <v>13</v>
  </rv>
  <rv s="7">
    <fb>280.22000000000003</fb>
    <v>13</v>
  </rv>
  <rv s="7">
    <fb>277.74</fb>
    <v>13</v>
  </rv>
  <rv s="7">
    <fb>275.54000000000002</fb>
    <v>13</v>
  </rv>
  <rv s="7">
    <fb>270.08999999999997</fb>
    <v>13</v>
  </rv>
  <rv s="7">
    <fb>266.69</fb>
    <v>13</v>
  </rv>
  <rv s="7">
    <fb>267.56</fb>
    <v>13</v>
  </rv>
  <rv s="7">
    <fb>269.44</fb>
    <v>13</v>
  </rv>
  <rv s="7">
    <fb>268.67</fb>
    <v>13</v>
  </rv>
  <rv s="7">
    <fb>268.62</fb>
    <v>13</v>
  </rv>
  <rv s="7">
    <fb>267.39</fb>
    <v>13</v>
  </rv>
  <rv s="7">
    <fb>266.23</fb>
    <v>13</v>
  </rv>
  <rv s="7">
    <fb>265.43</fb>
    <v>13</v>
  </rv>
  <rv s="7">
    <fb>269.95</fb>
    <v>13</v>
  </rv>
  <rv s="7">
    <fb>270.98</fb>
    <v>13</v>
  </rv>
  <rv s="7">
    <fb>271.99</fb>
    <v>13</v>
  </rv>
  <rv s="7">
    <fb>275.58</fb>
    <v>13</v>
  </rv>
  <rv s="7">
    <fb>276.88</fb>
    <v>13</v>
  </rv>
  <rv s="7">
    <fb>276.75</fb>
    <v>13</v>
  </rv>
  <rv s="7">
    <fb>275.60000000000002</fb>
    <v>13</v>
  </rv>
  <rv s="7">
    <fb>273.08999999999997</fb>
    <v>13</v>
  </rv>
  <rv s="7">
    <fb>273.55</fb>
    <v>13</v>
  </rv>
  <rv s="7">
    <fb>273.04000000000002</fb>
    <v>13</v>
  </rv>
  <rv s="7">
    <fb>274.43</fb>
    <v>13</v>
  </rv>
  <rv s="7">
    <fb>273.27999999999997</fb>
    <v>13</v>
  </rv>
  <rv s="7">
    <fb>270.32</fb>
    <v>13</v>
  </rv>
  <rv s="7">
    <fb>269.3</fb>
    <v>13</v>
  </rv>
  <rv s="7">
    <fb>267.5</fb>
    <v>13</v>
  </rv>
  <rv s="7">
    <fb>268.49</fb>
    <v>13</v>
  </rv>
  <rv s="7">
    <fb>267.95</fb>
    <v>13</v>
  </rv>
  <rv s="7">
    <fb>275</fb>
    <v>13</v>
  </rv>
  <rv s="7">
    <fb>271.32</fb>
    <v>13</v>
  </rv>
  <rv s="7">
    <fb>270.66000000000003</fb>
    <v>13</v>
  </rv>
  <rv s="7">
    <fb>273.87</fb>
    <v>13</v>
  </rv>
  <rv s="7">
    <fb>273.51</fb>
    <v>13</v>
  </rv>
  <rv s="7">
    <fb>272.38</fb>
    <v>13</v>
  </rv>
  <rv s="7">
    <fb>267.87</fb>
    <v>13</v>
  </rv>
  <rv s="7">
    <fb>265.87</fb>
    <v>13</v>
  </rv>
  <rv s="7">
    <fb>265.77</fb>
    <v>13</v>
  </rv>
  <rv s="7">
    <fb>257.93</fb>
    <v>13</v>
  </rv>
  <rv s="7">
    <fb>258.11</fb>
    <v>13</v>
  </rv>
  <rv s="7">
    <fb>253.54</fb>
    <v>13</v>
  </rv>
  <rv s="7">
    <fb>249.37</fb>
    <v>13</v>
  </rv>
  <rv s="7">
    <fb>252.07</fb>
    <v>13</v>
  </rv>
  <rv s="7">
    <fb>258.89</fb>
    <v>13</v>
  </rv>
  <rv s="7">
    <fb>259.75</fb>
    <v>13</v>
  </rv>
  <rv s="7">
    <fb>262.72000000000003</fb>
    <v>13</v>
  </rv>
  <rv s="7">
    <fb>259.99</fb>
    <v>13</v>
  </rv>
  <rv s="7">
    <fb>260.72000000000003</fb>
    <v>13</v>
  </rv>
  <rv s="7">
    <fb>256.20999999999998</fb>
    <v>13</v>
  </rv>
  <rv s="7">
    <fb>253.81</fb>
    <v>13</v>
  </rv>
  <rv s="7">
    <fb>254.28</fb>
    <v>13</v>
  </rv>
  <rv s="7">
    <fb>254.48</fb>
    <v>13</v>
  </rv>
  <rv s="7">
    <fb>253.7</fb>
    <v>13</v>
  </rv>
  <rv s="7">
    <fb>253.58</fb>
    <v>13</v>
  </rv>
  <rv s="7">
    <fb>253.51</fb>
    <v>13</v>
  </rv>
  <rv s="7">
    <fb>250.79</fb>
    <v>13</v>
  </rv>
  <rv s="7">
    <fb>253.8</fb>
    <v>13</v>
  </rv>
  <rv s="7">
    <fb>259.39</fb>
    <v>13</v>
  </rv>
  <rv s="7">
    <fb>260.38</fb>
    <v>13</v>
  </rv>
  <rv s="7">
    <fb>257.38</fb>
    <v>13</v>
  </rv>
  <rv s="7">
    <fb>257.83</fb>
    <v>13</v>
  </rv>
  <rv s="7">
    <fb>258.17</fb>
    <v>13</v>
  </rv>
  <rv s="7">
    <fb>254.84</fb>
    <v>13</v>
  </rv>
  <rv s="7">
    <fb>249.99</fb>
    <v>13</v>
  </rv>
  <rv s="7">
    <fb>247.79</fb>
    <v>13</v>
  </rv>
  <rv s="7">
    <fb>250</fb>
    <v>13</v>
  </rv>
  <rv s="7">
    <fb>251.09</fb>
    <v>13</v>
  </rv>
  <rv s="7">
    <fb>247.85</fb>
    <v>13</v>
  </rv>
  <rv s="7">
    <fb>245.82</fb>
    <v>13</v>
  </rv>
  <rv s="7">
    <fb>250.49</fb>
    <v>13</v>
  </rv>
  <rv s="7">
    <fb>254.8</fb>
    <v>13</v>
  </rv>
  <rv s="7">
    <fb>253.9</fb>
    <v>13</v>
  </rv>
  <rv s="7">
    <fb>251.53</fb>
    <v>13</v>
  </rv>
  <rv s="7">
    <fb>257.27</fb>
    <v>13</v>
  </rv>
  <rv s="7">
    <fb>259.52</fb>
    <v>13</v>
  </rv>
  <rv s="7">
    <fb>257.27999999999997</fb>
    <v>13</v>
  </rv>
  <rv s="7">
    <fb>259.54000000000002</fb>
    <v>13</v>
  </rv>
  <rv s="7">
    <fb>254.05</fb>
    <v>13</v>
  </rv>
  <rv s="7">
    <fb>253.37</fb>
    <v>13</v>
  </rv>
  <rv s="7">
    <fb>251.46</fb>
    <v>13</v>
  </rv>
  <rv s="7">
    <fb>252</fb>
    <v>13</v>
  </rv>
  <rv s="7">
    <fb>261.42</fb>
    <v>13</v>
  </rv>
  <rv s="7">
    <fb>266.44</fb>
    <v>13</v>
  </rv>
  <rv s="7">
    <fb>265.39999999999998</fb>
    <v>13</v>
  </rv>
  <rv s="7">
    <fb>268.75</fb>
    <v>13</v>
  </rv>
  <rv s="7">
    <fb>276.69</fb>
    <v>13</v>
  </rv>
  <rv s="7">
    <fb>268.45</fb>
    <v>13</v>
  </rv>
  <rv s="7">
    <fb>270.06</fb>
    <v>13</v>
  </rv>
  <rv s="7">
    <fb>269.37</fb>
    <v>13</v>
  </rv>
  <rv s="7">
    <fb>271.19</fb>
    <v>13</v>
  </rv>
  <rv s="7">
    <fb>267.91000000000003</fb>
    <v>13</v>
  </rv>
  <rv s="7">
    <fb>269.45999999999998</fb>
    <v>13</v>
  </rv>
  <rv s="7">
    <fb>270.31</fb>
    <v>13</v>
  </rv>
  <rv s="7">
    <fb>271.14999999999998</fb>
    <v>13</v>
  </rv>
  <rv s="7">
    <fb>274.87</fb>
    <v>13</v>
  </rv>
  <rv s="7">
    <fb>278.49</fb>
    <v>13</v>
  </rv>
  <rv s="7">
    <fb>287.55</fb>
    <v>13</v>
  </rv>
  <rv s="7">
    <fb>285.63</fb>
    <v>13</v>
  </rv>
  <rv s="7">
    <fb>289.70999999999998</fb>
    <v>13</v>
  </rv>
  <rv s="7">
    <fb>289.20999999999998</fb>
    <v>13</v>
  </rv>
  <rv s="7">
    <fb>289.52</fb>
    <v>13</v>
  </rv>
  <rv s="7">
    <fb>288.68</fb>
    <v>13</v>
  </rv>
  <rv s="7">
    <fb>289.64</fb>
    <v>13</v>
  </rv>
  <rv s="7">
    <fb>287.05</fb>
    <v>13</v>
  </rv>
  <rv s="7">
    <fb>287.86</fb>
    <v>13</v>
  </rv>
  <rv s="7">
    <fb>288.66000000000003</fb>
    <v>13</v>
  </rv>
  <rv s="7">
    <fb>285.52</fb>
    <v>13</v>
  </rv>
  <rv s="7">
    <fb>288.02999999999997</fb>
    <v>13</v>
  </rv>
  <rv s="7">
    <fb>287.97000000000003</fb>
    <v>13</v>
  </rv>
  <rv s="7">
    <fb>289.51</fb>
    <v>13</v>
  </rv>
  <rv s="7">
    <fb>291.29000000000002</fb>
    <v>13</v>
  </rv>
  <rv s="7">
    <fb>291.27</fb>
    <v>13</v>
  </rv>
  <rv s="7">
    <fb>292.35000000000002</fb>
    <v>13</v>
  </rv>
  <rv s="7">
    <fb>296.52999999999997</fb>
    <v>13</v>
  </rv>
  <rv s="7">
    <fb>296.69</fb>
    <v>13</v>
  </rv>
  <rv s="7">
    <fb>293.75</fb>
    <v>13</v>
  </rv>
  <rv s="7">
    <fb>292.02999999999997</fb>
    <v>13</v>
  </rv>
  <rv s="7">
    <fb>293.85000000000002</fb>
    <v>13</v>
  </rv>
  <rv s="7">
    <fb>296.83</fb>
    <v>13</v>
  </rv>
  <rv s="7">
    <fb>299.06</fb>
    <v>13</v>
  </rv>
  <rv s="7">
    <fb>300.27</fb>
    <v>13</v>
  </rv>
  <rv s="7">
    <fb>300.47000000000003</fb>
    <v>13</v>
  </rv>
  <rv s="7">
    <fb>303.64999999999998</fb>
    <v>13</v>
  </rv>
  <rv s="7">
    <fb>303.69</fb>
    <v>13</v>
  </rv>
  <rv s="7">
    <fb>304.51</fb>
    <v>13</v>
  </rv>
  <rv s="7">
    <fb>302.98</fb>
    <v>13</v>
  </rv>
  <rv s="7">
    <fb>303.76</fb>
    <v>13</v>
  </rv>
  <rv s="7">
    <fb>303.45</fb>
    <v>13</v>
  </rv>
  <rv s="7">
    <fb>300.85000000000002</fb>
    <v>13</v>
  </rv>
  <rv s="7">
    <fb>301.89999999999998</fb>
    <v>13</v>
  </rv>
  <rv s="7">
    <fb>303.83</fb>
    <v>13</v>
  </rv>
  <rv s="7">
    <fb>304.04000000000002</fb>
    <v>13</v>
  </rv>
  <rv s="7">
    <fb>305.04000000000002</fb>
    <v>13</v>
  </rv>
  <rv s="7">
    <fb>309.83999999999997</fb>
    <v>13</v>
  </rv>
  <rv s="7">
    <fb>313.33999999999997</fb>
    <v>13</v>
  </rv>
  <rv s="7">
    <fb>312.92</fb>
    <v>13</v>
  </rv>
  <rv s="7">
    <fb>314.7</fb>
    <v>13</v>
  </rv>
  <rv s="7">
    <fb>316.56</fb>
    <v>13</v>
  </rv>
  <rv s="7">
    <fb>314.89</fb>
    <v>13</v>
  </rv>
  <rv s="7">
    <fb>314.69</fb>
    <v>13</v>
  </rv>
  <rv s="7">
    <fb>298.57</fb>
    <v>13</v>
  </rv>
  <rv s="7">
    <fb>301.58</fb>
    <v>13</v>
  </rv>
  <rv s="7">
    <fb>292.61</fb>
    <v>13</v>
  </rv>
  <rv s="7">
    <fb>296.79000000000002</fb>
    <v>13</v>
  </rv>
  <rv s="7">
    <fb>295</fb>
    <v>13</v>
  </rv>
  <rv s="7">
    <fb>291.52</fb>
    <v>13</v>
  </rv>
  <rv s="7">
    <fb>292.11</fb>
    <v>13</v>
  </rv>
  <rv s="7">
    <fb>295.20999999999998</fb>
    <v>13</v>
  </rv>
  <rv s="7">
    <fb>292.85000000000002</fb>
    <v>13</v>
  </rv>
  <rv s="7">
    <fb>297.32</fb>
    <v>13</v>
  </rv>
  <rv s="7">
    <fb>294</fb>
    <v>13</v>
  </rv>
  <rv s="7">
    <fb>294.66000000000003</fb>
    <v>13</v>
  </rv>
  <rv s="7">
    <fb>298.97000000000003</fb>
    <v>13</v>
  </rv>
  <rv s="7">
    <fb>301.52999999999997</fb>
    <v>13</v>
  </rv>
  <rv s="7">
    <fb>298.64999999999998</fb>
    <v>13</v>
  </rv>
  <rv s="7">
    <fb>297.35000000000002</fb>
    <v>13</v>
  </rv>
  <rv s="7">
    <fb>298.56</fb>
    <v>13</v>
  </rv>
  <rv s="7">
    <fb>292.63</fb>
    <v>13</v>
  </rv>
  <rv s="7">
    <fb>291.10000000000002</fb>
    <v>13</v>
  </rv>
  <rv s="7">
    <fb>290.91000000000003</fb>
    <v>13</v>
  </rv>
  <rv s="7">
    <fb>288.47000000000003</fb>
    <v>13</v>
  </rv>
  <rv s="7">
    <fb>290.27999999999997</fb>
    <v>13</v>
  </rv>
  <rv s="7">
    <fb>296.19</fb>
    <v>13</v>
  </rv>
  <rv s="7">
    <fb>296.33</fb>
    <v>13</v>
  </rv>
  <rv s="7">
    <fb>295.08</fb>
    <v>13</v>
  </rv>
  <rv s="7">
    <fb>296.01</fb>
    <v>13</v>
  </rv>
  <rv s="7">
    <fb>292.44</fb>
    <v>13</v>
  </rv>
  <rv s="7">
    <fb>294.5</fb>
    <v>13</v>
  </rv>
  <rv s="7">
    <fb>295.08999999999997</fb>
    <v>13</v>
  </rv>
  <rv s="7">
    <fb>299.47000000000003</fb>
    <v>13</v>
  </rv>
  <rv s="7">
    <fb>298.98</fb>
    <v>13</v>
  </rv>
  <rv s="7">
    <fb>301.37</fb>
    <v>13</v>
  </rv>
  <rv s="7">
    <fb>300.70999999999998</fb>
    <v>13</v>
  </rv>
  <rv s="7">
    <fb>334.22</fb>
    <v>13</v>
  </rv>
  <rv s="7">
    <fb>334.74</fb>
    <v>13</v>
  </rv>
  <rv s="7">
    <fb>333.17</fb>
    <v>13</v>
  </rv>
  <rv s="7">
    <fb>334.92</fb>
    <v>13</v>
  </rv>
  <rv s="7">
    <fb>344.62</fb>
    <v>13</v>
  </rv>
  <rv s="7">
    <fb>350.36</fb>
    <v>13</v>
  </rv>
  <rv s="7">
    <fb>349.28</fb>
    <v>13</v>
  </rv>
  <rv s="7">
    <fb>354.09</fb>
    <v>13</v>
  </rv>
  <rv s="7">
    <fb>353.39</fb>
    <v>13</v>
  </rv>
  <rv s="7">
    <fb>354.83</fb>
    <v>13</v>
  </rv>
  <rv s="7">
    <fb>357.83</fb>
    <v>13</v>
  </rv>
  <rv s="7">
    <fb>358.32</fb>
    <v>13</v>
  </rv>
  <rv s="7">
    <fb>353.96</fb>
    <v>13</v>
  </rv>
  <rv s="7">
    <fb>346.29</fb>
    <v>13</v>
  </rv>
  <rv s="7">
    <fb>344.47</fb>
    <v>13</v>
  </rv>
  <rv s="7">
    <fb>347.12</fb>
    <v>13</v>
  </rv>
  <rv s="7">
    <fb>351.95</fb>
    <v>13</v>
  </rv>
  <rv s="7">
    <fb>358.66</fb>
    <v>13</v>
  </rv>
  <rv s="7">
    <fb>357.43</fb>
    <v>13</v>
  </rv>
  <rv s="7">
    <fb>370.47</fb>
    <v>13</v>
  </rv>
  <rv s="7">
    <fb>369.67</fb>
    <v>13</v>
  </rv>
  <rv s="7">
    <fb>374.49</fb>
    <v>13</v>
  </rv>
  <rv s="7">
    <fb>367.46</fb>
    <v>13</v>
  </rv>
  <rv s="7">
    <fb>368.37</fb>
    <v>13</v>
  </rv>
  <rv s="7">
    <fb>376.13</fb>
    <v>13</v>
  </rv>
  <rv s="7">
    <fb>383.45</fb>
    <v>13</v>
  </rv>
  <rv s="7">
    <fb>381.78</fb>
    <v>13</v>
  </rv>
  <rv s="7">
    <fb>385.2</fb>
    <v>13</v>
  </rv>
  <rv s="7">
    <fb>390.7</fb>
    <v>13</v>
  </rv>
  <rv s="7">
    <fb>393.18</fb>
    <v>13</v>
  </rv>
  <rv s="7">
    <fb>394.14</fb>
    <v>13</v>
  </rv>
  <rv s="7">
    <fb>401.02</fb>
    <v>13</v>
  </rv>
  <rv s="7">
    <fb>400.06</fb>
    <v>13</v>
  </rv>
  <rv s="7">
    <fb>390.14</fb>
    <v>13</v>
  </rv>
  <rv s="7">
    <fb>394.78</fb>
    <v>13</v>
  </rv>
  <rv s="7">
    <fb>459.41</fb>
    <v>13</v>
  </rv>
  <rv s="7">
    <fb>454.72</fb>
    <v>13</v>
  </rv>
  <rv s="7">
    <fb>469.59</fb>
    <v>13</v>
  </rv>
  <rv s="7">
    <fb>470</fb>
    <v>13</v>
  </rv>
  <rv s="7">
    <fb>468.11</fb>
    <v>13</v>
  </rv>
  <rv s="7">
    <fb>460.12</fb>
    <v>13</v>
  </rv>
  <rv s="7">
    <fb>473.28</fb>
    <v>13</v>
  </rv>
  <rv s="7">
    <fb>484.03</fb>
    <v>13</v>
  </rv>
  <rv s="7">
    <fb>473.32</fb>
    <v>13</v>
  </rv>
  <rv s="7">
    <fb>471.75</fb>
    <v>13</v>
  </rv>
  <rv s="7">
    <fb>468.03</fb>
    <v>13</v>
  </rv>
  <rv s="7">
    <fb>486.13</fb>
    <v>13</v>
  </rv>
  <rv s="7">
    <fb>481.74</fb>
    <v>13</v>
  </rv>
  <rv s="7">
    <fb>487.05</fb>
    <v>13</v>
  </rv>
  <rv s="7">
    <fb>484.02</fb>
    <v>13</v>
  </rv>
  <rv s="7">
    <fb>490.13</fb>
    <v>13</v>
  </rv>
  <rv s="7">
    <fb>502.3</fb>
    <v>13</v>
  </rv>
  <rv s="7">
    <fb>498.19</fb>
    <v>13</v>
  </rv>
  <rv s="7">
    <fb>490.22</fb>
    <v>13</v>
  </rv>
  <rv s="7">
    <fb>496.09</fb>
    <v>13</v>
  </rv>
  <rv s="7">
    <fb>512.19000000000005</fb>
    <v>13</v>
  </rv>
  <rv s="7">
    <fb>505.95</fb>
    <v>13</v>
  </rv>
  <rv s="7">
    <fb>483.59</fb>
    <v>13</v>
  </rv>
  <rv s="7">
    <fb>499.75</fb>
    <v>13</v>
  </rv>
  <rv s="7">
    <fb>491.83</fb>
    <v>13</v>
  </rv>
  <rv s="7">
    <fb>484.1</fb>
    <v>13</v>
  </rv>
  <rv s="7">
    <fb>496.98</fb>
    <v>13</v>
  </rv>
  <rv s="7">
    <fb>505.52</fb>
    <v>13</v>
  </rv>
  <rv s="7">
    <fb>507.76</fb>
    <v>13</v>
  </rv>
  <rv s="7">
    <fb>509.58</fb>
    <v>13</v>
  </rv>
  <rv s="7">
    <fb>503.02</fb>
    <v>13</v>
  </rv>
  <rv s="7">
    <fb>495.89</fb>
    <v>13</v>
  </rv>
  <rv s="7">
    <fb>493.86</fb>
    <v>13</v>
  </rv>
  <rv s="7">
    <fb>485.58</fb>
    <v>13</v>
  </rv>
  <rv s="7">
    <fb>491.35</fb>
    <v>13</v>
  </rv>
  <rv s="7">
    <fb>497.37</fb>
    <v>13</v>
  </rv>
  <rv s="7">
    <fb>506.74</fb>
    <v>13</v>
  </rv>
  <rv s="7">
    <fb>510.92</fb>
    <v>13</v>
  </rv>
  <rv s="7">
    <fb>527.34</fb>
    <v>13</v>
  </rv>
  <rv s="7">
    <fb>519.25</fb>
    <v>13</v>
  </rv>
  <rv s="7">
    <fb>516.9</fb>
    <v>13</v>
  </rv>
  <rv s="7">
    <fb>519.83000000000004</fb>
    <v>13</v>
  </rv>
  <rv s="7">
    <fb>523.16</fb>
    <v>13</v>
  </rv>
  <rv s="7">
    <fb>511.9</fb>
    <v>13</v>
  </rv>
  <rv s="7">
    <fb>500.23</fb>
    <v>13</v>
  </rv>
  <rv s="7">
    <fb>499.76</fb>
    <v>13</v>
  </rv>
  <rv s="7">
    <fb>494.17</fb>
    <v>13</v>
  </rv>
  <rv s="7">
    <fb>501.8</fb>
    <v>13</v>
  </rv>
  <rv s="7">
    <fb>481.07</fb>
    <v>13</v>
  </rv>
  <rv s="7">
    <fb>481.73</fb>
    <v>13</v>
  </rv>
  <rv s="7">
    <fb>496.1</fb>
    <v>13</v>
  </rv>
  <rv s="7">
    <fb>493.5</fb>
    <v>13</v>
  </rv>
  <rv s="7">
    <fb>441.38</fb>
    <v>13</v>
  </rv>
  <rv s="7">
    <fb>443.29</fb>
    <v>13</v>
  </rv>
  <rv s="7">
    <fb>432.62</fb>
    <v>13</v>
  </rv>
  <rv s="7">
    <fb>430.17</fb>
    <v>13</v>
  </rv>
  <rv s="7">
    <fb>439.19</fb>
    <v>13</v>
  </rv>
  <rv s="7">
    <fb>441.68</fb>
    <v>13</v>
  </rv>
  <rv s="7">
    <fb>451.96</fb>
    <v>13</v>
  </rv>
  <rv s="7">
    <fb>465.68</fb>
    <v>13</v>
  </rv>
  <rv s="7">
    <fb>468.24</fb>
    <v>13</v>
  </rv>
  <rv s="7">
    <fb>472.6</fb>
    <v>13</v>
  </rv>
  <rv s="7">
    <fb>475.42</fb>
    <v>13</v>
  </rv>
  <rv s="7">
    <fb>476.2</fb>
    <v>13</v>
  </rv>
  <rv s="7">
    <fb>468.01</fb>
    <v>13</v>
  </rv>
  <rv s="7">
    <fb>471.85</fb>
    <v>13</v>
  </rv>
  <rv s="7">
    <fb>481.54</fb>
    <v>13</v>
  </rv>
  <rv s="7">
    <fb>473.23</fb>
    <v>13</v>
  </rv>
  <rv s="7">
    <fb>471.91</fb>
    <v>13</v>
  </rv>
  <rv s="7">
    <fb>468.84</fb>
    <v>13</v>
  </rv>
  <rv s="7">
    <fb>464.63</fb>
    <v>13</v>
  </rv>
  <rv s="7">
    <fb>467.78</fb>
    <v>13</v>
  </rv>
  <rv s="7">
    <fb>465.78</fb>
    <v>13</v>
  </rv>
  <rv s="7">
    <fb>478.22</fb>
    <v>13</v>
  </rv>
  <rv s="7">
    <fb>479.92</fb>
    <v>13</v>
  </rv>
  <rv s="7">
    <fb>474.36</fb>
    <v>13</v>
  </rv>
  <rv s="7">
    <fb>467.05</fb>
    <v>13</v>
  </rv>
  <rv s="7">
    <fb>466.83</fb>
    <v>13</v>
  </rv>
  <rv s="7">
    <fb>477.49</fb>
    <v>13</v>
  </rv>
  <rv s="7">
    <fb>476.99</fb>
    <v>13</v>
  </rv>
  <rv s="7">
    <fb>495.06</fb>
    <v>13</v>
  </rv>
  <rv s="7">
    <fb>493.76</fb>
    <v>13</v>
  </rv>
  <rv s="7">
    <fb>492.96</fb>
    <v>13</v>
  </rv>
  <rv s="7">
    <fb>502.6</fb>
    <v>13</v>
  </rv>
  <rv s="7">
    <fb>507.47</fb>
    <v>13</v>
  </rv>
  <rv s="7">
    <fb>508.84</fb>
    <v>13</v>
  </rv>
  <rv s="7">
    <fb>504.1</fb>
    <v>13</v>
  </rv>
  <rv s="7">
    <fb>504.16</fb>
    <v>13</v>
  </rv>
  <rv s="7">
    <fb>506.63</fb>
    <v>13</v>
  </rv>
  <rv s="7">
    <fb>499.49</fb>
    <v>13</v>
  </rv>
  <rv s="7">
    <fb>501.7</fb>
    <v>13</v>
  </rv>
  <rv s="7">
    <fb>494.78</fb>
    <v>13</v>
  </rv>
  <rv s="7">
    <fb>498.91</fb>
    <v>13</v>
  </rv>
  <rv s="7">
    <fb>510.6</fb>
    <v>13</v>
  </rv>
  <rv s="7">
    <fb>513.12</fb>
    <v>13</v>
  </rv>
  <rv s="7">
    <fb>519.55999999999995</fb>
    <v>13</v>
  </rv>
  <rv s="7">
    <fb>504.22</fb>
    <v>13</v>
  </rv>
  <rv s="7">
    <fb>504.68</fb>
    <v>13</v>
  </rv>
  <rv s="7">
    <fb>509.5</fb>
    <v>13</v>
  </rv>
  <rv s="7">
    <fb>509.96</fb>
    <v>13</v>
  </rv>
  <rv s="7">
    <fb>539.91</fb>
    <v>13</v>
  </rv>
  <rv s="7">
    <fb>529.32000000000005</fb>
    <v>13</v>
  </rv>
  <rv s="7">
    <fb>530</fb>
    <v>13</v>
  </rv>
  <rv s="7">
    <fb>534.69000000000005</fb>
    <v>13</v>
  </rv>
  <rv s="7">
    <fb>512.70000000000005</fb>
    <v>13</v>
  </rv>
  <rv s="7">
    <fb>498.87</fb>
    <v>13</v>
  </rv>
  <rv s="7">
    <fb>496.16</fb>
    <v>13</v>
  </rv>
  <rv s="7">
    <fb>489.79</fb>
    <v>13</v>
  </rv>
  <rv s="7">
    <fb>461.99</fb>
    <v>13</v>
  </rv>
  <rv s="7">
    <fb>475.85</fb>
    <v>13</v>
  </rv>
  <rv s="7">
    <fb>476.79</fb>
    <v>13</v>
  </rv>
  <rv s="7">
    <fb>487.4</fb>
    <v>13</v>
  </rv>
  <rv s="7">
    <fb>488.69</fb>
    <v>13</v>
  </rv>
  <rv s="7">
    <fb>461.27</fb>
    <v>13</v>
  </rv>
  <rv s="7">
    <fb>453.41</fb>
    <v>13</v>
  </rv>
  <rv s="7">
    <fb>465.7</fb>
    <v>13</v>
  </rv>
  <rv s="7">
    <fb>465.71</fb>
    <v>13</v>
  </rv>
  <rv s="7">
    <fb>463.19</fb>
    <v>13</v>
  </rv>
  <rv s="7">
    <fb>474.83</fb>
    <v>13</v>
  </rv>
  <rv s="7">
    <fb>497.74</fb>
    <v>13</v>
  </rv>
  <rv s="7">
    <fb>488.14</fb>
    <v>13</v>
  </rv>
  <rv s="7">
    <fb>475.73</fb>
    <v>13</v>
  </rv>
  <rv s="7">
    <fb>494.09</fb>
    <v>13</v>
  </rv>
  <rv s="7">
    <fb>488.92</fb>
    <v>13</v>
  </rv>
  <rv s="7">
    <fb>509.63</fb>
    <v>13</v>
  </rv>
  <rv s="7">
    <fb>517.77</fb>
    <v>13</v>
  </rv>
  <rv s="7">
    <fb>515.95000000000005</fb>
    <v>13</v>
  </rv>
  <rv s="7">
    <fb>528.54</fb>
    <v>13</v>
  </rv>
  <rv s="7">
    <fb>526.76</fb>
    <v>13</v>
  </rv>
  <rv s="7">
    <fb>537.33000000000004</fb>
    <v>13</v>
  </rv>
  <rv s="7">
    <fb>527.41999999999996</fb>
    <v>13</v>
  </rv>
  <rv s="7">
    <fb>529.28</fb>
    <v>13</v>
  </rv>
  <rv s="7">
    <fb>526.73</fb>
    <v>13</v>
  </rv>
  <rv s="7">
    <fb>535.16</fb>
    <v>13</v>
  </rv>
  <rv s="7">
    <fb>531.92999999999995</fb>
    <v>13</v>
  </rv>
  <rv s="7">
    <fb>528</fb>
    <v>13</v>
  </rv>
  <rv s="7">
    <fb>521.12</fb>
    <v>13</v>
  </rv>
  <rv s="7">
    <fb>519.1</fb>
    <v>13</v>
  </rv>
  <rv s="7">
    <fb>516.78</fb>
    <v>13</v>
  </rv>
  <rv s="7">
    <fb>518.22</fb>
    <v>13</v>
  </rv>
  <rv s="7">
    <fb>521.30999999999995</fb>
    <v>13</v>
  </rv>
  <rv s="7">
    <fb>511.76</fb>
    <v>13</v>
  </rv>
  <rv s="7">
    <fb>512.74</fb>
    <v>13</v>
  </rv>
  <rv s="7">
    <fb>516.86</fb>
    <v>13</v>
  </rv>
  <rv s="7">
    <fb>500.27</fb>
    <v>13</v>
  </rv>
  <rv s="7">
    <fb>504.79</fb>
    <v>13</v>
  </rv>
  <rv s="7">
    <fb>511.83</fb>
    <v>13</v>
  </rv>
  <rv s="7">
    <fb>525.6</fb>
    <v>13</v>
  </rv>
  <rv s="7">
    <fb>524.62</fb>
    <v>13</v>
  </rv>
  <rv s="7">
    <fb>533.28</fb>
    <v>13</v>
  </rv>
  <rv s="7">
    <fb>536.31500000000005</fb>
    <v>13</v>
  </rv>
  <rv s="7">
    <fb>537.95000000000005</fb>
    <v>13</v>
  </rv>
  <rv s="7">
    <fb>559.1</fb>
    <v>13</v>
  </rv>
  <rv s="7">
    <fb>561.35</fb>
    <v>13</v>
  </rv>
  <rv s="7">
    <fb>564.41</fb>
    <v>13</v>
  </rv>
  <rv s="7">
    <fb>563.33000000000004</fb>
    <v>13</v>
  </rv>
  <rv s="7">
    <fb>568.30999999999995</fb>
    <v>13</v>
  </rv>
  <rv s="7">
    <fb>567.84</fb>
    <v>13</v>
  </rv>
  <rv s="7">
    <fb>567.36</fb>
    <v>13</v>
  </rv>
  <rv s="7">
    <fb>572.44000000000005</fb>
    <v>13</v>
  </rv>
  <rv s="7">
    <fb>576.47</fb>
    <v>13</v>
  </rv>
  <rv s="7">
    <fb>572.80999999999995</fb>
    <v>13</v>
  </rv>
  <rv s="7">
    <fb>582.77</fb>
    <v>13</v>
  </rv>
  <rv s="7">
    <fb>595.94000000000005</fb>
    <v>13</v>
  </rv>
  <rv s="7">
    <fb>584.78</fb>
    <v>13</v>
  </rv>
  <rv s="7">
    <fb>592.89</fb>
    <v>13</v>
  </rv>
  <rv s="7">
    <fb>590.51</fb>
    <v>13</v>
  </rv>
  <rv s="7">
    <fb>583.83000000000004</fb>
    <v>13</v>
  </rv>
  <rv s="7">
    <fb>589.95000000000005</fb>
    <v>13</v>
  </rv>
  <rv s="7">
    <fb>590.41999999999996</fb>
    <v>13</v>
  </rv>
  <rv s="7">
    <fb>586.27</fb>
    <v>13</v>
  </rv>
  <rv s="7">
    <fb>576.79</fb>
    <v>13</v>
  </rv>
  <rv s="7">
    <fb>576.92999999999995</fb>
    <v>13</v>
  </rv>
  <rv s="7">
    <fb>575.16</fb>
    <v>13</v>
  </rv>
  <rv s="7">
    <fb>582.01</fb>
    <v>13</v>
  </rv>
  <rv s="7">
    <fb>563.69000000000005</fb>
    <v>13</v>
  </rv>
  <rv s="7">
    <fb>567.78</fb>
    <v>13</v>
  </rv>
  <rv s="7">
    <fb>573.25</fb>
    <v>13</v>
  </rv>
  <rv s="7">
    <fb>578.16</fb>
    <v>13</v>
  </rv>
  <rv s="7">
    <fb>593.28</fb>
    <v>13</v>
  </rv>
  <rv s="7">
    <fb>591.79999999999995</fb>
    <v>13</v>
  </rv>
  <rv s="7">
    <fb>567.58000000000004</fb>
    <v>13</v>
  </rv>
  <rv s="7">
    <fb>567.16</fb>
    <v>13</v>
  </rv>
  <rv s="7">
    <fb>560.67999999999995</fb>
    <v>13</v>
  </rv>
  <rv s="7">
    <fb>572.42999999999995</fb>
    <v>13</v>
  </rv>
  <rv s="7">
    <fb>572.04999999999995</fb>
    <v>13</v>
  </rv>
  <rv s="7">
    <fb>591.70000000000005</fb>
    <v>13</v>
  </rv>
  <rv s="7">
    <fb>589.34</fb>
    <v>13</v>
  </rv>
  <rv s="7">
    <fb>583.16999999999996</fb>
    <v>13</v>
  </rv>
  <rv s="7">
    <fb>584.82000000000005</fb>
    <v>13</v>
  </rv>
  <rv s="7">
    <fb>580</fb>
    <v>13</v>
  </rv>
  <rv s="7">
    <fb>577.16</fb>
    <v>13</v>
  </rv>
  <rv s="7">
    <fb>554.08000000000004</fb>
    <v>13</v>
  </rv>
  <rv s="7">
    <fb>554.4</fb>
    <v>13</v>
  </rv>
  <rv s="7">
    <fb>561.09</fb>
    <v>13</v>
  </rv>
  <rv s="7">
    <fb>565.52</fb>
    <v>13</v>
  </rv>
  <rv s="7">
    <fb>559.14</fb>
    <v>13</v>
  </rv>
  <rv s="7">
    <fb>565.11</fb>
    <v>13</v>
  </rv>
  <rv s="7">
    <fb>573.54</fb>
    <v>13</v>
  </rv>
  <rv s="7">
    <fb>569.20000000000005</fb>
    <v>13</v>
  </rv>
  <rv s="7">
    <fb>574.32000000000005</fb>
    <v>13</v>
  </rv>
  <rv s="7">
    <fb>592.83000000000004</fb>
    <v>13</v>
  </rv>
  <rv s="7">
    <fb>613.65</fb>
    <v>13</v>
  </rv>
  <rv s="7">
    <fb>613.78</fb>
    <v>13</v>
  </rv>
  <rv s="7">
    <fb>608.92999999999995</fb>
    <v>13</v>
  </rv>
  <rv s="7">
    <fb>623.77</fb>
    <v>13</v>
  </rv>
  <rv s="7">
    <fb>613.57000000000005</fb>
    <v>13</v>
  </rv>
  <rv s="7">
    <fb>619.32000000000005</fb>
    <v>13</v>
  </rv>
  <rv s="7">
    <fb>374.38</fb>
    <v>13</v>
  </rv>
  <rv s="7">
    <fb>374.37</fb>
    <v>13</v>
  </rv>
  <rv s="7">
    <fb>365.93</fb>
    <v>13</v>
  </rv>
  <rv s="7">
    <fb>370.73</fb>
    <v>13</v>
  </rv>
  <rv s="7">
    <fb>372.65</fb>
    <v>13</v>
  </rv>
  <rv s="7">
    <fb>373.26</fb>
    <v>13</v>
  </rv>
  <rv s="7">
    <fb>370.62</fb>
    <v>13</v>
  </rv>
  <rv s="7">
    <fb>373.54</fb>
    <v>13</v>
  </rv>
  <rv s="7">
    <fb>374.58</fb>
    <v>13</v>
  </rv>
  <rv s="7">
    <fb>374.66</fb>
    <v>13</v>
  </rv>
  <rv s="7">
    <fb>374.07</fb>
    <v>13</v>
  </rv>
  <rv s="7">
    <fb>375.28</fb>
    <v>13</v>
  </rv>
  <rv s="7">
    <fb>376.04</fb>
    <v>13</v>
  </rv>
  <rv s="7">
    <fb>370.87</fb>
    <v>13</v>
  </rv>
  <rv s="7">
    <fb>370.6</fb>
    <v>13</v>
  </rv>
  <rv s="7">
    <fb>367.94</fb>
    <v>13</v>
  </rv>
  <rv s="7">
    <fb>367.75</fb>
    <v>13</v>
  </rv>
  <rv s="7">
    <fb>374.69</fb>
    <v>13</v>
  </rv>
  <rv s="7">
    <fb>375.79</fb>
    <v>13</v>
  </rv>
  <rv s="7">
    <fb>382.77</fb>
    <v>13</v>
  </rv>
  <rv s="7">
    <fb>384.63</fb>
    <v>13</v>
  </rv>
  <rv s="7">
    <fb>388.47</fb>
    <v>13</v>
  </rv>
  <rv s="7">
    <fb>390.27</fb>
    <v>13</v>
  </rv>
  <rv s="7">
    <fb>389.47</fb>
    <v>13</v>
  </rv>
  <rv s="7">
    <fb>393.87</fb>
    <v>13</v>
  </rv>
  <rv s="7">
    <fb>398.67</fb>
    <v>13</v>
  </rv>
  <rv s="7">
    <fb>396.51</fb>
    <v>13</v>
  </rv>
  <rv s="7">
    <fb>398.9</fb>
    <v>13</v>
  </rv>
  <rv s="7">
    <fb>402.56</fb>
    <v>13</v>
  </rv>
  <rv s="7">
    <fb>404.87</fb>
    <v>13</v>
  </rv>
  <rv s="7">
    <fb>403.93</fb>
    <v>13</v>
  </rv>
  <rv s="7">
    <fb>409.72</fb>
    <v>13</v>
  </rv>
  <rv s="7">
    <fb>408.59</fb>
    <v>13</v>
  </rv>
  <rv s="7">
    <fb>397.58</fb>
    <v>13</v>
  </rv>
  <rv s="7">
    <fb>403.78</fb>
    <v>13</v>
  </rv>
  <rv s="7">
    <fb>405.65</fb>
    <v>13</v>
  </rv>
  <rv s="7">
    <fb>405.49</fb>
    <v>13</v>
  </rv>
  <rv s="7">
    <fb>414.05</fb>
    <v>13</v>
  </rv>
  <rv s="7">
    <fb>414.11</fb>
    <v>13</v>
  </rv>
  <rv s="7">
    <fb>420.55</fb>
    <v>13</v>
  </rv>
  <rv s="7">
    <fb>415.26</fb>
    <v>13</v>
  </rv>
  <rv s="7">
    <fb>406.32</fb>
    <v>13</v>
  </rv>
  <rv s="7">
    <fb>409.49</fb>
    <v>13</v>
  </rv>
  <rv s="7">
    <fb>406.56</fb>
    <v>13</v>
  </rv>
  <rv s="7">
    <fb>404.06</fb>
    <v>13</v>
  </rv>
  <rv s="7">
    <fb>402.79</fb>
    <v>13</v>
  </rv>
  <rv s="7">
    <fb>402.18</fb>
    <v>13</v>
  </rv>
  <rv s="7">
    <fb>411.65</fb>
    <v>13</v>
  </rv>
  <rv s="7">
    <fb>410.34</fb>
    <v>13</v>
  </rv>
  <rv s="7">
    <fb>407.54</fb>
    <v>13</v>
  </rv>
  <rv s="7">
    <fb>407.48</fb>
    <v>13</v>
  </rv>
  <rv s="7">
    <fb>407.72</fb>
    <v>13</v>
  </rv>
  <rv s="7">
    <fb>413.64</fb>
    <v>13</v>
  </rv>
  <rv s="7">
    <fb>415.5</fb>
    <v>13</v>
  </rv>
  <rv s="7">
    <fb>414.92</fb>
    <v>13</v>
  </rv>
  <rv s="7">
    <fb>402.65</fb>
    <v>13</v>
  </rv>
  <rv s="7">
    <fb>402.09</fb>
    <v>13</v>
  </rv>
  <rv s="7">
    <fb>406.22</fb>
    <v>13</v>
  </rv>
  <rv s="7">
    <fb>404.52</fb>
    <v>13</v>
  </rv>
  <rv s="7">
    <fb>415.28</fb>
    <v>13</v>
  </rv>
  <rv s="7">
    <fb>415.1</fb>
    <v>13</v>
  </rv>
  <rv s="7">
    <fb>425.22</fb>
    <v>13</v>
  </rv>
  <rv s="7">
    <fb>416.42</fb>
    <v>13</v>
  </rv>
  <rv s="7">
    <fb>417.32</fb>
    <v>13</v>
  </rv>
  <rv s="7">
    <fb>421.41</fb>
    <v>13</v>
  </rv>
  <rv s="7">
    <fb>425.23</fb>
    <v>13</v>
  </rv>
  <rv s="7">
    <fb>429.37</fb>
    <v>13</v>
  </rv>
  <rv s="7">
    <fb>428.74</fb>
    <v>13</v>
  </rv>
  <rv s="7">
    <fb>422.86</fb>
    <v>13</v>
  </rv>
  <rv s="7">
    <fb>421.65</fb>
    <v>13</v>
  </rv>
  <rv s="7">
    <fb>421.43</fb>
    <v>13</v>
  </rv>
  <rv s="7">
    <fb>420.72</fb>
    <v>13</v>
  </rv>
  <rv s="7">
    <fb>424.57</fb>
    <v>13</v>
  </rv>
  <rv s="7">
    <fb>421.44</fb>
    <v>13</v>
  </rv>
  <rv s="7">
    <fb>420.45</fb>
    <v>13</v>
  </rv>
  <rv s="7">
    <fb>417.88</fb>
    <v>13</v>
  </rv>
  <rv s="7">
    <fb>425.52</fb>
    <v>13</v>
  </rv>
  <rv s="7">
    <fb>424.59</fb>
    <v>13</v>
  </rv>
  <rv s="7">
    <fb>426.28</fb>
    <v>13</v>
  </rv>
  <rv s="7">
    <fb>423.26</fb>
    <v>13</v>
  </rv>
  <rv s="7">
    <fb>427.93</fb>
    <v>13</v>
  </rv>
  <rv s="7">
    <fb>421.9</fb>
    <v>13</v>
  </rv>
  <rv s="7">
    <fb>414.58</fb>
    <v>13</v>
  </rv>
  <rv s="7">
    <fb>411.84</fb>
    <v>13</v>
  </rv>
  <rv s="7">
    <fb>404.27</fb>
    <v>13</v>
  </rv>
  <rv s="7">
    <fb>399.12</fb>
    <v>13</v>
  </rv>
  <rv s="7">
    <fb>407.57</fb>
    <v>13</v>
  </rv>
  <rv s="7">
    <fb>409.06</fb>
    <v>13</v>
  </rv>
  <rv s="7">
    <fb>399.04</fb>
    <v>13</v>
  </rv>
  <rv s="7">
    <fb>402.25</fb>
    <v>13</v>
  </rv>
  <rv s="7">
    <fb>389.33</fb>
    <v>13</v>
  </rv>
  <rv s="7">
    <fb>394.94</fb>
    <v>13</v>
  </rv>
  <rv s="7">
    <fb>397.84</fb>
    <v>13</v>
  </rv>
  <rv s="7">
    <fb>406.66</fb>
    <v>13</v>
  </rv>
  <rv s="7">
    <fb>413.54</fb>
    <v>13</v>
  </rv>
  <rv s="7">
    <fb>409.34</fb>
    <v>13</v>
  </rv>
  <rv s="7">
    <fb>410.54</fb>
    <v>13</v>
  </rv>
  <rv s="7">
    <fb>412.32</fb>
    <v>13</v>
  </rv>
  <rv s="7">
    <fb>414.74</fb>
    <v>13</v>
  </rv>
  <rv s="7">
    <fb>416.56</fb>
    <v>13</v>
  </rv>
  <rv s="7">
    <fb>423.08</fb>
    <v>13</v>
  </rv>
  <rv s="7">
    <fb>420.99</fb>
    <v>13</v>
  </rv>
  <rv s="7">
    <fb>420.21</fb>
    <v>13</v>
  </rv>
  <rv s="7">
    <fb>425.34</fb>
    <v>13</v>
  </rv>
  <rv s="7">
    <fb>429.04</fb>
    <v>13</v>
  </rv>
  <rv s="7">
    <fb>430.52</fb>
    <v>13</v>
  </rv>
  <rv s="7">
    <fb>427</fb>
    <v>13</v>
  </rv>
  <rv s="7">
    <fb>430.16</fb>
    <v>13</v>
  </rv>
  <rv s="7">
    <fb>430.32</fb>
    <v>13</v>
  </rv>
  <rv s="7">
    <fb>429.17</fb>
    <v>13</v>
  </rv>
  <rv s="7">
    <fb>414.67</fb>
    <v>13</v>
  </rv>
  <rv s="7">
    <fb>415.13</fb>
    <v>13</v>
  </rv>
  <rv s="7">
    <fb>413.52</fb>
    <v>13</v>
  </rv>
  <rv s="7">
    <fb>416.07</fb>
    <v>13</v>
  </rv>
  <rv s="7">
    <fb>424.01</fb>
    <v>13</v>
  </rv>
  <rv s="7">
    <fb>424.52</fb>
    <v>13</v>
  </rv>
  <rv s="7">
    <fb>423.85</fb>
    <v>13</v>
  </rv>
  <rv s="7">
    <fb>427.87</fb>
    <v>13</v>
  </rv>
  <rv s="7">
    <fb>432.68</fb>
    <v>13</v>
  </rv>
  <rv s="7">
    <fb>441.06</fb>
    <v>13</v>
  </rv>
  <rv s="7">
    <fb>441.58</fb>
    <v>13</v>
  </rv>
  <rv s="7">
    <fb>442.57</fb>
    <v>13</v>
  </rv>
  <rv s="7">
    <fb>446.34</fb>
    <v>13</v>
  </rv>
  <rv s="7">
    <fb>445.7</fb>
    <v>13</v>
  </rv>
  <rv s="7">
    <fb>449.78</fb>
    <v>13</v>
  </rv>
  <rv s="7">
    <fb>447.67</fb>
    <v>13</v>
  </rv>
  <rv s="7">
    <fb>450.95</fb>
    <v>13</v>
  </rv>
  <rv s="7">
    <fb>452.16</fb>
    <v>13</v>
  </rv>
  <rv s="7">
    <fb>452.85</fb>
    <v>13</v>
  </rv>
  <rv s="7">
    <fb>446.95</fb>
    <v>13</v>
  </rv>
  <rv s="7">
    <fb>456.73</fb>
    <v>13</v>
  </rv>
  <rv s="7">
    <fb>459.28</fb>
    <v>13</v>
  </rv>
  <rv s="7">
    <fb>460.77</fb>
    <v>13</v>
  </rv>
  <rv s="7">
    <fb>467.56</fb>
    <v>13</v>
  </rv>
  <rv s="7">
    <fb>466.24</fb>
    <v>13</v>
  </rv>
  <rv s="7">
    <fb>459.54</fb>
    <v>13</v>
  </rv>
  <rv s="7">
    <fb>466.25</fb>
    <v>13</v>
  </rv>
  <rv s="7">
    <fb>453.55</fb>
    <v>13</v>
  </rv>
  <rv s="7">
    <fb>453.96</fb>
    <v>13</v>
  </rv>
  <rv s="7">
    <fb>449.52</fb>
    <v>13</v>
  </rv>
  <rv s="7">
    <fb>443.52</fb>
    <v>13</v>
  </rv>
  <rv s="7">
    <fb>440.37</fb>
    <v>13</v>
  </rv>
  <rv s="7">
    <fb>437.11</fb>
    <v>13</v>
  </rv>
  <rv s="7">
    <fb>442.94</fb>
    <v>13</v>
  </rv>
  <rv s="7">
    <fb>444.85</fb>
    <v>13</v>
  </rv>
  <rv s="7">
    <fb>428.9</fb>
    <v>13</v>
  </rv>
  <rv s="7">
    <fb>418.4</fb>
    <v>13</v>
  </rv>
  <rv s="7">
    <fb>425.27</fb>
    <v>13</v>
  </rv>
  <rv s="7">
    <fb>426.73</fb>
    <v>13</v>
  </rv>
  <rv s="7">
    <fb>422.92</fb>
    <v>13</v>
  </rv>
  <rv s="7">
    <fb>418.35</fb>
    <v>13</v>
  </rv>
  <rv s="7">
    <fb>417.11</fb>
    <v>13</v>
  </rv>
  <rv s="7">
    <fb>408.49</fb>
    <v>13</v>
  </rv>
  <rv s="7">
    <fb>395.15</fb>
    <v>13</v>
  </rv>
  <rv s="7">
    <fb>399.61</fb>
    <v>13</v>
  </rv>
  <rv s="7">
    <fb>398.43</fb>
    <v>13</v>
  </rv>
  <rv s="7">
    <fb>402.69</fb>
    <v>13</v>
  </rv>
  <rv s="7">
    <fb>406.02</fb>
    <v>13</v>
  </rv>
  <rv s="7">
    <fb>406.81</fb>
    <v>13</v>
  </rv>
  <rv s="7">
    <fb>414.01</fb>
    <v>13</v>
  </rv>
  <rv s="7">
    <fb>416.86</fb>
    <v>13</v>
  </rv>
  <rv s="7">
    <fb>421.03</fb>
    <v>13</v>
  </rv>
  <rv s="7">
    <fb>418.47</fb>
    <v>13</v>
  </rv>
  <rv s="7">
    <fb>421.53</fb>
    <v>13</v>
  </rv>
  <rv s="7">
    <fb>424.8</fb>
    <v>13</v>
  </rv>
  <rv s="7">
    <fb>424.14</fb>
    <v>13</v>
  </rv>
  <rv s="7">
    <fb>415.55</fb>
    <v>13</v>
  </rv>
  <rv s="7">
    <fb>416.79</fb>
    <v>13</v>
  </rv>
  <rv s="7">
    <fb>413.49</fb>
    <v>13</v>
  </rv>
  <rv s="7">
    <fb>413.84</fb>
    <v>13</v>
  </rv>
  <rv s="7">
    <fb>410.6</fb>
    <v>13</v>
  </rv>
  <rv s="7">
    <fb>417.14</fb>
    <v>13</v>
  </rv>
  <rv s="7">
    <fb>409.44</fb>
    <v>13</v>
  </rv>
  <rv s="7">
    <fb>408.9</fb>
    <v>13</v>
  </rv>
  <rv s="7">
    <fb>408.39</fb>
    <v>13</v>
  </rv>
  <rv s="7">
    <fb>401.7</fb>
    <v>13</v>
  </rv>
  <rv s="7">
    <fb>405.72</fb>
    <v>13</v>
  </rv>
  <rv s="7">
    <fb>414.2</fb>
    <v>13</v>
  </rv>
  <rv s="7">
    <fb>423.04</fb>
    <v>13</v>
  </rv>
  <rv s="7">
    <fb>430.59</fb>
    <v>13</v>
  </rv>
  <rv s="7">
    <fb>431.34</fb>
    <v>13</v>
  </rv>
  <rv s="7">
    <fb>435.15</fb>
    <v>13</v>
  </rv>
  <rv s="7">
    <fb>430.81</fb>
    <v>13</v>
  </rv>
  <rv s="7">
    <fb>438.69</fb>
    <v>13</v>
  </rv>
  <rv s="7">
    <fb>435.27</fb>
    <v>13</v>
  </rv>
  <rv s="7">
    <fb>433.51</fb>
    <v>13</v>
  </rv>
  <rv s="7">
    <fb>432.11</fb>
    <v>13</v>
  </rv>
  <rv s="7">
    <fb>431.31</fb>
    <v>13</v>
  </rv>
  <rv s="7">
    <fb>428.02</fb>
    <v>13</v>
  </rv>
  <rv s="7">
    <fb>430.3</fb>
    <v>13</v>
  </rv>
  <rv s="7">
    <fb>420.69</fb>
    <v>13</v>
  </rv>
  <rv s="7">
    <fb>417.13</fb>
    <v>13</v>
  </rv>
  <rv s="7">
    <fb>416.54</fb>
    <v>13</v>
  </rv>
  <rv s="7">
    <fb>416.06</fb>
    <v>13</v>
  </rv>
  <rv s="7">
    <fb>409.54</fb>
    <v>13</v>
  </rv>
  <rv s="7">
    <fb>414.71</fb>
    <v>13</v>
  </rv>
  <rv s="7">
    <fb>417.46</fb>
    <v>13</v>
  </rv>
  <rv s="7">
    <fb>415.84</fb>
    <v>13</v>
  </rv>
  <rv s="7">
    <fb>416.32</fb>
    <v>13</v>
  </rv>
  <rv s="7">
    <fb>419.14</fb>
    <v>13</v>
  </rv>
  <rv s="7">
    <fb>418.74</fb>
    <v>13</v>
  </rv>
  <rv s="7">
    <fb>416.12</fb>
    <v>13</v>
  </rv>
  <rv s="7">
    <fb>416.72</fb>
    <v>13</v>
  </rv>
  <rv s="7">
    <fb>418.16</fb>
    <v>13</v>
  </rv>
  <rv s="7">
    <fb>427.51</fb>
    <v>13</v>
  </rv>
  <rv s="7">
    <fb>424.6</fb>
    <v>13</v>
  </rv>
  <rv s="7">
    <fb>424.73</fb>
    <v>13</v>
  </rv>
  <rv s="7">
    <fb>428.15</fb>
    <v>13</v>
  </rv>
  <rv s="7">
    <fb>426.59</fb>
    <v>13</v>
  </rv>
  <rv s="7">
    <fb>431.95</fb>
    <v>13</v>
  </rv>
  <rv s="7">
    <fb>432.53</fb>
    <v>13</v>
  </rv>
  <rv s="7">
    <fb>406.35</fb>
    <v>13</v>
  </rv>
  <rv s="7">
    <fb>410.37</fb>
    <v>13</v>
  </rv>
  <rv s="7">
    <fb>408.46</fb>
    <v>13</v>
  </rv>
  <rv s="7">
    <fb>411.46</fb>
    <v>13</v>
  </rv>
  <rv s="7">
    <fb>420.18</fb>
    <v>13</v>
  </rv>
  <rv s="7">
    <fb>425.43</fb>
    <v>13</v>
  </rv>
  <rv s="7">
    <fb>422.54</fb>
    <v>13</v>
  </rv>
  <rv s="7">
    <fb>418.01</fb>
    <v>13</v>
  </rv>
  <rv s="7">
    <fb>423.03</fb>
    <v>13</v>
  </rv>
  <rv s="7">
    <fb>425.2</fb>
    <v>13</v>
  </rv>
  <rv s="7">
    <fb>426.89</fb>
    <v>13</v>
  </rv>
  <rv s="7">
    <fb>415</fb>
    <v>13</v>
  </rv>
  <rv s="7">
    <fb>415.76</fb>
    <v>13</v>
  </rv>
  <rv s="7">
    <fb>417.79</fb>
    <v>13</v>
  </rv>
  <rv s="7">
    <fb>415.49</fb>
    <v>13</v>
  </rv>
  <rv s="7">
    <fb>412.87</fb>
    <v>13</v>
  </rv>
  <rv s="7">
    <fb>417</fb>
    <v>13</v>
  </rv>
  <rv s="7">
    <fb>418.79</fb>
    <v>13</v>
  </rv>
  <rv s="7">
    <fb>427.99</fb>
    <v>13</v>
  </rv>
  <rv s="7">
    <fb>422.99</fb>
    <v>13</v>
  </rv>
  <rv s="7">
    <fb>423.46</fb>
    <v>13</v>
  </rv>
  <rv s="7">
    <fb>430.98</fb>
    <v>13</v>
  </rv>
  <rv s="7">
    <fb>431.2</fb>
    <v>13</v>
  </rv>
  <rv s="7">
    <fb>437.42</fb>
    <v>13</v>
  </rv>
  <rv s="7">
    <fb>442.62</fb>
    <v>13</v>
  </rv>
  <rv s="7">
    <fb>443.57</fb>
    <v>13</v>
  </rv>
  <rv s="7">
    <fb>446.02</fb>
    <v>13</v>
  </rv>
  <rv s="7">
    <fb>443.33</fb>
    <v>13</v>
  </rv>
  <rv s="7">
    <fb>83.6</fb>
    <v>13</v>
  </rv>
  <rv s="7">
    <fb>85.63</fb>
    <v>13</v>
  </rv>
  <rv s="7">
    <fb>91.04</fb>
    <v>13</v>
  </rv>
  <rv s="7">
    <fb>91.58</fb>
    <v>13</v>
  </rv>
  <rv s="7">
    <fb>90.76</fb>
    <v>13</v>
  </rv>
  <rv s="7">
    <fb>91.92</fb>
    <v>13</v>
  </rv>
  <rv s="7">
    <fb>91.14</fb>
    <v>13</v>
  </rv>
  <rv s="7">
    <fb>92.63</fb>
    <v>13</v>
  </rv>
  <rv s="7">
    <fb>92.41</fb>
    <v>13</v>
  </rv>
  <rv s="7">
    <fb>92.84</fb>
    <v>13</v>
  </rv>
  <rv s="7">
    <fb>93.66</fb>
    <v>13</v>
  </rv>
  <rv s="7">
    <fb>93.64</fb>
    <v>13</v>
  </rv>
  <rv s="7">
    <fb>93.25</fb>
    <v>13</v>
  </rv>
  <rv s="7">
    <fb>93.9</fb>
    <v>13</v>
  </rv>
  <rv s="7">
    <fb>91.91</fb>
    <v>13</v>
  </rv>
  <rv s="7">
    <fb>92.15</fb>
    <v>13</v>
  </rv>
  <rv s="7">
    <fb>93.24</fb>
    <v>13</v>
  </rv>
  <rv s="7">
    <fb>93.51</fb>
    <v>13</v>
  </rv>
  <rv s="7">
    <fb>92.06</fb>
    <v>13</v>
  </rv>
  <rv s="7">
    <fb>91.48</fb>
    <v>13</v>
  </rv>
  <rv s="7">
    <fb>90.51</fb>
    <v>13</v>
  </rv>
  <rv s="7">
    <fb>85.97</fb>
    <v>13</v>
  </rv>
  <rv s="7">
    <fb>84.41</fb>
    <v>13</v>
  </rv>
  <rv s="7">
    <fb>83.9</fb>
    <v>13</v>
  </rv>
  <rv s="7">
    <fb>85.34</fb>
    <v>13</v>
  </rv>
  <rv s="7">
    <fb>85.73</fb>
    <v>13</v>
  </rv>
  <rv s="7">
    <fb>86.74</fb>
    <v>13</v>
  </rv>
  <rv s="7">
    <fb>87.57</fb>
    <v>13</v>
  </rv>
  <rv s="7">
    <fb>88.02</fb>
    <v>13</v>
  </rv>
  <rv s="7">
    <fb>87.73</fb>
    <v>13</v>
  </rv>
  <rv s="7">
    <fb>87.62</fb>
    <v>13</v>
  </rv>
  <rv s="7">
    <fb>87.24</fb>
    <v>13</v>
  </rv>
  <rv s="7">
    <fb>86.82</fb>
    <v>13</v>
  </rv>
  <rv s="7">
    <fb>87.27</fb>
    <v>13</v>
  </rv>
  <rv s="7">
    <fb>85.89</fb>
    <v>13</v>
  </rv>
  <rv s="7">
    <fb>86.1</fb>
    <v>13</v>
  </rv>
  <rv s="7">
    <fb>86</fb>
    <v>13</v>
  </rv>
  <rv s="7">
    <fb>85.65</fb>
    <v>13</v>
  </rv>
  <rv s="7">
    <fb>86.87</fb>
    <v>13</v>
  </rv>
  <rv s="7">
    <fb>83.97</fb>
    <v>13</v>
  </rv>
  <rv s="7">
    <fb>84</fb>
    <v>13</v>
  </rv>
  <rv s="7">
    <fb>85.67</fb>
    <v>13</v>
  </rv>
  <rv s="7">
    <fb>86.5</fb>
    <v>13</v>
  </rv>
  <rv s="7">
    <fb>85.35</fb>
    <v>13</v>
  </rv>
  <rv s="7">
    <fb>85.46</fb>
    <v>13</v>
  </rv>
  <rv s="7">
    <fb>85.85</fb>
    <v>13</v>
  </rv>
  <rv s="7">
    <fb>86.55</fb>
    <v>13</v>
  </rv>
  <rv s="7">
    <fb>85.49</fb>
    <v>13</v>
  </rv>
  <rv s="7">
    <fb>86.05</fb>
    <v>13</v>
  </rv>
  <rv s="7">
    <fb>86.04</fb>
    <v>13</v>
  </rv>
  <rv s="7">
    <fb>86.48</fb>
    <v>13</v>
  </rv>
  <rv s="7">
    <fb>90.04</fb>
    <v>13</v>
  </rv>
  <rv s="7">
    <fb>89.13</fb>
    <v>13</v>
  </rv>
  <rv s="7">
    <fb>85.66</fb>
    <v>13</v>
  </rv>
  <rv s="7">
    <fb>86.14</fb>
    <v>13</v>
  </rv>
  <rv s="7">
    <fb>87.04</fb>
    <v>13</v>
  </rv>
  <rv s="7">
    <fb>86.94</fb>
    <v>13</v>
  </rv>
  <rv s="7">
    <fb>87.05</fb>
    <v>13</v>
  </rv>
  <rv s="7">
    <fb>89.35</fb>
    <v>13</v>
  </rv>
  <rv s="7">
    <fb>89.1</fb>
    <v>13</v>
  </rv>
  <rv s="7">
    <fb>88.38</fb>
    <v>13</v>
  </rv>
  <rv s="7">
    <fb>87.96</fb>
    <v>13</v>
  </rv>
  <rv s="7">
    <fb>88.42</fb>
    <v>13</v>
  </rv>
  <rv s="7">
    <fb>91.35</fb>
    <v>13</v>
  </rv>
  <rv s="7">
    <fb>93.4</fb>
    <v>13</v>
  </rv>
  <rv s="7">
    <fb>91.95</fb>
    <v>13</v>
  </rv>
  <rv s="7">
    <fb>91.28</fb>
    <v>13</v>
  </rv>
  <rv s="7">
    <fb>93.5</fb>
    <v>13</v>
  </rv>
  <rv s="7">
    <fb>94.16</fb>
    <v>13</v>
  </rv>
  <rv s="7">
    <fb>93.53</fb>
    <v>13</v>
  </rv>
  <rv s="7">
    <fb>92.71</fb>
    <v>13</v>
  </rv>
  <rv s="7">
    <fb>93</fb>
    <v>13</v>
  </rv>
  <rv s="7">
    <fb>92.28</fb>
    <v>13</v>
  </rv>
  <rv s="7">
    <fb>92.47</fb>
    <v>13</v>
  </rv>
  <rv s="7">
    <fb>93.21</fb>
    <v>13</v>
  </rv>
  <rv s="7">
    <fb>94.08</fb>
    <v>13</v>
  </rv>
  <rv s="7">
    <fb>91.65</fb>
    <v>13</v>
  </rv>
  <rv s="7">
    <fb>86.84</fb>
    <v>13</v>
  </rv>
  <rv s="7">
    <fb>86.19</fb>
    <v>13</v>
  </rv>
  <rv s="7">
    <fb>86.99</fb>
    <v>13</v>
  </rv>
  <rv s="7">
    <fb>89.14</fb>
    <v>13</v>
  </rv>
  <rv s="7">
    <fb>90.08</fb>
    <v>13</v>
  </rv>
  <rv s="7">
    <fb>90.26</fb>
    <v>13</v>
  </rv>
  <rv s="7">
    <fb>90.66</fb>
    <v>13</v>
  </rv>
  <rv s="7">
    <fb>92.09</fb>
    <v>13</v>
  </rv>
  <rv s="7">
    <fb>93.76</fb>
    <v>13</v>
  </rv>
  <rv s="7">
    <fb>93.85</fb>
    <v>13</v>
  </rv>
  <rv s="7">
    <fb>92.56</fb>
    <v>13</v>
  </rv>
  <rv s="7">
    <fb>92.83</fb>
    <v>13</v>
  </rv>
  <rv s="7">
    <fb>92.11</fb>
    <v>13</v>
  </rv>
  <rv s="7">
    <fb>90.84</fb>
    <v>13</v>
  </rv>
  <rv s="7">
    <fb>91.54</fb>
    <v>13</v>
  </rv>
  <rv s="7">
    <fb>92.65</fb>
    <v>13</v>
  </rv>
  <rv s="7">
    <fb>94.79</fb>
    <v>13</v>
  </rv>
  <rv s="7">
    <fb>95.79</fb>
    <v>13</v>
  </rv>
  <rv s="7">
    <fb>95.64</fb>
    <v>13</v>
  </rv>
  <rv s="7">
    <fb>98.11</fb>
    <v>13</v>
  </rv>
  <rv s="7">
    <fb>98.28</fb>
    <v>13</v>
  </rv>
  <rv s="7">
    <fb>98.56</fb>
    <v>13</v>
  </rv>
  <rv s="7">
    <fb>99.38</fb>
    <v>13</v>
  </rv>
  <rv s="7">
    <fb>100.52</fb>
    <v>13</v>
  </rv>
  <rv s="7">
    <fb>99.58</fb>
    <v>13</v>
  </rv>
  <rv s="7">
    <fb>100.22</fb>
    <v>13</v>
  </rv>
  <rv s="7">
    <fb>100.33</fb>
    <v>13</v>
  </rv>
  <rv s="7">
    <fb>101.53</fb>
    <v>13</v>
  </rv>
  <rv s="7">
    <fb>100.74</fb>
    <v>13</v>
  </rv>
  <rv s="7">
    <fb>98.97</fb>
    <v>13</v>
  </rv>
  <rv s="7">
    <fb>97.27</fb>
    <v>13</v>
  </rv>
  <rv s="7">
    <fb>97.23</fb>
    <v>13</v>
  </rv>
  <rv s="7">
    <fb>97.84</fb>
    <v>13</v>
  </rv>
  <rv s="7">
    <fb>97.41</fb>
    <v>13</v>
  </rv>
  <rv s="7">
    <fb>96.58</fb>
    <v>13</v>
  </rv>
  <rv s="7">
    <fb>96.66</fb>
    <v>13</v>
  </rv>
  <rv s="7">
    <fb>96.85</fb>
    <v>13</v>
  </rv>
  <rv s="7">
    <fb>97.14</fb>
    <v>13</v>
  </rv>
  <rv s="7">
    <fb>96.39</fb>
    <v>13</v>
  </rv>
  <rv s="7">
    <fb>95.43</fb>
    <v>13</v>
  </rv>
  <rv s="7">
    <fb>95.65</fb>
    <v>13</v>
  </rv>
  <rv s="7">
    <fb>95.21</fb>
    <v>13</v>
  </rv>
  <rv s="7">
    <fb>95.5</fb>
    <v>13</v>
  </rv>
  <rv s="7">
    <fb>97.04</fb>
    <v>13</v>
  </rv>
  <rv s="7">
    <fb>97.57</fb>
    <v>13</v>
  </rv>
  <rv s="7">
    <fb>97.44</fb>
    <v>13</v>
  </rv>
  <rv s="7">
    <fb>96.16</fb>
    <v>13</v>
  </rv>
  <rv s="7">
    <fb>97.1</fb>
    <v>13</v>
  </rv>
  <rv s="7">
    <fb>97.8</fb>
    <v>13</v>
  </rv>
  <rv s="7">
    <fb>96.89</fb>
    <v>13</v>
  </rv>
  <rv s="7">
    <fb>95.77</fb>
    <v>13</v>
  </rv>
  <rv s="7">
    <fb>97.19</fb>
    <v>13</v>
  </rv>
  <rv s="7">
    <fb>99.16</fb>
    <v>13</v>
  </rv>
  <rv s="7">
    <fb>99.65</fb>
    <v>13</v>
  </rv>
  <rv s="7">
    <fb>100.2</fb>
    <v>13</v>
  </rv>
  <rv s="7">
    <fb>99.59</fb>
    <v>13</v>
  </rv>
  <rv s="7">
    <fb>100.59</fb>
    <v>13</v>
  </rv>
  <rv s="7">
    <fb>102.61</fb>
    <v>13</v>
  </rv>
  <rv s="7">
    <fb>103.46</fb>
    <v>13</v>
  </rv>
  <rv s="7">
    <fb>104.64</fb>
    <v>13</v>
  </rv>
  <rv s="7">
    <fb>104.09</fb>
    <v>13</v>
  </rv>
  <rv s="7">
    <fb>105.26</fb>
    <v>13</v>
  </rv>
  <rv s="7">
    <fb>106.22</fb>
    <v>13</v>
  </rv>
  <rv s="7">
    <fb>106.96</fb>
    <v>13</v>
  </rv>
  <rv s="7">
    <fb>104.81</fb>
    <v>13</v>
  </rv>
  <rv s="7">
    <fb>102.09</fb>
    <v>13</v>
  </rv>
  <rv s="7">
    <fb>102.44</fb>
    <v>13</v>
  </rv>
  <rv s="7">
    <fb>103.5</fb>
    <v>13</v>
  </rv>
  <rv s="7">
    <fb>103.56</fb>
    <v>13</v>
  </rv>
  <rv s="7">
    <fb>104.19</fb>
    <v>13</v>
  </rv>
  <rv s="7">
    <fb>102.48</fb>
    <v>13</v>
  </rv>
  <rv s="7">
    <fb>103.76</fb>
    <v>13</v>
  </rv>
  <rv s="7">
    <fb>103.21</fb>
    <v>13</v>
  </rv>
  <rv s="7">
    <fb>101.76</fb>
    <v>13</v>
  </rv>
  <rv s="7">
    <fb>95.85</fb>
    <v>13</v>
  </rv>
  <rv s="7">
    <fb>92.07</fb>
    <v>13</v>
  </rv>
  <rv s="7">
    <fb>92.97</fb>
    <v>13</v>
  </rv>
  <rv s="7">
    <fb>94.63</fb>
    <v>13</v>
  </rv>
  <rv s="7">
    <fb>94.72</fb>
    <v>13</v>
  </rv>
  <rv s="7">
    <fb>94.84</fb>
    <v>13</v>
  </rv>
  <rv s="7">
    <fb>96.71</fb>
    <v>13</v>
  </rv>
  <rv s="7">
    <fb>99.44</fb>
    <v>13</v>
  </rv>
  <rv s="7">
    <fb>100.64</fb>
    <v>13</v>
  </rv>
  <rv s="7">
    <fb>101.44</fb>
    <v>13</v>
  </rv>
  <rv s="7">
    <fb>101.75</fb>
    <v>13</v>
  </rv>
  <rv s="7">
    <fb>100.78</fb>
    <v>13</v>
  </rv>
  <rv s="7">
    <fb>100.69</fb>
    <v>13</v>
  </rv>
  <rv s="7">
    <fb>100.56</fb>
    <v>13</v>
  </rv>
  <rv s="7">
    <fb>101.89</fb>
    <v>13</v>
  </rv>
  <rv s="7">
    <fb>102.33</fb>
    <v>13</v>
  </rv>
  <rv s="7">
    <fb>102.08</fb>
    <v>13</v>
  </rv>
  <rv s="7">
    <fb>102.2</fb>
    <v>13</v>
  </rv>
  <rv s="7">
    <fb>102.6</fb>
    <v>13</v>
  </rv>
  <rv s="7">
    <fb>103.61</fb>
    <v>13</v>
  </rv>
  <rv s="7">
    <fb>99.27</fb>
    <v>13</v>
  </rv>
  <rv s="7">
    <fb>100.15</fb>
    <v>13</v>
  </rv>
  <rv s="7">
    <fb>99.56</fb>
    <v>13</v>
  </rv>
  <rv s="7">
    <fb>96.59</fb>
    <v>13</v>
  </rv>
  <rv s="7">
    <fb>98.18</fb>
    <v>13</v>
  </rv>
  <rv s="7">
    <fb>96.62</fb>
    <v>13</v>
  </rv>
  <rv s="7">
    <fb>97.03</fb>
    <v>13</v>
  </rv>
  <rv s="7">
    <fb>96.64</fb>
    <v>13</v>
  </rv>
  <rv s="7">
    <fb>100.09</fb>
    <v>13</v>
  </rv>
  <rv s="7">
    <fb>99.84</fb>
    <v>13</v>
  </rv>
  <rv s="7">
    <fb>99.3</fb>
    <v>13</v>
  </rv>
  <rv s="7">
    <fb>100.73</fb>
    <v>13</v>
  </rv>
  <rv s="7">
    <fb>102.47</fb>
    <v>13</v>
  </rv>
  <rv s="7">
    <fb>102.58</fb>
    <v>13</v>
  </rv>
  <rv s="7">
    <fb>102.34</fb>
    <v>13</v>
  </rv>
  <rv s="7">
    <fb>104.6</fb>
    <v>13</v>
  </rv>
  <rv s="7">
    <fb>104.11</fb>
    <v>13</v>
  </rv>
  <rv s="7">
    <fb>104.24</fb>
    <v>13</v>
  </rv>
  <rv s="7">
    <fb>104.42</fb>
    <v>13</v>
  </rv>
  <rv s="7">
    <fb>104.57</fb>
    <v>13</v>
  </rv>
  <rv s="7">
    <fb>107.88</fb>
    <v>13</v>
  </rv>
  <rv s="7">
    <fb>107.64</fb>
    <v>13</v>
  </rv>
  <rv s="7">
    <fb>107.49</fb>
    <v>13</v>
  </rv>
  <rv s="7">
    <fb>109.04</fb>
    <v>13</v>
  </rv>
  <rv s="7">
    <fb>108.08</fb>
    <v>13</v>
  </rv>
  <rv s="7">
    <fb>110.46</fb>
    <v>13</v>
  </rv>
  <rv s="7">
    <fb>112.28</fb>
    <v>13</v>
  </rv>
  <rv s="7">
    <fb>112.22</fb>
    <v>13</v>
  </rv>
  <rv s="7">
    <fb>119.51</fb>
    <v>13</v>
  </rv>
  <rv s="7">
    <fb>119.44</fb>
    <v>13</v>
  </rv>
  <rv s="7">
    <fb>121.06</fb>
    <v>13</v>
  </rv>
  <rv s="7">
    <fb>118.28</fb>
    <v>13</v>
  </rv>
  <rv s="7">
    <fb>118.32</fb>
    <v>13</v>
  </rv>
  <rv s="7">
    <fb>119.17</fb>
    <v>13</v>
  </rv>
  <rv s="7">
    <fb>119.13</fb>
    <v>13</v>
  </rv>
  <rv s="7">
    <fb>117.92</fb>
    <v>13</v>
  </rv>
  <rv s="7">
    <fb>116.25</fb>
    <v>13</v>
  </rv>
  <rv s="7">
    <fb>116.85</fb>
    <v>13</v>
  </rv>
  <rv s="7">
    <fb>116.14</fb>
    <v>13</v>
  </rv>
  <rv s="7">
    <fb>117.81</fb>
    <v>13</v>
  </rv>
  <rv s="7">
    <fb>131.49</fb>
    <v>13</v>
  </rv>
  <rv s="7">
    <fb>128.44</fb>
    <v>13</v>
  </rv>
  <rv s="7">
    <fb>129.53</fb>
    <v>13</v>
  </rv>
  <rv s="7">
    <fb>133.52000000000001</fb>
    <v>13</v>
  </rv>
  <rv s="7">
    <fb>132.31</fb>
    <v>13</v>
  </rv>
  <rv s="7">
    <fb>132.76</fb>
    <v>13</v>
  </rv>
  <rv s="7">
    <fb>132.43</fb>
    <v>13</v>
  </rv>
  <rv s="7">
    <fb>134.06</fb>
    <v>13</v>
  </rv>
  <rv s="7">
    <fb>132.24</fb>
    <v>13</v>
  </rv>
  <rv s="7">
    <fb>131.69</fb>
    <v>13</v>
  </rv>
  <rv s="7">
    <fb>134.99</fb>
    <v>13</v>
  </rv>
  <rv s="7">
    <fb>134.69</fb>
    <v>13</v>
  </rv>
  <rv s="7">
    <fb>133.66</fb>
    <v>13</v>
  </rv>
  <rv s="7">
    <fb>131.28</fb>
    <v>13</v>
  </rv>
  <rv s="7">
    <fb>131.21</fb>
    <v>13</v>
  </rv>
  <rv s="7">
    <fb>131.61000000000001</fb>
    <v>13</v>
  </rv>
  <rv s="7">
    <fb>131.03</fb>
    <v>13</v>
  </rv>
  <rv s="7">
    <fb>130.44</fb>
    <v>13</v>
  </rv>
  <rv s="7">
    <fb>129.99</fb>
    <v>13</v>
  </rv>
  <rv s="7">
    <fb>130.32</fb>
    <v>13</v>
  </rv>
  <rv s="7">
    <fb>129.96</fb>
    <v>13</v>
  </rv>
  <rv s="7">
    <fb>128.58000000000001</fb>
    <v>13</v>
  </rv>
  <rv s="7">
    <fb>126.79</fb>
    <v>13</v>
  </rv>
  <rv s="7">
    <fb>463</fb>
    <v>13</v>
  </rv>
  <rv s="7">
    <fb>479.98</fb>
    <v>13</v>
  </rv>
  <rv s="7">
    <fb>469.83</fb>
    <v>13</v>
  </rv>
  <rv s="7">
    <fb>486.12</fb>
    <v>13</v>
  </rv>
  <rv s="7">
    <fb>495.02</fb>
    <v>13</v>
  </rv>
  <rv s="7">
    <fb>489.27</fb>
    <v>13</v>
  </rv>
  <rv s="7">
    <fb>491.61</fb>
    <v>13</v>
  </rv>
  <rv s="7">
    <fb>486.76</fb>
    <v>13</v>
  </rv>
  <rv s="7">
    <fb>491.19</fb>
    <v>13</v>
  </rv>
  <rv s="7">
    <fb>491.79</fb>
    <v>13</v>
  </rv>
  <rv s="7">
    <fb>490.51</fb>
    <v>13</v>
  </rv>
  <rv s="7">
    <fb>486.88</fb>
    <v>13</v>
  </rv>
  <rv s="7">
    <fb>468.5</fb>
    <v>13</v>
  </rv>
  <rv s="7">
    <fb>470.26</fb>
    <v>13</v>
  </rv>
  <rv s="7">
    <fb>474.67</fb>
    <v>13</v>
  </rv>
  <rv s="7">
    <fb>474.06</fb>
    <v>13</v>
  </rv>
  <rv s="7">
    <fb>482.09</fb>
    <v>13</v>
  </rv>
  <rv s="7">
    <fb>478.33</fb>
    <v>13</v>
  </rv>
  <rv s="7">
    <fb>492.23</fb>
    <v>13</v>
  </rv>
  <rv s="7">
    <fb>492.16</fb>
    <v>13</v>
  </rv>
  <rv s="7">
    <fb>481.24</fb>
    <v>13</v>
  </rv>
  <rv s="7">
    <fb>480.33</fb>
    <v>13</v>
  </rv>
  <rv s="7">
    <fb>485.31</fb>
    <v>13</v>
  </rv>
  <rv s="7">
    <fb>482.95</fb>
    <v>13</v>
  </rv>
  <rv s="7">
    <fb>485.71</fb>
    <v>13</v>
  </rv>
  <rv s="7">
    <fb>492.19</fb>
    <v>13</v>
  </rv>
  <rv s="7">
    <fb>544.87</fb>
    <v>13</v>
  </rv>
  <rv s="7">
    <fb>562</fb>
    <v>13</v>
  </rv>
  <rv s="7">
    <fb>570.41999999999996</fb>
    <v>13</v>
  </rv>
  <rv s="7">
    <fb>575.79</fb>
    <v>13</v>
  </rv>
  <rv s="7">
    <fb>562.85</fb>
    <v>13</v>
  </rv>
  <rv s="7">
    <fb>564.11</fb>
    <v>13</v>
  </rv>
  <rv s="7">
    <fb>567.51</fb>
    <v>13</v>
  </rv>
  <rv s="7">
    <fb>564.64</fb>
    <v>13</v>
  </rv>
  <rv s="7">
    <fb>562.05999999999995</fb>
    <v>13</v>
  </rv>
  <rv s="7">
    <fb>555.88</fb>
    <v>13</v>
  </rv>
  <rv s="7">
    <fb>559.29999999999995</fb>
    <v>13</v>
  </rv>
  <rv s="7">
    <fb>558.53</fb>
    <v>13</v>
  </rv>
  <rv s="7">
    <fb>561.32000000000005</fb>
    <v>13</v>
  </rv>
  <rv s="7">
    <fb>557.85</fb>
    <v>13</v>
  </rv>
  <rv s="7">
    <fb>554.52</fb>
    <v>13</v>
  </rv>
  <rv s="7">
    <fb>579.33000000000004</fb>
    <v>13</v>
  </rv>
  <rv s="7">
    <fb>593.46</fb>
    <v>13</v>
  </rv>
  <rv s="7">
    <fb>583.95000000000005</fb>
    <v>13</v>
  </rv>
  <rv s="7">
    <fb>575.13</fb>
    <v>13</v>
  </rv>
  <rv s="7">
    <fb>573.35</fb>
    <v>13</v>
  </rv>
  <rv s="7">
    <fb>588.47</fb>
    <v>13</v>
  </rv>
  <rv s="7">
    <fb>583.55999999999995</fb>
    <v>13</v>
  </rv>
  <rv s="7">
    <fb>587.65</fb>
    <v>13</v>
  </rv>
  <rv s="7">
    <fb>601.66999999999996</fb>
    <v>13</v>
  </rv>
  <rv s="7">
    <fb>596.48</fb>
    <v>13</v>
  </rv>
  <rv s="7">
    <fb>602.91999999999996</fb>
    <v>13</v>
  </rv>
  <rv s="7">
    <fb>619.34</fb>
    <v>13</v>
  </rv>
  <rv s="7">
    <fb>615.83000000000004</fb>
    <v>13</v>
  </rv>
  <rv s="7">
    <fb>598.5</fb>
    <v>13</v>
  </rv>
  <rv s="7">
    <fb>597.69000000000005</fb>
    <v>13</v>
  </rv>
  <rv s="7">
    <fb>608.51</fb>
    <v>13</v>
  </rv>
  <rv s="7">
    <fb>604.82000000000005</fb>
    <v>13</v>
  </rv>
  <rv s="7">
    <fb>600.92999999999995</fb>
    <v>13</v>
  </rv>
  <rv s="7">
    <fb>611.08000000000004</fb>
    <v>13</v>
  </rv>
  <rv s="7">
    <fb>609.45000000000005</fb>
    <v>13</v>
  </rv>
  <rv s="7">
    <fb>613.01</fb>
    <v>13</v>
  </rv>
  <rv s="7">
    <fb>605.88</fb>
    <v>13</v>
  </rv>
  <rv s="7">
    <fb>618.39</fb>
    <v>13</v>
  </rv>
  <rv s="7">
    <fb>620.74</fb>
    <v>13</v>
  </rv>
  <rv s="7">
    <fb>627.69000000000005</fb>
    <v>13</v>
  </rv>
  <rv s="7">
    <fb>622.71</fb>
    <v>13</v>
  </rv>
  <rv s="7">
    <fb>628.01</fb>
    <v>13</v>
  </rv>
  <rv s="7">
    <fb>627.46</fb>
    <v>13</v>
  </rv>
  <rv s="7">
    <fb>629.24</fb>
    <v>13</v>
  </rv>
  <rv s="7">
    <fb>613.53</fb>
    <v>13</v>
  </rv>
  <rv s="7">
    <fb>607.33000000000004</fb>
    <v>13</v>
  </rv>
  <rv s="7">
    <fb>614.30999999999995</fb>
    <v>13</v>
  </rv>
  <rv s="7">
    <fb>614.21</fb>
    <v>13</v>
  </rv>
  <rv s="7">
    <fb>630.08000000000004</fb>
    <v>13</v>
  </rv>
  <rv s="7">
    <fb>617.14</fb>
    <v>13</v>
  </rv>
  <rv s="7">
    <fb>636.17999999999995</fb>
    <v>13</v>
  </rv>
  <rv s="7">
    <fb>628.41</fb>
    <v>13</v>
  </rv>
  <rv s="7">
    <fb>618.20000000000005</fb>
    <v>13</v>
  </rv>
  <rv s="7">
    <fb>618.58000000000004</fb>
    <v>13</v>
  </rv>
  <rv s="7">
    <fb>628.78</fb>
    <v>13</v>
  </rv>
  <rv s="7">
    <fb>622.83000000000004</fb>
    <v>13</v>
  </rv>
  <rv s="7">
    <fb>607.15</fb>
    <v>13</v>
  </rv>
  <rv s="7">
    <fb>617.52</fb>
    <v>13</v>
  </rv>
  <rv s="7">
    <fb>613.69000000000005</fb>
    <v>13</v>
  </rv>
  <rv s="7">
    <fb>610.55999999999995</fb>
    <v>13</v>
  </rv>
  <rv s="7">
    <fb>555.04</fb>
    <v>13</v>
  </rv>
  <rv s="7">
    <fb>554.6</fb>
    <v>13</v>
  </rv>
  <rv s="7">
    <fb>577.75</fb>
    <v>13</v>
  </rv>
  <rv s="7">
    <fb>555.12</fb>
    <v>13</v>
  </rv>
  <rv s="7">
    <fb>564.79999999999995</fb>
    <v>13</v>
  </rv>
  <rv s="7">
    <fb>561.23</fb>
    <v>13</v>
  </rv>
  <rv s="7">
    <fb>559.49</fb>
    <v>13</v>
  </rv>
  <rv s="7">
    <fb>550.64</fb>
    <v>13</v>
  </rv>
  <rv s="7">
    <fb>551.71</fb>
    <v>13</v>
  </rv>
  <rv s="7">
    <fb>565.15</fb>
    <v>13</v>
  </rv>
  <rv s="7">
    <fb>579.34</fb>
    <v>13</v>
  </rv>
  <rv s="7">
    <fb>596.97</fb>
    <v>13</v>
  </rv>
  <rv s="7">
    <fb>606</fb>
    <v>13</v>
  </rv>
  <rv s="7">
    <fb>609.47</fb>
    <v>13</v>
  </rv>
  <rv s="7">
    <fb>612.09</fb>
    <v>13</v>
  </rv>
  <rv s="7">
    <fb>610.87</fb>
    <v>13</v>
  </rv>
  <rv s="7">
    <fb>616.59</fb>
    <v>13</v>
  </rv>
  <rv s="7">
    <fb>613.66</fb>
    <v>13</v>
  </rv>
  <rv s="7">
    <fb>613.52</fb>
    <v>13</v>
  </rv>
  <rv s="7">
    <fb>610.52</fb>
    <v>13</v>
  </rv>
  <rv s="7">
    <fb>621.1</fb>
    <v>13</v>
  </rv>
  <rv s="7">
    <fb>640.82000000000005</fb>
    <v>13</v>
  </rv>
  <rv s="7">
    <fb>650.61</fb>
    <v>13</v>
  </rv>
  <rv s="7">
    <fb>640.47</fb>
    <v>13</v>
  </rv>
  <rv s="7">
    <fb>635.66999999999996</fb>
    <v>13</v>
  </rv>
  <rv s="7">
    <fb>646.75</fb>
    <v>13</v>
  </rv>
  <rv s="7">
    <fb>649</fb>
    <v>13</v>
  </rv>
  <rv s="7">
    <fb>654.62</fb>
    <v>13</v>
  </rv>
  <rv s="7">
    <fb>647.66</fb>
    <v>13</v>
  </rv>
  <rv s="7">
    <fb>641.62</fb>
    <v>13</v>
  </rv>
  <rv s="7">
    <fb>633.79</fb>
    <v>13</v>
  </rv>
  <rv s="7">
    <fb>631.62</fb>
    <v>13</v>
  </rv>
  <rv s="7">
    <fb>650.27</fb>
    <v>13</v>
  </rv>
  <rv s="7">
    <fb>648.52</fb>
    <v>13</v>
  </rv>
  <rv s="7">
    <fb>641.47</fb>
    <v>13</v>
  </rv>
  <rv s="7">
    <fb>644.5</fb>
    <v>13</v>
  </rv>
  <rv s="7">
    <fb>648.54999999999995</fb>
    <v>13</v>
  </rv>
  <rv s="7">
    <fb>650.05999999999995</fb>
    <v>13</v>
  </rv>
  <rv s="7">
    <fb>653.26</fb>
    <v>13</v>
  </rv>
  <rv s="7">
    <fb>669.38</fb>
    <v>13</v>
  </rv>
  <rv s="7">
    <fb>675.83</fb>
    <v>13</v>
  </rv>
  <rv s="7">
    <fb>685.67</fb>
    <v>13</v>
  </rv>
  <rv s="7">
    <fb>679.03</fb>
    <v>13</v>
  </rv>
  <rv s="7">
    <fb>686.12</fb>
    <v>13</v>
  </rv>
  <rv s="7">
    <fb>669.02</fb>
    <v>13</v>
  </rv>
  <rv s="7">
    <fb>672.41</fb>
    <v>13</v>
  </rv>
  <rv s="7">
    <fb>677.69</fb>
    <v>13</v>
  </rv>
  <rv s="7">
    <fb>684.34</fb>
    <v>13</v>
  </rv>
  <rv s="7">
    <fb>674.88</fb>
    <v>13</v>
  </rv>
  <rv s="7">
    <fb>673.61</fb>
    <v>13</v>
  </rv>
  <rv s="7">
    <fb>679.58</fb>
    <v>13</v>
  </rv>
  <rv s="7">
    <fb>682.51</fb>
    <v>13</v>
  </rv>
  <rv s="7">
    <fb>690.65</fb>
    <v>13</v>
  </rv>
  <rv s="7">
    <fb>685.74</fb>
    <v>13</v>
  </rv>
  <rv s="7">
    <fb>677.65</fb>
    <v>13</v>
  </rv>
  <rv s="7">
    <fb>652.75</fb>
    <v>13</v>
  </rv>
  <rv s="7">
    <fb>647.6</fb>
    <v>13</v>
  </rv>
  <rv s="7">
    <fb>656.45</fb>
    <v>13</v>
  </rv>
  <rv s="7">
    <fb>656.32</fb>
    <v>13</v>
  </rv>
  <rv s="7">
    <fb>647.46</fb>
    <v>13</v>
  </rv>
  <rv s="7">
    <fb>643.04</fb>
    <v>13</v>
  </rv>
  <rv s="7">
    <fb>633.34</fb>
    <v>13</v>
  </rv>
  <rv s="7">
    <fb>647.5</fb>
    <v>13</v>
  </rv>
  <rv s="7">
    <fb>642.76</fb>
    <v>13</v>
  </rv>
  <rv s="7">
    <fb>635.99</fb>
    <v>13</v>
  </rv>
  <rv s="7">
    <fb>634.09</fb>
    <v>13</v>
  </rv>
  <rv s="7">
    <fb>631.37</fb>
    <v>13</v>
  </rv>
  <rv s="7">
    <fb>626.96</fb>
    <v>13</v>
  </rv>
  <rv s="7">
    <fb>628.35</fb>
    <v>13</v>
  </rv>
  <rv s="7">
    <fb>624.85</fb>
    <v>13</v>
  </rv>
  <rv s="7">
    <fb>613.64</fb>
    <v>13</v>
  </rv>
  <rv s="7">
    <fb>598.54999999999995</fb>
    <v>13</v>
  </rv>
  <rv s="7">
    <fb>609.57000000000005</fb>
    <v>13</v>
  </rv>
  <rv s="7">
    <fb>611.48</fb>
    <v>13</v>
  </rv>
  <rv s="7">
    <fb>630.35</fb>
    <v>13</v>
  </rv>
  <rv s="7">
    <fb>633.94000000000005</fb>
    <v>13</v>
  </rv>
  <rv s="7">
    <fb>633.14</fb>
    <v>13</v>
  </rv>
  <rv s="7">
    <fb>648.02</fb>
    <v>13</v>
  </rv>
  <rv s="7">
    <fb>661.68</fb>
    <v>13</v>
  </rv>
  <rv s="7">
    <fb>663.22</fb>
    <v>13</v>
  </rv>
  <rv s="7">
    <fb>674.07</fb>
    <v>13</v>
  </rv>
  <rv s="7">
    <fb>688.53</fb>
    <v>13</v>
  </rv>
  <rv s="7">
    <fb>698.54</fb>
    <v>13</v>
  </rv>
  <rv s="7">
    <fb>697.12</fb>
    <v>13</v>
  </rv>
  <rv s="7">
    <fb>688.96</fb>
    <v>13</v>
  </rv>
  <rv s="7">
    <fb>686.73</fb>
    <v>13</v>
  </rv>
  <rv s="7">
    <fb>688.44</fb>
    <v>13</v>
  </rv>
  <rv s="7">
    <fb>695.72</fb>
    <v>13</v>
  </rv>
  <rv s="7">
    <fb>683.84</fb>
    <v>13</v>
  </rv>
  <rv s="7">
    <fb>692.48</fb>
    <v>13</v>
  </rv>
  <rv s="7">
    <fb>701.35</fb>
    <v>13</v>
  </rv>
  <rv s="7">
    <fb>675.32</fb>
    <v>13</v>
  </rv>
  <rv s="7">
    <fb>679.68</fb>
    <v>13</v>
  </rv>
  <rv s="7">
    <fb>683.62</fb>
    <v>13</v>
  </rv>
  <rv s="7">
    <fb>665.77</fb>
    <v>13</v>
  </rv>
  <rv s="7">
    <fb>675.42</fb>
    <v>13</v>
  </rv>
  <rv s="7">
    <fb>673.62</fb>
    <v>13</v>
  </rv>
  <rv s="7">
    <fb>681.47</fb>
    <v>13</v>
  </rv>
  <rv s="7">
    <fb>686.8</fb>
    <v>13</v>
  </rv>
  <rv s="7">
    <fb>697.06</fb>
    <v>13</v>
  </rv>
  <rv s="7">
    <fb>696.5</fb>
    <v>13</v>
  </rv>
  <rv s="7">
    <fb>706.91</fb>
    <v>13</v>
  </rv>
  <rv s="7">
    <fb>690.47</fb>
    <v>13</v>
  </rv>
  <rv s="7">
    <fb>704.32</fb>
    <v>13</v>
  </rv>
  <rv s="7">
    <fb>701.03</fb>
    <v>13</v>
  </rv>
  <rv s="7">
    <fb>705.37</fb>
    <v>13</v>
  </rv>
  <rv s="7">
    <fb>722.26</fb>
    <v>13</v>
  </rv>
  <rv s="7">
    <fb>721.56</fb>
    <v>13</v>
  </rv>
  <rv s="7">
    <fb>711.43</fb>
    <v>13</v>
  </rv>
  <rv s="7">
    <fb>707.35</fb>
    <v>13</v>
  </rv>
  <rv s="7">
    <fb>709.27</fb>
    <v>13</v>
  </rv>
  <rv s="7">
    <fb>706.13</fb>
    <v>13</v>
  </rv>
  <rv s="7">
    <fb>711.09</fb>
    <v>13</v>
  </rv>
  <rv s="7">
    <fb>706.8</fb>
    <v>13</v>
  </rv>
  <rv s="7">
    <fb>719.7</fb>
    <v>13</v>
  </rv>
  <rv s="7">
    <fb>701.92</fb>
    <v>13</v>
  </rv>
  <rv s="7">
    <fb>721.76</fb>
    <v>13</v>
  </rv>
  <rv s="7">
    <fb>727.43</fb>
    <v>13</v>
  </rv>
  <rv s="7">
    <fb>730.29</fb>
    <v>13</v>
  </rv>
  <rv s="7">
    <fb>722.79</fb>
    <v>13</v>
  </rv>
  <rv s="7">
    <fb>713</fb>
    <v>13</v>
  </rv>
  <rv s="7">
    <fb>705.98</fb>
    <v>13</v>
  </rv>
  <rv s="7">
    <fb>702</fb>
    <v>13</v>
  </rv>
  <rv s="7">
    <fb>687.65</fb>
    <v>13</v>
  </rv>
  <rv s="7">
    <fb>763.89</fb>
    <v>13</v>
  </rv>
  <rv s="7">
    <fb>772.07</fb>
    <v>13</v>
  </rv>
  <rv s="7">
    <fb>764.24</fb>
    <v>13</v>
  </rv>
  <rv s="7">
    <fb>749.29</fb>
    <v>13</v>
  </rv>
  <rv s="7">
    <fb>754.55</fb>
    <v>13</v>
  </rv>
  <rv s="7">
    <fb>754.68</fb>
    <v>13</v>
  </rv>
  <rv s="7">
    <fb>749.12</fb>
    <v>13</v>
  </rv>
  <rv s="7">
    <fb>759.44</fb>
    <v>13</v>
  </rv>
  <rv s="7">
    <fb>753.74</fb>
    <v>13</v>
  </rv>
  <rv s="7">
    <fb>756.03</fb>
    <v>13</v>
  </rv>
  <rv s="7">
    <fb>756.1</fb>
    <v>13</v>
  </rv>
  <rv s="7">
    <fb>755.51</fb>
    <v>13</v>
  </rv>
  <rv s="7">
    <fb>763.91</fb>
    <v>13</v>
  </rv>
  <rv s="7">
    <fb>780.21</fb>
    <v>13</v>
  </rv>
  <rv s="7">
    <fb>796.54</fb>
    <v>13</v>
  </rv>
  <rv s="7">
    <fb>795.04</fb>
    <v>13</v>
  </rv>
  <rv s="7">
    <fb>805.44</fb>
    <v>13</v>
  </rv>
  <rv s="7">
    <fb>819.5</fb>
    <v>13</v>
  </rv>
  <rv s="7">
    <fb>830.47</fb>
    <v>13</v>
  </rv>
  <rv s="7">
    <fb>837.26</fb>
    <v>13</v>
  </rv>
  <rv s="7">
    <fb>823.96</fb>
    <v>13</v>
  </rv>
  <rv s="7">
    <fb>847.05</fb>
    <v>13</v>
  </rv>
  <rv s="7">
    <fb>871.32</fb>
    <v>13</v>
  </rv>
  <rv s="7">
    <fb>883.85</fb>
    <v>13</v>
  </rv>
  <rv s="7">
    <fb>897.48</fb>
    <v>13</v>
  </rv>
  <rv s="7">
    <fb>897.79</fb>
    <v>13</v>
  </rv>
  <rv s="7">
    <fb>865.59</fb>
    <v>13</v>
  </rv>
  <rv s="7">
    <fb>872.6</fb>
    <v>13</v>
  </rv>
  <rv s="7">
    <fb>877.34</fb>
    <v>13</v>
  </rv>
  <rv s="7">
    <fb>886.81</fb>
    <v>13</v>
  </rv>
  <rv s="7">
    <fb>897.74</fb>
    <v>13</v>
  </rv>
  <rv s="7">
    <fb>902.17</fb>
    <v>13</v>
  </rv>
  <rv s="7">
    <fb>911.06</fb>
    <v>13</v>
  </rv>
  <rv s="7">
    <fb>917.87</fb>
    <v>13</v>
  </rv>
  <rv s="7">
    <fb>934.74</fb>
    <v>13</v>
  </rv>
  <rv s="7">
    <fb>913.69</fb>
    <v>13</v>
  </rv>
  <rv s="7">
    <fb>913.35</fb>
    <v>13</v>
  </rv>
  <rv s="7">
    <fb>121.17</fb>
    <v>13</v>
  </rv>
  <rv s="7">
    <fb>121.02</fb>
    <v>13</v>
  </rv>
  <rv s="7">
    <fb>121.55</fb>
    <v>13</v>
  </rv>
  <rv s="7">
    <fb>121.14</fb>
    <v>13</v>
  </rv>
  <rv s="7">
    <fb>122.64</fb>
    <v>13</v>
  </rv>
  <rv s="7">
    <fb>121.43</fb>
    <v>13</v>
  </rv>
  <rv s="7">
    <fb>122.53</fb>
    <v>13</v>
  </rv>
  <rv s="7">
    <fb>108.04</fb>
    <v>13</v>
  </rv>
  <rv s="7">
    <fb>108.02</fb>
    <v>13</v>
  </rv>
  <rv s="7">
    <fb>107.13</fb>
    <v>13</v>
  </rv>
  <rv s="7">
    <fb>108.82</fb>
    <v>13</v>
  </rv>
  <rv s="7">
    <fb>108.57</fb>
    <v>13</v>
  </rv>
  <rv s="7">
    <fb>106.55</fb>
    <v>13</v>
  </rv>
  <rv s="7">
    <fb>104.04</fb>
    <v>13</v>
  </rv>
  <rv s="7">
    <fb>102.3</fb>
    <v>13</v>
  </rv>
  <rv s="7">
    <fb>103.62</fb>
    <v>13</v>
  </rv>
  <rv s="7">
    <fb>102.74</fb>
    <v>13</v>
  </rv>
  <rv s="7">
    <fb>103.77</fb>
    <v>13</v>
  </rv>
  <rv s="7">
    <fb>105.9</fb>
    <v>13</v>
  </rv>
  <rv s="7">
    <fb>105.06</fb>
    <v>13</v>
  </rv>
  <rv s="7">
    <fb>101.72</fb>
    <v>13</v>
  </rv>
  <rv s="7">
    <fb>100.82</fb>
    <v>13</v>
  </rv>
  <rv s="7">
    <fb>100.94</fb>
    <v>13</v>
  </rv>
  <rv s="7">
    <fb>101.78</fb>
    <v>13</v>
  </rv>
  <rv s="7">
    <fb>101.9</fb>
    <v>13</v>
  </rv>
  <rv s="7">
    <fb>100.76</fb>
    <v>13</v>
  </rv>
  <rv s="7">
    <fb>100.77</fb>
    <v>13</v>
  </rv>
  <rv s="7">
    <fb>103.88</fb>
    <v>13</v>
  </rv>
  <rv s="7">
    <fb>104.18</fb>
    <v>13</v>
  </rv>
  <rv s="7">
    <fb>100.71</fb>
    <v>13</v>
  </rv>
  <rv s="7">
    <fb>99.68</fb>
    <v>13</v>
  </rv>
  <rv s="7">
    <fb>103.79</fb>
    <v>13</v>
  </rv>
  <rv s="7">
    <fb>104.5</fb>
    <v>13</v>
  </rv>
  <rv s="7">
    <fb>107.18</fb>
    <v>13</v>
  </rv>
  <rv s="7">
    <fb>105</fb>
    <v>13</v>
  </rv>
  <rv s="7">
    <fb>106.33</fb>
    <v>13</v>
  </rv>
  <rv s="7">
    <fb>106.05</fb>
    <v>13</v>
  </rv>
  <rv s="7">
    <fb>103.51</fb>
    <v>13</v>
  </rv>
  <rv s="7">
    <fb>103.3</fb>
    <v>13</v>
  </rv>
  <rv s="7">
    <fb>105.27</fb>
    <v>13</v>
  </rv>
  <rv s="7">
    <fb>105.08</fb>
    <v>13</v>
  </rv>
  <rv s="7">
    <fb>105.63</fb>
    <v>13</v>
  </rv>
  <rv s="7">
    <fb>104.54</fb>
    <v>13</v>
  </rv>
  <rv s="7">
    <fb>105.15</fb>
    <v>13</v>
  </rv>
  <rv s="7">
    <fb>104.35</fb>
    <v>13</v>
  </rv>
  <rv s="7">
    <fb>103.93</fb>
    <v>13</v>
  </rv>
  <rv s="7">
    <fb>101.88</fb>
    <v>13</v>
  </rv>
  <rv s="7">
    <fb>99.54</fb>
    <v>13</v>
  </rv>
  <rv s="7">
    <fb>98.31</fb>
    <v>13</v>
  </rv>
  <rv s="7">
    <fb>97.63</fb>
    <v>13</v>
  </rv>
  <rv s="7">
    <fb>98.19</fb>
    <v>13</v>
  </rv>
  <rv s="7">
    <fb>101.08</fb>
    <v>13</v>
  </rv>
  <rv s="7">
    <fb>100.18</fb>
    <v>13</v>
  </rv>
  <rv s="7">
    <fb>101.36</fb>
    <v>13</v>
  </rv>
  <rv s="7">
    <fb>100.26</fb>
    <v>13</v>
  </rv>
  <rv s="7">
    <fb>99.64</fb>
    <v>13</v>
  </rv>
  <rv s="7">
    <fb>98.74</fb>
    <v>13</v>
  </rv>
  <rv s="7">
    <fb>99.96</fb>
    <v>13</v>
  </rv>
  <rv s="7">
    <fb>100.27</fb>
    <v>13</v>
  </rv>
  <rv s="7">
    <fb>93.86</fb>
    <v>13</v>
  </rv>
  <rv s="7">
    <fb>93.75</fb>
    <v>13</v>
  </rv>
  <rv s="7">
    <fb>92.58</fb>
    <v>13</v>
  </rv>
  <rv s="7">
    <fb>94.13</fb>
    <v>13</v>
  </rv>
  <rv s="7">
    <fb>93.98</fb>
    <v>13</v>
  </rv>
  <rv s="7">
    <fb>90.95</fb>
    <v>13</v>
  </rv>
  <rv s="7">
    <fb>90.33</fb>
    <v>13</v>
  </rv>
  <rv s="7">
    <fb>89.07</fb>
    <v>13</v>
  </rv>
  <rv s="7">
    <fb>88.84</fb>
    <v>13</v>
  </rv>
  <rv s="7">
    <fb>90</fb>
    <v>13</v>
  </rv>
  <rv s="7">
    <fb>91</fb>
    <v>13</v>
  </rv>
  <rv s="7">
    <fb>89</fb>
    <v>13</v>
  </rv>
  <rv s="7">
    <fb>92</fb>
    <v>13</v>
  </rv>
  <rv s="7">
    <fb>93.1</fb>
    <v>13</v>
  </rv>
  <rv s="7">
    <fb>93.39</fb>
    <v>13</v>
  </rv>
  <rv s="7">
    <fb>95.74</fb>
    <v>13</v>
  </rv>
  <rv s="7">
    <fb>94.53</fb>
    <v>13</v>
  </rv>
  <rv s="7">
    <fb>94.19</fb>
    <v>13</v>
  </rv>
  <rv s="7">
    <fb>94.02</fb>
    <v>13</v>
  </rv>
  <rv s="7">
    <fb>94.64</fb>
    <v>13</v>
  </rv>
  <rv s="7">
    <fb>93.94</fb>
    <v>13</v>
  </rv>
  <rv s="7">
    <fb>94.12</fb>
    <v>13</v>
  </rv>
  <rv s="7">
    <fb>94.06</fb>
    <v>13</v>
  </rv>
  <rv s="7">
    <fb>90.34</fb>
    <v>13</v>
  </rv>
  <rv s="7">
    <fb>93.36</fb>
    <v>13</v>
  </rv>
  <rv s="7">
    <fb>93.78</fb>
    <v>13</v>
  </rv>
  <rv s="7">
    <fb>93.59</fb>
    <v>13</v>
  </rv>
  <rv s="7">
    <fb>90.94</fb>
    <v>13</v>
  </rv>
  <rv s="7">
    <fb>92.72</fb>
    <v>13</v>
  </rv>
  <rv s="7">
    <fb>92.79</fb>
    <v>13</v>
  </rv>
  <rv s="7">
    <fb>91.67</fb>
    <v>13</v>
  </rv>
  <rv s="7">
    <fb>91.77</fb>
    <v>13</v>
  </rv>
  <rv s="7">
    <fb>92.18</fb>
    <v>13</v>
  </rv>
  <rv s="7">
    <fb>92.82</fb>
    <v>13</v>
  </rv>
  <rv s="7">
    <fb>92.5</fb>
    <v>13</v>
  </rv>
  <rv s="7">
    <fb>91.4</fb>
    <v>13</v>
  </rv>
  <rv s="7">
    <fb>91.75</fb>
    <v>13</v>
  </rv>
  <rv s="7">
    <fb>93.45</fb>
    <v>13</v>
  </rv>
  <rv s="7">
    <fb>95.05</fb>
    <v>13</v>
  </rv>
  <rv s="7">
    <fb>94.4</fb>
    <v>13</v>
  </rv>
  <rv s="7">
    <fb>94.74</fb>
    <v>13</v>
  </rv>
  <rv s="7">
    <fb>94.32</fb>
    <v>13</v>
  </rv>
  <rv s="7">
    <fb>95.72</fb>
    <v>13</v>
  </rv>
  <rv s="7">
    <fb>96.55</fb>
    <v>13</v>
  </rv>
  <rv s="7">
    <fb>96</fb>
    <v>13</v>
  </rv>
  <rv s="7">
    <fb>93.68</fb>
    <v>13</v>
  </rv>
  <rv s="7">
    <fb>94.18</fb>
    <v>13</v>
  </rv>
  <rv s="7">
    <fb>95</fb>
    <v>13</v>
  </rv>
  <rv s="7">
    <fb>94.78</fb>
    <v>13</v>
  </rv>
  <rv s="7">
    <fb>95.57</fb>
    <v>13</v>
  </rv>
  <rv s="7">
    <fb>97.18</fb>
    <v>13</v>
  </rv>
  <rv s="7">
    <fb>97.17</fb>
    <v>13</v>
  </rv>
  <rv s="7">
    <fb>94.75</fb>
    <v>13</v>
  </rv>
  <rv s="7">
    <fb>75.37</fb>
    <v>13</v>
  </rv>
  <rv s="7">
    <fb>76.83</fb>
    <v>13</v>
  </rv>
  <rv s="7">
    <fb>76.040000000000006</fb>
    <v>13</v>
  </rv>
  <rv s="7">
    <fb>75.239999999999995</fb>
    <v>13</v>
  </rv>
  <rv s="7">
    <fb>75.430000000000007</fb>
    <v>13</v>
  </rv>
  <rv s="7">
    <fb>73.05</fb>
    <v>13</v>
  </rv>
  <rv s="7">
    <fb>72.459999999999994</fb>
    <v>13</v>
  </rv>
  <rv s="7">
    <fb>72.540000000000006</fb>
    <v>13</v>
  </rv>
  <rv s="7">
    <fb>73.39</fb>
    <v>13</v>
  </rv>
  <rv s="7">
    <fb>73.42</fb>
    <v>13</v>
  </rv>
  <rv s="7">
    <fb>72.81</fb>
    <v>13</v>
  </rv>
  <rv s="7">
    <fb>73.069999999999993</fb>
    <v>13</v>
  </rv>
  <rv s="7">
    <fb>72.7</fb>
    <v>13</v>
  </rv>
  <rv s="7">
    <fb>74.86</fb>
    <v>13</v>
  </rv>
  <rv s="7">
    <fb>73.400000000000006</fb>
    <v>13</v>
  </rv>
  <rv s="7">
    <fb>71.09</fb>
    <v>13</v>
  </rv>
  <rv s="7">
    <fb>71.41</fb>
    <v>13</v>
  </rv>
  <rv s="7">
    <fb>72.56</fb>
    <v>13</v>
  </rv>
  <rv s="7">
    <fb>73.55</fb>
    <v>13</v>
  </rv>
  <rv s="7">
    <fb>74.319999999999993</fb>
    <v>13</v>
  </rv>
  <rv s="7">
    <fb>73.849999999999994</fb>
    <v>13</v>
  </rv>
  <rv s="7">
    <fb>74.010000000000005</fb>
    <v>13</v>
  </rv>
  <rv s="7">
    <fb>72.62</fb>
    <v>13</v>
  </rv>
  <rv s="7">
    <fb>74.19</fb>
    <v>13</v>
  </rv>
  <rv s="7">
    <fb>74.34</fb>
    <v>13</v>
  </rv>
  <rv s="7">
    <fb>74.64</fb>
    <v>13</v>
  </rv>
  <rv s="7">
    <fb>78.5</fb>
    <v>13</v>
  </rv>
  <rv s="7">
    <fb>78.52</fb>
    <v>13</v>
  </rv>
  <rv s="7">
    <fb>82.5</fb>
    <v>13</v>
  </rv>
  <rv s="7">
    <fb>83.23</fb>
    <v>13</v>
  </rv>
  <rv s="7">
    <fb>83.28</fb>
    <v>13</v>
  </rv>
  <rv s="7">
    <fb>83.56</fb>
    <v>13</v>
  </rv>
  <rv s="7">
    <fb>83.41</fb>
    <v>13</v>
  </rv>
  <rv s="7">
    <fb>84.28</fb>
    <v>13</v>
  </rv>
  <rv s="7">
    <fb>85.29</fb>
    <v>13</v>
  </rv>
  <rv s="7">
    <fb>82.79</fb>
    <v>13</v>
  </rv>
  <rv s="7">
    <fb>83.26</fb>
    <v>13</v>
  </rv>
  <rv s="7">
    <fb>83.32</fb>
    <v>13</v>
  </rv>
  <rv s="7">
    <fb>81.319999999999993</fb>
    <v>13</v>
  </rv>
  <rv s="7">
    <fb>81.02</fb>
    <v>13</v>
  </rv>
  <rv s="7">
    <fb>80.83</fb>
    <v>13</v>
  </rv>
  <rv s="7">
    <fb>80.63</fb>
    <v>13</v>
  </rv>
  <rv s="7">
    <fb>79.489999999999995</fb>
    <v>13</v>
  </rv>
  <rv s="7">
    <fb>78.09</fb>
    <v>13</v>
  </rv>
  <rv s="7">
    <fb>78.400000000000006</fb>
    <v>13</v>
  </rv>
  <rv s="7">
    <fb>79.010000000000005</fb>
    <v>13</v>
  </rv>
  <rv s="7">
    <fb>79.8</fb>
    <v>13</v>
  </rv>
  <rv s="7">
    <fb>80.64</fb>
    <v>13</v>
  </rv>
  <rv s="7">
    <fb>80.900000000000006</fb>
    <v>13</v>
  </rv>
  <rv s="7">
    <fb>80.98</fb>
    <v>13</v>
  </rv>
  <rv s="7">
    <fb>86.52</fb>
    <v>13</v>
  </rv>
  <rv s="7">
    <fb>86.2</fb>
    <v>13</v>
  </rv>
  <rv s="7">
    <fb>87.46</fb>
    <v>13</v>
  </rv>
  <rv s="7">
    <fb>88</fb>
    <v>13</v>
  </rv>
  <rv s="7">
    <fb>89.39</fb>
    <v>13</v>
  </rv>
  <rv s="7">
    <fb>89.44</fb>
    <v>13</v>
  </rv>
  <rv s="7">
    <fb>88.4</fb>
    <v>13</v>
  </rv>
  <rv s="7">
    <fb>83.1</fb>
    <v>13</v>
  </rv>
  <rv s="7">
    <fb>82.1</fb>
    <v>13</v>
  </rv>
  <rv s="7">
    <fb>82.25</fb>
    <v>13</v>
  </rv>
  <rv s="7">
    <fb>82.45</fb>
    <v>13</v>
  </rv>
  <rv s="7">
    <fb>82.15</fb>
    <v>13</v>
  </rv>
  <rv s="7">
    <fb>81.599999999999994</fb>
    <v>13</v>
  </rv>
  <rv s="7">
    <fb>82.12</fb>
    <v>13</v>
  </rv>
  <rv s="7">
    <fb>83.94</fb>
    <v>13</v>
  </rv>
  <rv s="7">
    <fb>82.92</fb>
    <v>13</v>
  </rv>
  <rv s="7">
    <fb>81.48</fb>
    <v>13</v>
  </rv>
  <rv s="7">
    <fb>81.42</fb>
    <v>13</v>
  </rv>
  <rv s="7">
    <fb>80.05</fb>
    <v>13</v>
  </rv>
  <rv s="7">
    <fb>79.040000000000006</fb>
    <v>13</v>
  </rv>
  <rv s="7">
    <fb>78.849999999999994</fb>
    <v>13</v>
  </rv>
  <rv s="7">
    <fb>78.91</fb>
    <v>13</v>
  </rv>
  <rv s="7">
    <fb>76.45</fb>
    <v>13</v>
  </rv>
  <rv s="7">
    <fb>77.13</fb>
    <v>13</v>
  </rv>
  <rv s="7">
    <fb>78.06</fb>
    <v>13</v>
  </rv>
  <rv s="7">
    <fb>77.19</fb>
    <v>13</v>
  </rv>
  <rv s="7">
    <fb>77.98</fb>
    <v>13</v>
  </rv>
  <rv s="7">
    <fb>75.319999999999993</fb>
    <v>13</v>
  </rv>
  <rv s="7">
    <fb>75.92</fb>
    <v>13</v>
  </rv>
  <rv s="7">
    <fb>75.88</fb>
    <v>13</v>
  </rv>
  <rv s="7">
    <fb>76.599999999999994</fb>
    <v>13</v>
  </rv>
  <rv s="7">
    <fb>76.66</fb>
    <v>13</v>
  </rv>
  <rv s="7">
    <fb>76.52</fb>
    <v>13</v>
  </rv>
  <rv s="7">
    <fb>75.680000000000007</fb>
    <v>13</v>
  </rv>
  <rv s="7">
    <fb>74.89</fb>
    <v>13</v>
  </rv>
  <rv s="7">
    <fb>73.36</fb>
    <v>13</v>
  </rv>
  <rv s="7">
    <fb>75.099999999999994</fb>
    <v>13</v>
  </rv>
  <rv s="7">
    <fb>77.400000000000006</fb>
    <v>13</v>
  </rv>
  <rv s="7">
    <fb>79.260000000000005</fb>
    <v>13</v>
  </rv>
  <rv s="7">
    <fb>77.61</fb>
    <v>13</v>
  </rv>
  <rv s="7">
    <fb>78.34</fb>
    <v>13</v>
  </rv>
  <rv s="7">
    <fb>78.77</fb>
    <v>13</v>
  </rv>
  <rv s="7">
    <fb>79.09</fb>
    <v>13</v>
  </rv>
  <rv s="7">
    <fb>78.86</fb>
    <v>13</v>
  </rv>
  <rv s="7">
    <fb>78.37</fb>
    <v>13</v>
  </rv>
  <rv s="7">
    <fb>78.58</fb>
    <v>13</v>
  </rv>
  <rv s="7">
    <fb>78.89</fb>
    <v>13</v>
  </rv>
  <rv s="7">
    <fb>76.739999999999995</fb>
    <v>13</v>
  </rv>
  <rv s="7">
    <fb>47.656999999999996</fb>
    <v>13</v>
  </rv>
  <rv s="7">
    <fb>48.088000000000001</fb>
    <v>13</v>
  </rv>
  <rv s="7">
    <fb>50.076999999999998</fb>
    <v>13</v>
  </rv>
  <rv s="7">
    <fb>49.603999999999999</fb>
    <v>13</v>
  </rv>
  <rv s="7">
    <fb>48.110999999999997</fb>
    <v>13</v>
  </rv>
  <rv s="7">
    <fb>48.99</fb>
    <v>13</v>
  </rv>
  <rv s="7">
    <fb>48.83</fb>
    <v>13</v>
  </rv>
  <rv s="7">
    <fb>49.279000000000003</fb>
    <v>13</v>
  </rv>
  <rv s="7">
    <fb>49.417000000000002</fb>
    <v>13</v>
  </rv>
  <rv s="7">
    <fb>49.521999999999998</fb>
    <v>13</v>
  </rv>
  <rv s="7">
    <fb>48.167999999999999</fb>
    <v>13</v>
  </rv>
  <rv s="7">
    <fb>47.569000000000003</fb>
    <v>13</v>
  </rv>
  <rv s="7">
    <fb>47.997999999999998</fb>
    <v>13</v>
  </rv>
  <rv s="7">
    <fb>49.097000000000001</fb>
    <v>13</v>
  </rv>
  <rv s="7">
    <fb>52.253</fb>
    <v>13</v>
  </rv>
  <rv s="7">
    <fb>53.14</fb>
    <v>13</v>
  </rv>
  <rv s="7">
    <fb>54.822000000000003</fb>
    <v>13</v>
  </rv>
  <rv s="7">
    <fb>54.71</fb>
    <v>13</v>
  </rv>
  <rv s="7">
    <fb>56.381999999999998</fb>
    <v>13</v>
  </rv>
  <rv s="7">
    <fb>56.052999999999997</fb>
    <v>13</v>
  </rv>
  <rv s="7">
    <fb>57.106999999999999</fb>
    <v>13</v>
  </rv>
  <rv s="7">
    <fb>59.491</fb>
    <v>13</v>
  </rv>
  <rv s="7">
    <fb>59.654000000000003</fb>
    <v>13</v>
  </rv>
  <rv s="7">
    <fb>59.872999999999998</fb>
    <v>13</v>
  </rv>
  <rv s="7">
    <fb>61.362000000000002</fb>
    <v>13</v>
  </rv>
  <rv s="7">
    <fb>61.616999999999997</fb>
    <v>13</v>
  </rv>
  <rv s="7">
    <fb>61.030999999999999</fb>
    <v>13</v>
  </rv>
  <rv s="7">
    <fb>62.465000000000003</fb>
    <v>13</v>
  </rv>
  <rv s="7">
    <fb>62.774000000000001</fb>
    <v>13</v>
  </rv>
  <rv s="7">
    <fb>61.527000000000001</fb>
    <v>13</v>
  </rv>
  <rv s="7">
    <fb>63.027000000000001</fb>
    <v>13</v>
  </rv>
  <rv s="7">
    <fb>66.16</fb>
    <v>13</v>
  </rv>
  <rv s="7">
    <fb>69.331999999999994</fb>
    <v>13</v>
  </rv>
  <rv s="7">
    <fb>68.222999999999999</fb>
    <v>13</v>
  </rv>
  <rv s="7">
    <fb>70.099000000000004</fb>
    <v>13</v>
  </rv>
  <rv s="7">
    <fb>69.641000000000005</fb>
    <v>13</v>
  </rv>
  <rv s="7">
    <fb>72.132999999999996</fb>
    <v>13</v>
  </rv>
  <rv s="7">
    <fb>72.248000000000005</fb>
    <v>13</v>
  </rv>
  <rv s="7">
    <fb>72.128</fb>
    <v>13</v>
  </rv>
  <rv s="7">
    <fb>73.900000000000006</fb>
    <v>13</v>
  </rv>
  <rv s="7">
    <fb>72.658000000000001</fb>
    <v>13</v>
  </rv>
  <rv s="7">
    <fb>72.613</fb>
    <v>13</v>
  </rv>
  <rv s="7">
    <fb>69.451999999999998</fb>
    <v>13</v>
  </rv>
  <rv s="7">
    <fb>67.471999999999994</fb>
    <v>13</v>
  </rv>
  <rv s="7">
    <fb>78.537999999999997</fb>
    <v>13</v>
  </rv>
  <rv s="7">
    <fb>78.816999999999993</fb>
    <v>13</v>
  </rv>
  <rv s="7">
    <fb>79.091999999999999</fb>
    <v>13</v>
  </rv>
  <rv s="7">
    <fb>78.700999999999993</fb>
    <v>13</v>
  </rv>
  <rv s="7">
    <fb>77.662999999999997</fb>
    <v>13</v>
  </rv>
  <rv s="7">
    <fb>79.111999999999995</fb>
    <v>13</v>
  </rv>
  <rv s="7">
    <fb>82.278999999999996</fb>
    <v>13</v>
  </rv>
  <rv s="7">
    <fb>85.236999999999995</fb>
    <v>13</v>
  </rv>
  <rv s="7">
    <fb>85.963999999999999</fb>
    <v>13</v>
  </rv>
  <rv s="7">
    <fb>88.7</fb>
    <v>13</v>
  </rv>
  <rv s="7">
    <fb>92.668999999999997</fb>
    <v>13</v>
  </rv>
  <rv s="7">
    <fb>87.528000000000006</fb>
    <v>13</v>
  </rv>
  <rv s="7">
    <fb>85.774000000000001</fb>
    <v>13</v>
  </rv>
  <rv s="7">
    <fb>91.912999999999997</fb>
    <v>13</v>
  </rv>
  <rv s="7">
    <fb>90.888000000000005</fb>
    <v>13</v>
  </rv>
  <rv s="7">
    <fb>87.944000000000003</fb>
    <v>13</v>
  </rv>
  <rv s="7">
    <fb>87.836500000000001</fb>
    <v>13</v>
  </rv>
  <rv s="7">
    <fb>88.454999999999998</fb>
    <v>13</v>
  </rv>
  <rv s="7">
    <fb>89.397999999999996</fb>
    <v>13</v>
  </rv>
  <rv s="7">
    <fb>90.372</fb>
    <v>13</v>
  </rv>
  <rv s="7">
    <fb>91.435000000000002</fb>
    <v>13</v>
  </rv>
  <rv s="7">
    <fb>94.289000000000001</fb>
    <v>13</v>
  </rv>
  <rv s="7">
    <fb>95.001999999999995</fb>
    <v>13</v>
  </rv>
  <rv s="7">
    <fb>92.561000000000007</fb>
    <v>13</v>
  </rv>
  <rv s="7">
    <fb>90.25</fb>
    <v>13</v>
  </rv>
  <rv s="7">
    <fb>90.355999999999995</fb>
    <v>13</v>
  </rv>
  <rv s="7">
    <fb>90.363</fb>
    <v>13</v>
  </rv>
  <rv s="7">
    <fb>89.451999999999998</fb>
    <v>13</v>
  </rv>
  <rv s="7">
    <fb>88.963999999999999</fb>
    <v>13</v>
  </rv>
  <rv s="7">
    <fb>85.905000000000001</fb>
    <v>13</v>
  </rv>
  <rv s="7">
    <fb>88.007999999999996</fb>
    <v>13</v>
  </rv>
  <rv s="7">
    <fb>87.132999999999996</fb>
    <v>13</v>
  </rv>
  <rv s="7">
    <fb>85.353999999999999</fb>
    <v>13</v>
  </rv>
  <rv s="7">
    <fb>87.039000000000001</fb>
    <v>13</v>
  </rv>
  <rv s="7">
    <fb>90.616</fb>
    <v>13</v>
  </rv>
  <rv s="7">
    <fb>88.186000000000007</fb>
    <v>13</v>
  </rv>
  <rv s="7">
    <fb>86.001000000000005</fb>
    <v>13</v>
  </rv>
  <rv s="7">
    <fb>87.415000000000006</fb>
    <v>13</v>
  </rv>
  <rv s="7">
    <fb>84.034999999999997</fb>
    <v>13</v>
  </rv>
  <rv s="7">
    <fb>84.671000000000006</fb>
    <v>13</v>
  </rv>
  <rv s="7">
    <fb>76.2</fb>
    <v>13</v>
  </rv>
  <rv s="7">
    <fb>79.518000000000001</fb>
    <v>13</v>
  </rv>
  <rv s="7">
    <fb>82.423000000000002</fb>
    <v>13</v>
  </rv>
  <rv s="7">
    <fb>79.677000000000007</fb>
    <v>13</v>
  </rv>
  <rv s="7">
    <fb>82.632000000000005</fb>
    <v>13</v>
  </rv>
  <rv s="7">
    <fb>87.734999999999999</fb>
    <v>13</v>
  </rv>
  <rv s="7">
    <fb>87.757000000000005</fb>
    <v>13</v>
  </rv>
  <rv s="7">
    <fb>86.402000000000001</fb>
    <v>13</v>
  </rv>
  <rv s="7">
    <fb>83.040999999999997</fb>
    <v>13</v>
  </rv>
  <rv s="7">
    <fb>85.816999999999993</fb>
    <v>13</v>
  </rv>
  <rv s="7">
    <fb>88.789000000000001</fb>
    <v>13</v>
  </rv>
  <rv s="7">
    <fb>92.14</fb>
    <v>13</v>
  </rv>
  <rv s="7">
    <fb>90.554000000000002</fb>
    <v>13</v>
  </rv>
  <rv s="7">
    <fb>90.412000000000006</fb>
    <v>13</v>
  </rv>
  <rv s="7">
    <fb>88.747</fb>
    <v>13</v>
  </rv>
  <rv s="7">
    <fb>89.878</fb>
    <v>13</v>
  </rv>
  <rv s="7">
    <fb>90.399000000000001</fb>
    <v>13</v>
  </rv>
  <rv s="7">
    <fb>91.355999999999995</fb>
    <v>13</v>
  </rv>
  <rv s="7">
    <fb>94.358999999999995</fb>
    <v>13</v>
  </rv>
  <rv s="7">
    <fb>92.478999999999999</fb>
    <v>13</v>
  </rv>
  <rv s="7">
    <fb>95.385999999999996</fb>
    <v>13</v>
  </rv>
  <rv s="7">
    <fb>94.95</fb>
    <v>13</v>
  </rv>
  <rv s="7">
    <fb>103.79900000000001</fb>
    <v>13</v>
  </rv>
  <rv s="7">
    <fb>106.46899999999999</fb>
    <v>13</v>
  </rv>
  <rv s="7">
    <fb>113.901</fb>
    <v>13</v>
  </rv>
  <rv s="7">
    <fb>114.825</fb>
    <v>13</v>
  </rv>
  <rv s="7">
    <fb>110.5</fb>
    <v>13</v>
  </rv>
  <rv s="7">
    <fb>109.633</fb>
    <v>13</v>
  </rv>
  <rv s="7">
    <fb>115</fb>
    <v>13</v>
  </rv>
  <rv s="7">
    <fb>116.437</fb>
    <v>13</v>
  </rv>
  <rv s="7">
    <fb>122.44</fb>
    <v>13</v>
  </rv>
  <rv s="7">
    <fb>120.998</fb>
    <v>13</v>
  </rv>
  <rv s="7">
    <fb>120.88800000000001</fb>
    <v>13</v>
  </rv>
  <rv s="7">
    <fb>120.91</fb>
    <v>13</v>
  </rv>
  <rv s="7">
    <fb>125.2</fb>
    <v>13</v>
  </rv>
  <rv s="7">
    <fb>129.61000000000001</fb>
    <v>13</v>
  </rv>
  <rv s="7">
    <fb>131.88</fb>
    <v>13</v>
  </rv>
  <rv s="7">
    <fb>130.97999999999999</fb>
    <v>13</v>
  </rv>
  <rv s="7">
    <fb>135.58000000000001</fb>
    <v>13</v>
  </rv>
  <rv s="7">
    <fb>130.78</fb>
    <v>13</v>
  </rv>
  <rv s="7">
    <fb>126.57</fb>
    <v>13</v>
  </rv>
  <rv s="7">
    <fb>118.11</fb>
    <v>13</v>
  </rv>
  <rv s="7">
    <fb>126.09</fb>
    <v>13</v>
  </rv>
  <rv s="7">
    <fb>126.4</fb>
    <v>13</v>
  </rv>
  <rv s="7">
    <fb>123.99</fb>
    <v>13</v>
  </rv>
  <rv s="7">
    <fb>123.54</fb>
    <v>13</v>
  </rv>
  <rv s="7">
    <fb>124.3</fb>
    <v>13</v>
  </rv>
  <rv s="7">
    <fb>122.67</fb>
    <v>13</v>
  </rv>
  <rv s="7">
    <fb>128.28</fb>
    <v>13</v>
  </rv>
  <rv s="7">
    <fb>125.83</fb>
    <v>13</v>
  </rv>
  <rv s="7">
    <fb>128.19999999999999</fb>
    <v>13</v>
  </rv>
  <rv s="7">
    <fb>131.38</fb>
    <v>13</v>
  </rv>
  <rv s="7">
    <fb>134.91</fb>
    <v>13</v>
  </rv>
  <rv s="7">
    <fb>127.4</fb>
    <v>13</v>
  </rv>
  <rv s="7">
    <fb>129.24</fb>
    <v>13</v>
  </rv>
  <rv s="7">
    <fb>126.36</fb>
    <v>13</v>
  </rv>
  <rv s="7">
    <fb>117.99</fb>
    <v>13</v>
  </rv>
  <rv s="7">
    <fb>121.09</fb>
    <v>13</v>
  </rv>
  <rv s="7">
    <fb>117.93</fb>
    <v>13</v>
  </rv>
  <rv s="7">
    <fb>122.59</fb>
    <v>13</v>
  </rv>
  <rv s="7">
    <fb>114.25</fb>
    <v>13</v>
  </rv>
  <rv s="7">
    <fb>113.06</fb>
    <v>13</v>
  </rv>
  <rv s="7">
    <fb>111.59</fb>
    <v>13</v>
  </rv>
  <rv s="7">
    <fb>117.02</fb>
    <v>13</v>
  </rv>
  <rv s="7">
    <fb>109.21</fb>
    <v>13</v>
  </rv>
  <rv s="7">
    <fb>107.27</fb>
    <v>13</v>
  </rv>
  <rv s="7">
    <fb>100.45</fb>
    <v>13</v>
  </rv>
  <rv s="7">
    <fb>98.91</fb>
    <v>13</v>
  </rv>
  <rv s="7">
    <fb>104.97</fb>
    <v>13</v>
  </rv>
  <rv s="7">
    <fb>104.75</fb>
    <v>13</v>
  </rv>
  <rv s="7">
    <fb>118.08</fb>
    <v>13</v>
  </rv>
  <rv s="7">
    <fb>122.86</fb>
    <v>13</v>
  </rv>
  <rv s="7">
    <fb>124.58</fb>
    <v>13</v>
  </rv>
  <rv s="7">
    <fb>130</fb>
    <v>13</v>
  </rv>
  <rv s="7">
    <fb>127.25</fb>
    <v>13</v>
  </rv>
  <rv s="7">
    <fb>128.5</fb>
    <v>13</v>
  </rv>
  <rv s="7">
    <fb>123.74</fb>
    <v>13</v>
  </rv>
  <rv s="7">
    <fb>129.37</fb>
    <v>13</v>
  </rv>
  <rv s="7">
    <fb>126.46</fb>
    <v>13</v>
  </rv>
  <rv s="7">
    <fb>128.30000000000001</fb>
    <v>13</v>
  </rv>
  <rv s="7">
    <fb>125.61</fb>
    <v>13</v>
  </rv>
  <rv s="7">
    <fb>117.59</fb>
    <v>13</v>
  </rv>
  <rv s="7">
    <fb>119.37</fb>
    <v>13</v>
  </rv>
  <rv s="7">
    <fb>108</fb>
    <v>13</v>
  </rv>
  <rv s="7">
    <fb>106.21</fb>
    <v>13</v>
  </rv>
  <rv s="7">
    <fb>107.21</fb>
    <v>13</v>
  </rv>
  <rv s="7">
    <fb>102.83</fb>
    <v>13</v>
  </rv>
  <rv s="7">
    <fb>106.47</fb>
    <v>13</v>
  </rv>
  <rv s="7">
    <fb>108.1</fb>
    <v>13</v>
  </rv>
  <rv s="7">
    <fb>116.91</fb>
    <v>13</v>
  </rv>
  <rv s="7">
    <fb>119.14</fb>
    <v>13</v>
  </rv>
  <rv s="7">
    <fb>119.1</fb>
    <v>13</v>
  </rv>
  <rv s="7">
    <fb>115.59</fb>
    <v>13</v>
  </rv>
  <rv s="7">
    <fb>116.26</fb>
    <v>13</v>
  </rv>
  <rv s="7">
    <fb>120.87</fb>
    <v>13</v>
  </rv>
  <rv s="7">
    <fb>123.51</fb>
    <v>13</v>
  </rv>
  <rv s="7">
    <fb>124.04</fb>
    <v>13</v>
  </rv>
  <rv s="7">
    <fb>121.4</fb>
    <v>13</v>
  </rv>
  <rv s="7">
    <fb>121.44</fb>
    <v>13</v>
  </rv>
  <rv s="7">
    <fb>117</fb>
    <v>13</v>
  </rv>
  <rv s="7">
    <fb>122.85</fb>
    <v>13</v>
  </rv>
  <rv s="7">
    <fb>124.92</fb>
    <v>13</v>
  </rv>
  <rv s="7">
    <fb>127.72</fb>
    <v>13</v>
  </rv>
  <rv s="7">
    <fb>132.88999999999999</fb>
    <v>13</v>
  </rv>
  <rv s="7">
    <fb>132.65</fb>
    <v>13</v>
  </rv>
  <rv s="7">
    <fb>134.81</fb>
    <v>13</v>
  </rv>
  <rv s="7">
    <fb>134.80000000000001</fb>
    <v>13</v>
  </rv>
  <rv s="7">
    <fb>138.07</fb>
    <v>13</v>
  </rv>
  <rv s="7">
    <fb>131.6</fb>
    <v>13</v>
  </rv>
  <rv s="7">
    <fb>135.72</fb>
    <v>13</v>
  </rv>
  <rv s="7">
    <fb>136.93</fb>
    <v>13</v>
  </rv>
  <rv s="7">
    <fb>143.71</fb>
    <v>13</v>
  </rv>
  <rv s="7">
    <fb>143.59</fb>
    <v>13</v>
  </rv>
  <rv s="7">
    <fb>140.41</fb>
    <v>13</v>
  </rv>
  <rv s="7">
    <fb>141.54</fb>
    <v>13</v>
  </rv>
  <rv s="7">
    <fb>141.25</fb>
    <v>13</v>
  </rv>
  <rv s="7">
    <fb>139.33500000000001</fb>
    <v>13</v>
  </rv>
  <rv s="7">
    <fb>135.4</fb>
    <v>13</v>
  </rv>
  <rv s="7">
    <fb>136.05000000000001</fb>
    <v>13</v>
  </rv>
  <rv s="7">
    <fb>145.61000000000001</fb>
    <v>13</v>
  </rv>
  <rv s="7">
    <fb>147.63</fb>
    <v>13</v>
  </rv>
  <rv s="7">
    <fb>145.26</fb>
    <v>13</v>
  </rv>
  <rv s="7">
    <fb>146.27000000000001</fb>
    <v>13</v>
  </rv>
  <rv s="7">
    <fb>147.01</fb>
    <v>13</v>
  </rv>
  <rv s="7">
    <fb>145.88999999999999</fb>
    <v>13</v>
  </rv>
  <rv s="7">
    <fb>141.94999999999999</fb>
    <v>13</v>
  </rv>
  <rv s="7">
    <fb>136.02000000000001</fb>
    <v>13</v>
  </rv>
  <rv s="7">
    <fb>136.91999999999999</fb>
    <v>13</v>
  </rv>
  <rv s="7">
    <fb>135.34</fb>
    <v>13</v>
  </rv>
  <rv s="7">
    <fb>138.25</fb>
    <v>13</v>
  </rv>
  <rv s="7">
    <fb>138.63</fb>
    <v>13</v>
  </rv>
  <rv s="7">
    <fb>140.26</fb>
    <v>13</v>
  </rv>
  <rv s="7">
    <fb>145.06</fb>
    <v>13</v>
  </rv>
  <rv s="7">
    <fb>142.44</fb>
    <v>13</v>
  </rv>
  <rv s="7">
    <fb>138.81</fb>
    <v>13</v>
  </rv>
  <rv s="7">
    <fb>135.07</fb>
    <v>13</v>
  </rv>
  <rv s="7">
    <fb>100.81</fb>
    <v>13</v>
  </rv>
  <rv s="7">
    <fb>100.31</fb>
    <v>13</v>
  </rv>
  <rv s="7">
    <fb>103.32</fb>
    <v>13</v>
  </rv>
  <rv s="7">
    <fb>106.25</fb>
    <v>13</v>
  </rv>
  <rv s="7">
    <fb>104.15</fb>
    <v>13</v>
  </rv>
  <rv s="7">
    <fb>105.86</fb>
    <v>13</v>
  </rv>
  <rv s="7">
    <fb>106.2</fb>
    <v>13</v>
  </rv>
  <rv s="7">
    <fb>106.19</fb>
    <v>13</v>
  </rv>
  <rv s="7">
    <fb>105.94</fb>
    <v>13</v>
  </rv>
  <rv s="7">
    <fb>105.43</fb>
    <v>13</v>
  </rv>
  <rv s="7">
    <fb>104.06</fb>
    <v>13</v>
  </rv>
  <rv s="7">
    <fb>102.46</fb>
    <v>13</v>
  </rv>
  <rv s="7">
    <fb>102.59</fb>
    <v>13</v>
  </rv>
  <rv s="7">
    <fb>102.73</fb>
    <v>13</v>
  </rv>
  <rv s="7">
    <fb>104.66</fb>
    <v>13</v>
  </rv>
  <rv s="7">
    <fb>103.63</fb>
    <v>13</v>
  </rv>
  <rv s="7">
    <fb>103.92</fb>
    <v>13</v>
  </rv>
  <rv s="7">
    <fb>104.77</fb>
    <v>13</v>
  </rv>
  <rv s="7">
    <fb>106.6</fb>
    <v>13</v>
  </rv>
  <rv s="7">
    <fb>106.57</fb>
    <v>13</v>
  </rv>
  <rv s="7">
    <fb>106.43</fb>
    <v>13</v>
  </rv>
  <rv s="7">
    <fb>108.7</fb>
    <v>13</v>
  </rv>
  <rv s="7">
    <fb>109.67</fb>
    <v>13</v>
  </rv>
  <rv s="7">
    <fb>110.1</fb>
    <v>13</v>
  </rv>
  <rv s="7">
    <fb>111.83</fb>
    <v>13</v>
  </rv>
  <rv s="7">
    <fb>114.31</fb>
    <v>13</v>
  </rv>
  <rv s="7">
    <fb>114.64</fb>
    <v>13</v>
  </rv>
  <rv s="7">
    <fb>113.75</fb>
    <v>13</v>
  </rv>
  <rv s="7">
    <fb>111.7</fb>
    <v>13</v>
  </rv>
  <rv s="7">
    <fb>115.53</fb>
    <v>13</v>
  </rv>
  <rv s="7">
    <fb>115.79</fb>
    <v>13</v>
  </rv>
  <rv s="7">
    <fb>116.39</fb>
    <v>13</v>
  </rv>
  <rv s="7">
    <fb>115.3</fb>
    <v>13</v>
  </rv>
  <rv s="7">
    <fb>117.27</fb>
    <v>13</v>
  </rv>
  <rv s="7">
    <fb>116.68</fb>
    <v>13</v>
  </rv>
  <rv s="7">
    <fb>116.64</fb>
    <v>13</v>
  </rv>
  <rv s="7">
    <fb>115.84</fb>
    <v>13</v>
  </rv>
  <rv s="7">
    <fb>113.68</fb>
    <v>13</v>
  </rv>
  <rv s="7">
    <fb>114.26</fb>
    <v>13</v>
  </rv>
  <rv s="7">
    <fb>112.78</fb>
    <v>13</v>
  </rv>
  <rv s="7">
    <fb>111.31</fb>
    <v>13</v>
  </rv>
  <rv s="7">
    <fb>108.45</fb>
    <v>13</v>
  </rv>
  <rv s="7">
    <fb>108.16</fb>
    <v>13</v>
  </rv>
  <rv s="7">
    <fb>111.01</fb>
    <v>13</v>
  </rv>
  <rv s="7">
    <fb>111.95</fb>
    <v>13</v>
  </rv>
  <rv s="7">
    <fb>110.97</fb>
    <v>13</v>
  </rv>
  <rv s="7">
    <fb>111.38</fb>
    <v>13</v>
  </rv>
  <rv s="7">
    <fb>111.68</fb>
    <v>13</v>
  </rv>
  <rv s="7">
    <fb>113.78</fb>
    <v>13</v>
  </rv>
  <rv s="7">
    <fb>112.27</fb>
    <v>13</v>
  </rv>
  <rv s="7">
    <fb>114.54</fb>
    <v>13</v>
  </rv>
  <rv s="7">
    <fb>112.42</fb>
    <v>13</v>
  </rv>
  <rv s="7">
    <fb>114.13</fb>
    <v>13</v>
  </rv>
  <rv s="7">
    <fb>127.54</fb>
    <v>13</v>
  </rv>
  <rv s="7">
    <fb>125.52</fb>
    <v>13</v>
  </rv>
  <rv s="7">
    <fb>125.53</fb>
    <v>13</v>
  </rv>
  <rv s="7">
    <fb>125.54</fb>
    <v>13</v>
  </rv>
  <rv s="7">
    <fb>127.8</fb>
    <v>13</v>
  </rv>
  <rv s="7">
    <fb>129.19</fb>
    <v>13</v>
  </rv>
  <rv s="7">
    <fb>129.01</fb>
    <v>13</v>
  </rv>
  <rv s="7">
    <fb>127.79</fb>
    <v>13</v>
  </rv>
  <rv s="7">
    <fb>126.08</fb>
    <v>13</v>
  </rv>
  <rv s="7">
    <fb>126.47</fb>
    <v>13</v>
  </rv>
  <rv s="7">
    <fb>125.27</fb>
    <v>13</v>
  </rv>
  <rv s="7">
    <fb>125.48</fb>
    <v>13</v>
  </rv>
  <rv s="7">
    <fb>124.34</fb>
    <v>13</v>
  </rv>
  <rv s="7">
    <fb>126.24</fb>
    <v>13</v>
  </rv>
  <rv s="7">
    <fb>124.19</fb>
    <v>13</v>
  </rv>
  <rv s="7">
    <fb>124.9</fb>
    <v>13</v>
  </rv>
  <rv s="7">
    <fb>124.35</fb>
    <v>13</v>
  </rv>
  <rv s="7">
    <fb>123.23</fb>
    <v>13</v>
  </rv>
  <rv s="7">
    <fb>121.75</fb>
    <v>13</v>
  </rv>
  <rv s="7">
    <fb>123.24</fb>
    <v>13</v>
  </rv>
  <rv s="7">
    <fb>120.62</fb>
    <v>13</v>
  </rv>
  <rv s="7">
    <fb>114.88</fb>
    <v>13</v>
  </rv>
  <rv s="7">
    <fb>114.53</fb>
    <v>13</v>
  </rv>
  <rv s="7">
    <fb>115.09</fb>
    <v>13</v>
  </rv>
  <rv s="7">
    <fb>115.34</fb>
    <v>13</v>
  </rv>
  <rv s="7">
    <fb>114.89</fb>
    <v>13</v>
  </rv>
  <rv s="7">
    <fb>117.21</fb>
    <v>13</v>
  </rv>
  <rv s="7">
    <fb>116.49</fb>
    <v>13</v>
  </rv>
  <rv s="7">
    <fb>114.63</fb>
    <v>13</v>
  </rv>
  <rv s="7">
    <fb>115.8</fb>
    <v>13</v>
  </rv>
  <rv s="7">
    <fb>118.34</fb>
    <v>13</v>
  </rv>
  <rv s="7">
    <fb>117.39</fb>
    <v>13</v>
  </rv>
  <rv s="7">
    <fb>116.67</fb>
    <v>13</v>
  </rv>
  <rv s="7">
    <fb>116.37</fb>
    <v>13</v>
  </rv>
  <rv s="7">
    <fb>121.63</fb>
    <v>13</v>
  </rv>
  <rv s="7">
    <fb>122.16</fb>
    <v>13</v>
  </rv>
  <rv s="7">
    <fb>123.5</fb>
    <v>13</v>
  </rv>
  <rv s="7">
    <fb>124.52</fb>
    <v>13</v>
  </rv>
  <rv s="7">
    <fb>124.63</fb>
    <v>13</v>
  </rv>
  <rv s="7">
    <fb>124.6</fb>
    <v>13</v>
  </rv>
  <rv s="7">
    <fb>124.09</fb>
    <v>13</v>
  </rv>
  <rv s="7">
    <fb>122.91</fb>
    <v>13</v>
  </rv>
  <rv s="7">
    <fb>124.49</fb>
    <v>13</v>
  </rv>
  <rv s="7">
    <fb>117.09</fb>
    <v>13</v>
  </rv>
  <rv s="7">
    <fb>117.19</fb>
    <v>13</v>
  </rv>
  <rv s="7">
    <fb>120.07</fb>
    <v>13</v>
  </rv>
  <rv s="7">
    <fb>122.63</fb>
    <v>13</v>
  </rv>
  <rv s="7">
    <fb>125.92</fb>
    <v>13</v>
  </rv>
  <rv s="7">
    <fb>124.5</fb>
    <v>13</v>
  </rv>
  <rv s="7">
    <fb>123.88</fb>
    <v>13</v>
  </rv>
  <rv s="7">
    <fb>140.38</fb>
    <v>13</v>
  </rv>
  <rv s="7">
    <fb>139.85</fb>
    <v>13</v>
  </rv>
  <rv s="7">
    <fb>138.13</fb>
    <v>13</v>
  </rv>
  <rv s="7">
    <fb>141.31</fb>
    <v>13</v>
  </rv>
  <rv s="7">
    <fb>144.63999999999999</fb>
    <v>13</v>
  </rv>
  <rv s="7">
    <fb>142.91</fb>
    <v>13</v>
  </rv>
  <rv s="7">
    <fb>141.5</fb>
    <v>13</v>
  </rv>
  <rv s="7">
    <fb>139.88999999999999</fb>
    <v>13</v>
  </rv>
  <rv s="7">
    <fb>139.16999999999999</fb>
    <v>13</v>
  </rv>
  <rv s="7">
    <fb>140.18</fb>
    <v>13</v>
  </rv>
  <rv s="7">
    <fb>141.19999999999999</fb>
    <v>13</v>
  </rv>
  <rv s="7">
    <fb>143.09</fb>
    <v>13</v>
  </rv>
  <rv s="7">
    <fb>143.28</fb>
    <v>13</v>
  </rv>
  <rv s="7">
    <fb>144.83000000000001</fb>
    <v>13</v>
  </rv>
  <rv s="7">
    <fb>145.03</fb>
    <v>13</v>
  </rv>
  <rv s="7">
    <fb>140.68</fb>
    <v>13</v>
  </rv>
  <rv s="7">
    <fb>142.76</fb>
    <v>13</v>
  </rv>
  <rv s="7">
    <fb>143.07</fb>
    <v>13</v>
  </rv>
  <rv s="7">
    <fb>142.61000000000001</fb>
    <v>13</v>
  </rv>
  <rv s="7">
    <fb>139.26</fb>
    <v>13</v>
  </rv>
  <rv s="7">
    <fb>138.03</fb>
    <v>13</v>
  </rv>
  <rv s="7">
    <fb>140.16999999999999</fb>
    <v>13</v>
  </rv>
  <rv s="7">
    <fb>143.11000000000001</fb>
    <v>13</v>
  </rv>
  <rv s="7">
    <fb>138.77000000000001</fb>
    <v>13</v>
  </rv>
  <rv s="7">
    <fb>137.82</fb>
    <v>13</v>
  </rv>
  <rv s="7">
    <fb>139.01</fb>
    <v>13</v>
  </rv>
  <rv s="7">
    <fb>138.31</fb>
    <v>13</v>
  </rv>
  <rv s="7">
    <fb>135.66999999999999</fb>
    <v>13</v>
  </rv>
  <rv s="7">
    <fb>139.44999999999999</fb>
    <v>13</v>
  </rv>
  <rv s="7">
    <fb>137.51</fb>
    <v>13</v>
  </rv>
  <rv s="7">
    <fb>133.28</fb>
    <v>13</v>
  </rv>
  <rv s="7">
    <fb>127.86</fb>
    <v>13</v>
  </rv>
  <rv s="7">
    <fb>128.21</fb>
    <v>13</v>
  </rv>
  <rv s="7">
    <fb>125.9</fb>
    <v>13</v>
  </rv>
  <rv s="7">
    <fb>128.96</fb>
    <v>13</v>
  </rv>
  <rv s="7">
    <fb>132.06</fb>
    <v>13</v>
  </rv>
  <rv s="7">
    <fb>132.58000000000001</fb>
    <v>13</v>
  </rv>
  <rv s="7">
    <fb>134.26</fb>
    <v>13</v>
  </rv>
  <rv s="7">
    <fb>135.6</fb>
    <v>13</v>
  </rv>
  <rv s="7">
    <fb>137.47</fb>
    <v>13</v>
  </rv>
  <rv s="7">
    <fb>137.91999999999999</fb>
    <v>13</v>
  </rv>
  <rv s="7">
    <fb>140.19999999999999</fb>
    <v>13</v>
  </rv>
  <rv s="7">
    <fb>139.19</fb>
    <v>13</v>
  </rv>
  <rv s="7">
    <fb>138.47999999999999</fb>
    <v>13</v>
  </rv>
  <rv s="7">
    <fb>139.41999999999999</fb>
    <v>13</v>
  </rv>
  <rv s="7">
    <fb>141.29</fb>
    <v>13</v>
  </rv>
  <rv s="7">
    <fb>139.5</fb>
    <v>13</v>
  </rv>
  <rv s="7">
    <fb>141.81</fb>
    <v>13</v>
  </rv>
  <rv s="7">
    <fb>155.88999999999999</fb>
    <v>13</v>
  </rv>
  <rv s="7">
    <fb>157.18</fb>
    <v>13</v>
  </rv>
  <rv s="7">
    <fb>167.47</fb>
    <v>13</v>
  </rv>
  <rv s="7">
    <fb>167.59</fb>
    <v>13</v>
  </rv>
  <rv s="7">
    <fb>165.95</fb>
    <v>13</v>
  </rv>
  <rv s="7">
    <fb>166.28</fb>
    <v>13</v>
  </rv>
  <rv s="7">
    <fb>168.74</fb>
    <v>13</v>
  </rv>
  <rv s="7">
    <fb>170.4</fb>
    <v>13</v>
  </rv>
  <rv s="7">
    <fb>167.71</fb>
    <v>13</v>
  </rv>
  <rv s="7">
    <fb>166.86</fb>
    <v>13</v>
  </rv>
  <rv s="7">
    <fb>170.86</fb>
    <v>13</v>
  </rv>
  <rv s="7">
    <fb>169.97</fb>
    <v>13</v>
  </rv>
  <rv s="7">
    <fb>175.77</fb>
    <v>13</v>
  </rv>
  <rv s="7">
    <fb>176.12</fb>
    <v>13</v>
  </rv>
  <rv s="7">
    <fb>174.09</fb>
    <v>13</v>
  </rv>
  <rv s="7">
    <fb>174.77</fb>
    <v>13</v>
  </rv>
  <rv s="7">
    <fb>175.68</fb>
    <v>13</v>
  </rv>
  <rv s="7">
    <fb>174.69</fb>
    <v>13</v>
  </rv>
  <rv s="7">
    <fb>173.76</fb>
    <v>13</v>
  </rv>
  <rv s="7">
    <fb>175.31</fb>
    <v>13</v>
  </rv>
  <rv s="7">
    <fb>173.1</fb>
    <v>13</v>
  </rv>
  <rv s="7">
    <fb>174.38</fb>
    <v>13</v>
  </rv>
  <rv s="7">
    <fb>173.52</fb>
    <v>13</v>
  </rv>
  <rv s="7">
    <fb>172.42</fb>
    <v>13</v>
  </rv>
  <rv s="7">
    <fb>173.43</fb>
    <v>13</v>
  </rv>
  <rv s="7">
    <fb>174.56</fb>
    <v>13</v>
  </rv>
  <rv s="7">
    <fb>167.84</fb>
    <v>13</v>
  </rv>
  <rv s="7">
    <fb>170.02</fb>
    <v>13</v>
  </rv>
  <rv s="7">
    <fb>169.59</fb>
    <v>13</v>
  </rv>
  <rv s="7">
    <fb>171.78</fb>
    <v>13</v>
  </rv>
  <rv s="7">
    <fb>181.24</fb>
    <v>13</v>
  </rv>
  <rv s="7">
    <fb>186.37</fb>
    <v>13</v>
  </rv>
  <rv s="7">
    <fb>189.25</fb>
    <v>13</v>
  </rv>
  <rv s="7">
    <fb>189.13</fb>
    <v>13</v>
  </rv>
  <rv s="7">
    <fb>189.58</fb>
    <v>13</v>
  </rv>
  <rv s="7">
    <fb>189.63</fb>
    <v>13</v>
  </rv>
  <rv s="7">
    <fb>187.05</fb>
    <v>13</v>
  </rv>
  <rv s="7">
    <fb>185.73</fb>
    <v>13</v>
  </rv>
  <rv s="7">
    <fb>188.9</fb>
    <v>13</v>
  </rv>
  <rv s="7">
    <fb>190.75</fb>
    <v>13</v>
  </rv>
  <rv s="7">
    <fb>192.43</fb>
    <v>13</v>
  </rv>
  <rv s="7">
    <fb>192.29</fb>
    <v>13</v>
  </rv>
  <rv s="7">
    <fb>187.99</fb>
    <v>13</v>
  </rv>
  <rv s="7">
    <fb>190.37</fb>
    <v>13</v>
  </rv>
  <rv s="7">
    <fb>182.7</fb>
    <v>13</v>
  </rv>
  <rv s="7">
    <fb>184.84</fb>
    <v>13</v>
  </rv>
  <rv s="7">
    <fb>181.41</fb>
    <v>13</v>
  </rv>
  <rv s="7">
    <fb>186.24</fb>
    <v>13</v>
  </rv>
  <rv s="7">
    <fb>190.45</fb>
    <v>13</v>
  </rv>
  <rv s="7">
    <fb>177.74</fb>
    <v>13</v>
  </rv>
  <rv s="7">
    <fb>58.89</fb>
    <v>13</v>
  </rv>
  <rv s="7">
    <fb>61.26</fb>
    <v>13</v>
  </rv>
  <rv s="7">
    <fb>61.47</fb>
    <v>13</v>
  </rv>
  <rv s="7">
    <fb>63.01</fb>
    <v>13</v>
  </rv>
  <rv s="7">
    <fb>61.74</fb>
    <v>13</v>
  </rv>
  <rv s="7">
    <fb>62.06</fb>
    <v>13</v>
  </rv>
  <rv s="7">
    <fb>61.84</fb>
    <v>13</v>
  </rv>
  <rv s="7">
    <fb>62.56</fb>
    <v>13</v>
  </rv>
  <rv s="7">
    <fb>62.68</fb>
    <v>13</v>
  </rv>
  <rv s="7">
    <fb>63.08</fb>
    <v>13</v>
  </rv>
  <rv s="7">
    <fb>61.41</fb>
    <v>13</v>
  </rv>
  <rv s="7">
    <fb>58.45</fb>
    <v>13</v>
  </rv>
  <rv s="7">
    <fb>60.12</fb>
    <v>13</v>
  </rv>
  <rv s="7">
    <fb>61.05</fb>
    <v>13</v>
  </rv>
  <rv s="7">
    <fb>61</fb>
    <v>13</v>
  </rv>
  <rv s="7">
    <fb>62.09</fb>
    <v>13</v>
  </rv>
  <rv s="7">
    <fb>65.819999999999993</fb>
    <v>13</v>
  </rv>
  <rv s="7">
    <fb>63.74</fb>
    <v>13</v>
  </rv>
  <rv s="7">
    <fb>64.78</fb>
    <v>13</v>
  </rv>
  <rv s="7">
    <fb>63.76</fb>
    <v>13</v>
  </rv>
  <rv s="7">
    <fb>63.68</fb>
    <v>13</v>
  </rv>
  <rv s="7">
    <fb>62.02</fb>
    <v>13</v>
  </rv>
  <rv s="7">
    <fb>62.42</fb>
    <v>13</v>
  </rv>
  <rv s="7">
    <fb>56.13</fb>
    <v>13</v>
  </rv>
  <rv s="7">
    <fb>58.91</fb>
    <v>13</v>
  </rv>
  <rv s="7">
    <fb>58.26</fb>
    <v>13</v>
  </rv>
  <rv s="7">
    <fb>58.87</fb>
    <v>13</v>
  </rv>
  <rv s="7">
    <fb>59.7</fb>
    <v>13</v>
  </rv>
  <rv s="7">
    <fb>57.48</fb>
    <v>13</v>
  </rv>
  <rv s="7">
    <fb>58.35</fb>
    <v>13</v>
  </rv>
  <rv s="7">
    <fb>59.16</fb>
    <v>13</v>
  </rv>
  <rv s="7">
    <fb>60.16</fb>
    <v>13</v>
  </rv>
  <rv s="7">
    <fb>60.25</fb>
    <v>13</v>
  </rv>
  <rv s="7">
    <fb>60.34</fb>
    <v>13</v>
  </rv>
  <rv s="7">
    <fb>60.54</fb>
    <v>13</v>
  </rv>
  <rv s="7">
    <fb>59.98</fb>
    <v>13</v>
  </rv>
  <rv s="7">
    <fb>58.27</fb>
    <v>13</v>
  </rv>
  <rv s="7">
    <fb>58.12</fb>
    <v>13</v>
  </rv>
  <rv s="7">
    <fb>58.5</fb>
    <v>13</v>
  </rv>
  <rv s="7">
    <fb>59.01</fb>
    <v>13</v>
  </rv>
  <rv s="7">
    <fb>60.08</fb>
    <v>13</v>
  </rv>
  <rv s="7">
    <fb>60.03</fb>
    <v>13</v>
  </rv>
  <rv s="7">
    <fb>65.05</fb>
    <v>13</v>
  </rv>
  <rv s="7">
    <fb>66.14</fb>
    <v>13</v>
  </rv>
  <rv s="7">
    <fb>64.77</fb>
    <v>13</v>
  </rv>
  <rv s="7">
    <fb>66</fb>
    <v>13</v>
  </rv>
  <rv s="7">
    <fb>66.569999999999993</fb>
    <v>13</v>
  </rv>
  <rv s="7">
    <fb>66.989999999999995</fb>
    <v>13</v>
  </rv>
  <rv s="7">
    <fb>65.03</fb>
    <v>13</v>
  </rv>
  <rv s="7">
    <fb>65.34</fb>
    <v>13</v>
  </rv>
  <rv s="7">
    <fb>64.540000000000006</fb>
    <v>13</v>
  </rv>
  <rv s="7">
    <fb>65.150000000000006</fb>
    <v>13</v>
  </rv>
  <rv s="7">
    <fb>65.88</fb>
    <v>13</v>
  </rv>
  <rv s="7">
    <fb>65.8</fb>
    <v>13</v>
  </rv>
  <rv s="7">
    <fb>64.59</fb>
    <v>13</v>
  </rv>
  <rv s="7">
    <fb>63.51</fb>
    <v>13</v>
  </rv>
  <rv s="7">
    <fb>63.26</fb>
    <v>13</v>
  </rv>
  <rv s="7">
    <fb>62.1</fb>
    <v>13</v>
  </rv>
  <rv s="7">
    <fb>63.19</fb>
    <v>13</v>
  </rv>
  <rv s="7">
    <fb>64.430000000000007</fb>
    <v>13</v>
  </rv>
  <rv s="7">
    <fb>64.84</fb>
    <v>13</v>
  </rv>
  <rv s="7">
    <fb>64.099999999999994</fb>
    <v>13</v>
  </rv>
  <rv s="7">
    <fb>65.959999999999994</fb>
    <v>13</v>
  </rv>
  <rv s="7">
    <fb>67.92</fb>
    <v>13</v>
  </rv>
  <rv s="7">
    <fb>65.7</fb>
    <v>13</v>
  </rv>
  <rv s="7">
    <fb>65.61</fb>
    <v>13</v>
  </rv>
  <rv s="7">
    <fb>65.92</fb>
    <v>13</v>
  </rv>
  <rv s="7">
    <fb>63.81</fb>
    <v>13</v>
  </rv>
  <rv s="7">
    <fb>64.45</fb>
    <v>13</v>
  </rv>
  <rv s="7">
    <fb>62.93</fb>
    <v>13</v>
  </rv>
  <rv s="7">
    <fb>63.95</fb>
    <v>13</v>
  </rv>
  <rv s="7">
    <fb>64.48</fb>
    <v>13</v>
  </rv>
  <rv s="7">
    <fb>62.19</fb>
    <v>13</v>
  </rv>
  <rv s="7">
    <fb>61.64</fb>
    <v>13</v>
  </rv>
  <rv s="7">
    <fb>62.17</fb>
    <v>13</v>
  </rv>
  <rv s="7">
    <fb>62.51</fb>
    <v>13</v>
  </rv>
  <rv s="7">
    <fb>62.99</fb>
    <v>13</v>
  </rv>
  <rv s="7">
    <fb>63.33</fb>
    <v>13</v>
  </rv>
  <rv s="7">
    <fb>67.3</fb>
    <v>13</v>
  </rv>
  <rv s="7">
    <fb>67.09</fb>
    <v>13</v>
  </rv>
  <rv s="7">
    <fb>60.634999999999998</fb>
    <v>13</v>
  </rv>
  <rv s="7">
    <fb>59.12</fb>
    <v>13</v>
  </rv>
  <rv s="7">
    <fb>59.8</fb>
    <v>13</v>
  </rv>
  <rv s="7">
    <fb>60.61</fb>
    <v>13</v>
  </rv>
  <rv s="7">
    <fb>59.49</fb>
    <v>13</v>
  </rv>
  <rv s="7">
    <fb>58.37</fb>
    <v>13</v>
  </rv>
  <rv s="7">
    <fb>58.03</fb>
    <v>13</v>
  </rv>
  <rv s="7">
    <fb>57.81</fb>
    <v>13</v>
  </rv>
  <rv s="7">
    <fb>58.97</fb>
    <v>13</v>
  </rv>
  <rv s="7">
    <fb>59.64</fb>
    <v>13</v>
  </rv>
  <rv s="7">
    <fb>59.76</fb>
    <v>13</v>
  </rv>
  <rv s="7">
    <fb>59</fb>
    <v>13</v>
  </rv>
  <rv s="7">
    <fb>58.9</fb>
    <v>13</v>
  </rv>
  <rv s="7">
    <fb>60.27</fb>
    <v>13</v>
  </rv>
  <rv s="7">
    <fb>60.47</fb>
    <v>13</v>
  </rv>
  <rv s="7">
    <fb>60</fb>
    <v>13</v>
  </rv>
  <rv s="7">
    <fb>60.77</fb>
    <v>13</v>
  </rv>
  <rv s="7">
    <fb>59.71</fb>
    <v>13</v>
  </rv>
  <rv s="7">
    <fb>58.07</fb>
    <v>13</v>
  </rv>
  <rv s="7">
    <fb>57.22</fb>
    <v>13</v>
  </rv>
  <rv s="7">
    <fb>58.29</fb>
    <v>13</v>
  </rv>
  <rv s="7">
    <fb>58.94</fb>
    <v>13</v>
  </rv>
  <rv s="7">
    <fb>64</fb>
    <v>13</v>
  </rv>
  <rv s="7">
    <fb>65.31</fb>
    <v>13</v>
  </rv>
  <rv s="7">
    <fb>61.98</fb>
    <v>13</v>
  </rv>
  <rv s="7">
    <fb>60.46</fb>
    <v>13</v>
  </rv>
  <rv s="7">
    <fb>64.28</fb>
    <v>13</v>
  </rv>
  <rv s="7">
    <fb>64.72</fb>
    <v>13</v>
  </rv>
  <rv s="7">
    <fb>65.11</fb>
    <v>13</v>
  </rv>
  <rv s="7">
    <fb>67.94</fb>
    <v>13</v>
  </rv>
  <rv s="7">
    <fb>69.430000000000007</fb>
    <v>13</v>
  </rv>
  <rv s="7">
    <fb>71.89</fb>
    <v>13</v>
  </rv>
  <rv s="7">
    <fb>71.459999999999994</fb>
    <v>13</v>
  </rv>
  <rv s="7">
    <fb>71.7</fb>
    <v>13</v>
  </rv>
  <rv s="7">
    <fb>72.040000000000006</fb>
    <v>13</v>
  </rv>
  <rv s="7">
    <fb>71.59</fb>
    <v>13</v>
  </rv>
  <rv s="7">
    <fb>70.430000000000007</fb>
    <v>13</v>
  </rv>
  <rv s="7">
    <fb>73.16</fb>
    <v>13</v>
  </rv>
  <rv s="7">
    <fb>72.430000000000007</fb>
    <v>13</v>
  </rv>
  <rv s="7">
    <fb>72</fb>
    <v>13</v>
  </rv>
  <rv s="7">
    <fb>72.03</fb>
    <v>13</v>
  </rv>
  <rv s="7">
    <fb>69.349999999999994</fb>
    <v>13</v>
  </rv>
  <rv s="7">
    <fb>68.849999999999994</fb>
    <v>13</v>
  </rv>
  <rv s="7">
    <fb>70.36</fb>
    <v>13</v>
  </rv>
  <rv s="7">
    <fb>70.099999999999994</fb>
    <v>13</v>
  </rv>
  <rv s="7">
    <fb>71.069999999999993</fb>
    <v>13</v>
  </rv>
  <rv s="7">
    <fb>71.77</fb>
    <v>13</v>
  </rv>
  <rv s="7">
    <fb>73.12</fb>
    <v>13</v>
  </rv>
  <rv s="7">
    <fb>77.569999999999993</fb>
    <v>13</v>
  </rv>
  <rv s="7">
    <fb>76.760000000000005</fb>
    <v>13</v>
  </rv>
  <rv s="7">
    <fb>77.67</fb>
    <v>13</v>
  </rv>
  <rv s="7">
    <fb>77.36</fb>
    <v>13</v>
  </rv>
  <rv s="7">
    <fb>80.08</fb>
    <v>13</v>
  </rv>
  <rv s="7">
    <fb>77.88</fb>
    <v>13</v>
  </rv>
  <rv s="7">
    <fb>78.03</fb>
    <v>13</v>
  </rv>
  <rv s="7">
    <fb>77.47</fb>
    <v>13</v>
  </rv>
  <rv s="7">
    <fb>77.44</fb>
    <v>13</v>
  </rv>
  <rv s="7">
    <fb>79.36</fb>
    <v>13</v>
  </rv>
  <rv s="7">
    <fb>80.260000000000005</fb>
    <v>13</v>
  </rv>
  <rv s="7">
    <fb>81.16</fb>
    <v>13</v>
  </rv>
  <rv s="7">
    <fb>81.650000000000006</fb>
    <v>13</v>
  </rv>
  <rv s="7">
    <fb>78.98</fb>
    <v>13</v>
  </rv>
  <rv s="7">
    <fb>80.510000000000005</fb>
    <v>13</v>
  </rv>
  <rv s="7">
    <fb>80.67</fb>
    <v>13</v>
  </rv>
  <rv s="7">
    <fb>79.55</fb>
    <v>13</v>
  </rv>
  <rv s="7">
    <fb>80.819999999999993</fb>
    <v>13</v>
  </rv>
  <rv s="7">
    <fb>79.819999999999993</fb>
    <v>13</v>
  </rv>
  <rv s="7">
    <fb>80.94</fb>
    <v>13</v>
  </rv>
  <rv s="7">
    <fb>80.56</fb>
    <v>13</v>
  </rv>
  <rv s="7">
    <fb>80.91</fb>
    <v>13</v>
  </rv>
  <rv s="7">
    <fb>81.39</fb>
    <v>13</v>
  </rv>
  <rv s="7">
    <fb>81.7</fb>
    <v>13</v>
  </rv>
  <rv s="7">
    <fb>83.59</fb>
    <v>13</v>
  </rv>
  <rv s="7">
    <fb>80.28</fb>
    <v>13</v>
  </rv>
  <rv s="7">
    <fb>78.22</fb>
    <v>13</v>
  </rv>
  <rv s="7">
    <fb>79.3</fb>
    <v>13</v>
  </rv>
  <rv s="7">
    <fb>77.25</fb>
    <v>13</v>
  </rv>
  <rv s="7">
    <fb>78.13</fb>
    <v>13</v>
  </rv>
  <rv s="7">
    <fb>81.41</fb>
    <v>13</v>
  </rv>
  <rv s="7">
    <fb>81.349999999999994</fb>
    <v>13</v>
  </rv>
  <rv s="7">
    <fb>83.01</fb>
    <v>13</v>
  </rv>
  <rv s="7">
    <fb>86.4</fb>
    <v>13</v>
  </rv>
  <rv s="7">
    <fb>87.31</fb>
    <v>13</v>
  </rv>
  <rv s="7">
    <fb>85.79</fb>
    <v>13</v>
  </rv>
  <rv s="7">
    <fb>85.83</fb>
    <v>13</v>
  </rv>
  <rv s="7">
    <fb>84.67</fb>
    <v>13</v>
  </rv>
  <rv s="7">
    <fb>84.09</fb>
    <v>13</v>
  </rv>
  <rv s="7">
    <fb>84.74</fb>
    <v>13</v>
  </rv>
  <rv s="7">
    <fb>84.82</fb>
    <v>13</v>
  </rv>
  <rv s="7">
    <fb>86.77</fb>
    <v>13</v>
  </rv>
  <rv s="7">
    <fb>87.77</fb>
    <v>13</v>
  </rv>
  <rv s="7">
    <fb>86.57</fb>
    <v>13</v>
  </rv>
  <rv s="7">
    <fb>86.53</fb>
    <v>13</v>
  </rv>
  <rv s="7">
    <fb>85.14</fb>
    <v>13</v>
  </rv>
  <rv s="7">
    <fb>89.33</fb>
    <v>13</v>
  </rv>
  <rv s="7">
    <fb>89.045000000000002</fb>
    <v>13</v>
  </rv>
  <rv s="7">
    <fb>89.88</fb>
    <v>13</v>
  </rv>
  <rv s="7">
    <fb>88.76</fb>
    <v>13</v>
  </rv>
  <rv s="7">
    <fb>28.58</fb>
    <v>13</v>
  </rv>
  <rv s="7">
    <fb>26.66</fb>
    <v>13</v>
  </rv>
  <rv s="7">
    <fb>26.13</fb>
    <v>13</v>
  </rv>
  <rv s="7">
    <fb>26.63</fb>
    <v>13</v>
  </rv>
  <rv s="7">
    <fb>27.06</fb>
    <v>13</v>
  </rv>
  <rv s="7">
    <fb>28.16</fb>
    <v>13</v>
  </rv>
  <rv s="7">
    <fb>27.63</fb>
    <v>13</v>
  </rv>
  <rv s="7">
    <fb>28.31</fb>
    <v>13</v>
  </rv>
  <rv s="7">
    <fb>28.4</fb>
    <v>13</v>
  </rv>
  <rv s="7">
    <fb>28.41</fb>
    <v>13</v>
  </rv>
  <rv s="7">
    <fb>28.61</fb>
    <v>13</v>
  </rv>
  <rv s="7">
    <fb>28.79</fb>
    <v>13</v>
  </rv>
  <rv s="7">
    <fb>29.73</fb>
    <v>13</v>
  </rv>
  <rv s="7">
    <fb>29.09</fb>
    <v>13</v>
  </rv>
  <rv s="7">
    <fb>29.47</fb>
    <v>13</v>
  </rv>
  <rv s="7">
    <fb>29.58</fb>
    <v>13</v>
  </rv>
  <rv s="7">
    <fb>29.4</fb>
    <v>13</v>
  </rv>
  <rv s="7">
    <fb>28.99</fb>
    <v>13</v>
  </rv>
  <rv s="7">
    <fb>28.7</fb>
    <v>13</v>
  </rv>
  <rv s="7">
    <fb>28.32</fb>
    <v>13</v>
  </rv>
  <rv s="7">
    <fb>28.15</fb>
    <v>13</v>
  </rv>
  <rv s="7">
    <fb>28.09</fb>
    <v>13</v>
  </rv>
  <rv s="7">
    <fb>28.28</fb>
    <v>13</v>
  </rv>
  <rv s="7">
    <fb>28.43</fb>
    <v>13</v>
  </rv>
  <rv s="7">
    <fb>28.33</fb>
    <v>13</v>
  </rv>
  <rv s="7">
    <fb>27.47</fb>
    <v>13</v>
  </rv>
  <rv s="7">
    <fb>27.48</fb>
    <v>13</v>
  </rv>
  <rv s="7">
    <fb>27.02</fb>
    <v>13</v>
  </rv>
  <rv s="7">
    <fb>27.08</fb>
    <v>13</v>
  </rv>
  <rv s="7">
    <fb>27.29</fb>
    <v>13</v>
  </rv>
  <rv s="7">
    <fb>26.93</fb>
    <v>13</v>
  </rv>
  <rv s="7">
    <fb>26.57</fb>
    <v>13</v>
  </rv>
  <rv s="7">
    <fb>27.5</fb>
    <v>13</v>
  </rv>
  <rv s="7">
    <fb>27.56</fb>
    <v>13</v>
  </rv>
  <rv s="7">
    <fb>27.57</fb>
    <v>13</v>
  </rv>
  <rv s="7">
    <fb>27.66</fb>
    <v>13</v>
  </rv>
  <rv s="7">
    <fb>26.97</fb>
    <v>13</v>
  </rv>
  <rv s="7">
    <fb>27.11</fb>
    <v>13</v>
  </rv>
  <rv s="7">
    <fb>27.51</fb>
    <v>13</v>
  </rv>
  <rv s="7">
    <fb>27.62</fb>
    <v>13</v>
  </rv>
  <rv s="7">
    <fb>27.59</fb>
    <v>13</v>
  </rv>
  <rv s="7">
    <fb>27.67</fb>
    <v>13</v>
  </rv>
  <rv s="7">
    <fb>27.55</fb>
    <v>13</v>
  </rv>
  <rv s="7">
    <fb>27.76</fb>
    <v>13</v>
  </rv>
  <rv s="7">
    <fb>27.18</fb>
    <v>13</v>
  </rv>
  <rv s="7">
    <fb>26.89</fb>
    <v>13</v>
  </rv>
  <rv s="7">
    <fb>27.04</fb>
    <v>13</v>
  </rv>
  <rv s="7">
    <fb>26.56</fb>
    <v>13</v>
  </rv>
  <rv s="7">
    <fb>26.59</fb>
    <v>13</v>
  </rv>
  <rv s="7">
    <fb>25.89</fb>
    <v>13</v>
  </rv>
  <rv s="7">
    <fb>26.08</fb>
    <v>13</v>
  </rv>
  <rv s="7">
    <fb>27.19</fb>
    <v>13</v>
  </rv>
  <rv s="7">
    <fb>26.79</fb>
    <v>13</v>
  </rv>
  <rv s="7">
    <fb>27.22</fb>
    <v>13</v>
  </rv>
  <rv s="7">
    <fb>28.37</fb>
    <v>13</v>
  </rv>
  <rv s="7">
    <fb>28.01</fb>
    <v>13</v>
  </rv>
  <rv s="7">
    <fb>28.22</fb>
    <v>13</v>
  </rv>
  <rv s="7">
    <fb>28.13</fb>
    <v>13</v>
  </rv>
  <rv s="7">
    <fb>27.94</fb>
    <v>13</v>
  </rv>
  <rv s="7">
    <fb>27.72</fb>
    <v>13</v>
  </rv>
  <rv s="7">
    <fb>27.7</fb>
    <v>13</v>
  </rv>
  <rv s="7">
    <fb>27.36</fb>
    <v>13</v>
  </rv>
  <rv s="7">
    <fb>27.43</fb>
    <v>13</v>
  </rv>
  <rv s="7">
    <fb>27.78</fb>
    <v>13</v>
  </rv>
  <rv s="7">
    <fb>27.75</fb>
    <v>13</v>
  </rv>
  <rv s="7">
    <fb>26.65</fb>
    <v>13</v>
  </rv>
  <rv s="7">
    <fb>26.58</fb>
    <v>13</v>
  </rv>
  <rv s="7">
    <fb>26.78</fb>
    <v>13</v>
  </rv>
  <rv s="7">
    <fb>26.32</fb>
    <v>13</v>
  </rv>
  <rv s="7">
    <fb>26.34</fb>
    <v>13</v>
  </rv>
  <rv s="7">
    <fb>25.86</fb>
    <v>13</v>
  </rv>
  <rv s="7">
    <fb>25.91</fb>
    <v>13</v>
  </rv>
  <rv s="7">
    <fb>25.69</fb>
    <v>13</v>
  </rv>
  <rv s="7">
    <fb>25.42</fb>
    <v>13</v>
  </rv>
  <rv s="7">
    <fb>25.39</fb>
    <v>13</v>
  </rv>
  <rv s="7">
    <fb>26</fb>
    <v>13</v>
  </rv>
  <rv s="7">
    <fb>26.26</fb>
    <v>13</v>
  </rv>
  <rv s="7">
    <fb>26.27</fb>
    <v>13</v>
  </rv>
  <rv s="7">
    <fb>25.26</fb>
    <v>13</v>
  </rv>
  <rv s="7">
    <fb>25.4</fb>
    <v>13</v>
  </rv>
  <rv s="7">
    <fb>25.64</fb>
    <v>13</v>
  </rv>
  <rv s="7">
    <fb>25.62</fb>
    <v>13</v>
  </rv>
  <rv s="7">
    <fb>27.81</fb>
    <v>13</v>
  </rv>
  <rv s="7">
    <fb>27.77</fb>
    <v>13</v>
  </rv>
  <rv s="7">
    <fb>28.27</fb>
    <v>13</v>
  </rv>
  <rv s="7">
    <fb>28.18</fb>
    <v>13</v>
  </rv>
  <rv s="7">
    <fb>28.44</fb>
    <v>13</v>
  </rv>
  <rv s="7">
    <fb>28.38</fb>
    <v>13</v>
  </rv>
  <rv s="7">
    <fb>28.82</fb>
    <v>13</v>
  </rv>
  <rv s="7">
    <fb>28.92</fb>
    <v>13</v>
  </rv>
  <rv s="7">
    <fb>28.64</fb>
    <v>13</v>
  </rv>
  <rv s="7">
    <fb>28.53</fb>
    <v>13</v>
  </rv>
  <rv s="7">
    <fb>28.56</fb>
    <v>13</v>
  </rv>
  <rv s="7">
    <fb>29.6</fb>
    <v>13</v>
  </rv>
  <rv s="7">
    <fb>28.69</fb>
    <v>13</v>
  </rv>
  <rv s="7">
    <fb>28.88</fb>
    <v>13</v>
  </rv>
  <rv s="7">
    <fb>28.3</fb>
    <v>13</v>
  </rv>
  <rv s="7">
    <fb>27.82</fb>
    <v>13</v>
  </rv>
  <rv s="7">
    <fb>28.2</fb>
    <v>13</v>
  </rv>
  <rv s="7">
    <fb>28.66</fb>
    <v>13</v>
  </rv>
  <rv s="7">
    <fb>29.31</fb>
    <v>13</v>
  </rv>
  <rv s="7">
    <fb>29.49</fb>
    <v>13</v>
  </rv>
  <rv s="7">
    <fb>29.55</fb>
    <v>13</v>
  </rv>
  <rv s="7">
    <fb>28.8</fb>
    <v>13</v>
  </rv>
  <rv s="7">
    <fb>28.07</fb>
    <v>13</v>
  </rv>
  <rv s="7">
    <fb>28.03</fb>
    <v>13</v>
  </rv>
  <rv s="7">
    <fb>27.65</fb>
    <v>13</v>
  </rv>
  <rv s="7">
    <fb>27.53</fb>
    <v>13</v>
  </rv>
  <rv s="7">
    <fb>26.98</fb>
    <v>13</v>
  </rv>
  <rv s="7">
    <fb>27.41</fb>
    <v>13</v>
  </rv>
  <rv s="7">
    <fb>27.74</fb>
    <v>13</v>
  </rv>
  <rv s="7">
    <fb>28.36</fb>
    <v>13</v>
  </rv>
  <rv s="7">
    <fb>27.99</fb>
    <v>13</v>
  </rv>
  <rv s="7">
    <fb>27.42</fb>
    <v>13</v>
  </rv>
  <rv s="7">
    <fb>27.8</fb>
    <v>13</v>
  </rv>
  <rv s="7">
    <fb>27.98</fb>
    <v>13</v>
  </rv>
  <rv s="7">
    <fb>27.83</fb>
    <v>13</v>
  </rv>
  <rv s="7">
    <fb>28.05</fb>
    <v>13</v>
  </rv>
  <rv s="7">
    <fb>27.93</fb>
    <v>13</v>
  </rv>
  <rv s="7">
    <fb>28.35</fb>
    <v>13</v>
  </rv>
  <rv s="7">
    <fb>29.1</fb>
    <v>13</v>
  </rv>
  <rv s="7">
    <fb>29.5</fb>
    <v>13</v>
  </rv>
  <rv s="7">
    <fb>29.71</fb>
    <v>13</v>
  </rv>
  <rv s="7">
    <fb>29.97</fb>
    <v>13</v>
  </rv>
  <rv s="7">
    <fb>29.98</fb>
    <v>13</v>
  </rv>
  <rv s="7">
    <fb>30.18</fb>
    <v>13</v>
  </rv>
  <rv s="7">
    <fb>30.77</fb>
    <v>13</v>
  </rv>
  <rv s="7">
    <fb>31.39</fb>
    <v>13</v>
  </rv>
  <rv s="7">
    <fb>30.65</fb>
    <v>13</v>
  </rv>
  <rv s="7">
    <fb>30.43</fb>
    <v>13</v>
  </rv>
  <rv s="7">
    <fb>29.74</fb>
    <v>13</v>
  </rv>
  <rv s="7">
    <fb>29.32</fb>
    <v>13</v>
  </rv>
  <rv s="7">
    <fb>28.85</fb>
    <v>13</v>
  </rv>
  <rv s="7">
    <fb>28.76</fb>
    <v>13</v>
  </rv>
  <rv s="7">
    <fb>28.55</fb>
    <v>13</v>
  </rv>
  <rv s="7">
    <fb>28.45</fb>
    <v>13</v>
  </rv>
  <rv s="7">
    <fb>28.71</fb>
    <v>13</v>
  </rv>
  <rv s="7">
    <fb>28.9</fb>
    <v>13</v>
  </rv>
  <rv s="7">
    <fb>29.03</fb>
    <v>13</v>
  </rv>
  <rv s="7">
    <fb>28.78</fb>
    <v>13</v>
  </rv>
  <rv s="7">
    <fb>28.75</fb>
    <v>13</v>
  </rv>
  <rv s="7">
    <fb>28.72</fb>
    <v>13</v>
  </rv>
  <rv s="7">
    <fb>29.01</fb>
    <v>13</v>
  </rv>
  <rv s="7">
    <fb>28.39</fb>
    <v>13</v>
  </rv>
  <rv s="7">
    <fb>28.51</fb>
    <v>13</v>
  </rv>
  <rv s="7">
    <fb>29.41</fb>
    <v>13</v>
  </rv>
  <rv s="7">
    <fb>29.66</fb>
    <v>13</v>
  </rv>
  <rv s="7">
    <fb>29.16</fb>
    <v>13</v>
  </rv>
  <rv s="7">
    <fb>29.27</fb>
    <v>13</v>
  </rv>
  <rv s="7">
    <fb>30.07</fb>
    <v>13</v>
  </rv>
  <rv s="7">
    <fb>29.83</fb>
    <v>13</v>
  </rv>
  <rv s="7">
    <fb>29.75</fb>
    <v>13</v>
  </rv>
  <rv s="7">
    <fb>29.42</fb>
    <v>13</v>
  </rv>
  <rv s="7">
    <fb>28.93</fb>
    <v>13</v>
  </rv>
  <rv s="7">
    <fb>28.97</fb>
    <v>13</v>
  </rv>
  <rv s="7">
    <fb>28.94</fb>
    <v>13</v>
  </rv>
  <rv s="7">
    <fb>28.67</fb>
    <v>13</v>
  </rv>
  <rv s="7">
    <fb>28.34</fb>
    <v>13</v>
  </rv>
  <rv s="7">
    <fb>29.2</fb>
    <v>13</v>
  </rv>
  <rv s="7">
    <fb>29.18</fb>
    <v>13</v>
  </rv>
  <rv s="7">
    <fb>29.34</fb>
    <v>13</v>
  </rv>
  <rv s="7">
    <fb>29.08</fb>
    <v>13</v>
  </rv>
  <rv s="7">
    <fb>29.44</fb>
    <v>13</v>
  </rv>
  <rv s="7">
    <fb>29.67</fb>
    <v>13</v>
  </rv>
  <rv s="7">
    <fb>29.22</fb>
    <v>13</v>
  </rv>
  <rv s="7">
    <fb>28.84</fb>
    <v>13</v>
  </rv>
  <rv s="7">
    <fb>28.86</fb>
    <v>13</v>
  </rv>
  <rv s="7">
    <fb>28.46</fb>
    <v>13</v>
  </rv>
  <rv s="7">
    <fb>28.52</fb>
    <v>13</v>
  </rv>
  <rv s="7">
    <fb>27.46</fb>
    <v>13</v>
  </rv>
  <rv s="7">
    <fb>26.72</fb>
    <v>13</v>
  </rv>
  <rv s="7">
    <fb>26.24</fb>
    <v>13</v>
  </rv>
  <rv s="7">
    <fb>26.19</fb>
    <v>13</v>
  </rv>
  <rv s="7">
    <fb>26.02</fb>
    <v>13</v>
  </rv>
  <rv s="7">
    <fb>24.8</fb>
    <v>13</v>
  </rv>
  <rv s="7">
    <fb>24.86</fb>
    <v>13</v>
  </rv>
  <rv s="7">
    <fb>25.1</fb>
    <v>13</v>
  </rv>
  <rv s="7">
    <fb>24.94</fb>
    <v>13</v>
  </rv>
  <rv s="7">
    <fb>25.13</fb>
    <v>13</v>
  </rv>
  <rv s="7">
    <fb>25.65</fb>
    <v>13</v>
  </rv>
  <rv s="7">
    <fb>26.17</fb>
    <v>13</v>
  </rv>
  <rv s="7">
    <fb>25.77</fb>
    <v>13</v>
  </rv>
  <rv s="7">
    <fb>25.83</fb>
    <v>13</v>
  </rv>
  <rv s="7">
    <fb>26.21</fb>
    <v>13</v>
  </rv>
  <rv s="7">
    <fb>25.82</fb>
    <v>13</v>
  </rv>
  <rv s="7">
    <fb>25.56</fb>
    <v>13</v>
  </rv>
  <rv s="7">
    <fb>25.23</fb>
    <v>13</v>
  </rv>
  <rv s="7">
    <fb>25.7</fb>
    <v>13</v>
  </rv>
  <rv s="7">
    <fb>25.73</fb>
    <v>13</v>
  </rv>
  <rv s="7">
    <fb>26.1</fb>
    <v>13</v>
  </rv>
  <rv s="7">
    <fb>25.57</fb>
    <v>13</v>
  </rv>
  <rv s="7">
    <fb>122.07</fb>
    <v>13</v>
  </rv>
  <rv s="7">
    <fb>137.12</fb>
    <v>13</v>
  </rv>
  <rv s="7">
    <fb>132.68</fb>
    <v>13</v>
  </rv>
  <rv s="7">
    <fb>133.75</fb>
    <v>13</v>
  </rv>
  <rv s="7">
    <fb>130.47</fb>
    <v>13</v>
  </rv>
  <rv s="7">
    <fb>130.96</fb>
    <v>13</v>
  </rv>
  <rv s="7">
    <fb>132.4</fb>
    <v>13</v>
  </rv>
  <rv s="7">
    <fb>133.46</fb>
    <v>13</v>
  </rv>
  <rv s="7">
    <fb>134.18</fb>
    <v>13</v>
  </rv>
  <rv s="7">
    <fb>135.19</fb>
    <v>13</v>
  </rv>
  <rv s="7">
    <fb>133.30000000000001</fb>
    <v>13</v>
  </rv>
  <rv s="7">
    <fb>134.62</fb>
    <v>13</v>
  </rv>
  <rv s="7">
    <fb>130.52000000000001</fb>
    <v>13</v>
  </rv>
  <rv s="7">
    <fb>130.29</fb>
    <v>13</v>
  </rv>
  <rv s="7">
    <fb>130.56</fb>
    <v>13</v>
  </rv>
  <rv s="7">
    <fb>133.16999999999999</fb>
    <v>13</v>
  </rv>
  <rv s="7">
    <fb>133.07</fb>
    <v>13</v>
  </rv>
  <rv s="7">
    <fb>133.55000000000001</fb>
    <v>13</v>
  </rv>
  <rv s="7">
    <fb>131.32</fb>
    <v>13</v>
  </rv>
  <rv s="7">
    <fb>131.55000000000001</fb>
    <v>13</v>
  </rv>
  <rv s="7">
    <fb>129.97</fb>
    <v>13</v>
  </rv>
  <rv s="7">
    <fb>126.86</fb>
    <v>13</v>
  </rv>
  <rv s="7">
    <fb>126.26</fb>
    <v>13</v>
  </rv>
  <rv s="7">
    <fb>128.74</fb>
    <v>13</v>
  </rv>
  <rv s="7">
    <fb>128.01</fb>
    <v>13</v>
  </rv>
  <rv s="7">
    <fb>125.44</fb>
    <v>13</v>
  </rv>
  <rv s="7">
    <fb>126.2</fb>
    <v>13</v>
  </rv>
  <rv s="7">
    <fb>126.87</fb>
    <v>13</v>
  </rv>
  <rv s="7">
    <fb>127.89</fb>
    <v>13</v>
  </rv>
  <rv s="7">
    <fb>126.53</fb>
    <v>13</v>
  </rv>
  <rv s="7">
    <fb>126.69</fb>
    <v>13</v>
  </rv>
  <rv s="7">
    <fb>129.25</fb>
    <v>13</v>
  </rv>
  <rv s="7">
    <fb>126.91</fb>
    <v>13</v>
  </rv>
  <rv s="7">
    <fb>130.5</fb>
    <v>13</v>
  </rv>
  <rv s="7">
    <fb>129.09</fb>
    <v>13</v>
  </rv>
  <rv s="7">
    <fb>131.66</fb>
    <v>13</v>
  </rv>
  <rv s="7">
    <fb>132.47999999999999</fb>
    <v>13</v>
  </rv>
  <rv s="7">
    <fb>132.05000000000001</fb>
    <v>13</v>
  </rv>
  <rv s="7">
    <fb>130.88</fb>
    <v>13</v>
  </rv>
  <rv s="7">
    <fb>133.1</fb>
    <v>13</v>
  </rv>
  <rv s="7">
    <fb>133.38999999999999</fb>
    <v>13</v>
  </rv>
  <rv s="7">
    <fb>133.41999999999999</fb>
    <v>13</v>
  </rv>
  <rv s="7">
    <fb>133.44</fb>
    <v>13</v>
  </rv>
  <rv s="7">
    <fb>133.21</fb>
    <v>13</v>
  </rv>
  <rv s="7">
    <fb>132.49</fb>
    <v>13</v>
  </rv>
  <rv s="7">
    <fb>133.99</fb>
    <v>13</v>
  </rv>
  <rv s="7">
    <fb>133.27000000000001</fb>
    <v>13</v>
  </rv>
  <rv s="7">
    <fb>134.6</fb>
    <v>13</v>
  </rv>
  <rv s="7">
    <fb>133.61000000000001</fb>
    <v>13</v>
  </rv>
  <rv s="7">
    <fb>132.44</fb>
    <v>13</v>
  </rv>
  <rv s="7">
    <fb>133.08000000000001</fb>
    <v>13</v>
  </rv>
  <rv s="7">
    <fb>132.74</fb>
    <v>13</v>
  </rv>
  <rv s="7">
    <fb>134.12</fb>
    <v>13</v>
  </rv>
  <rv s="7">
    <fb>134.57</fb>
    <v>13</v>
  </rv>
  <rv s="7">
    <fb>133.33000000000001</fb>
    <v>13</v>
  </rv>
  <rv s="7">
    <fb>130.75</fb>
    <v>13</v>
  </rv>
  <rv s="7">
    <fb>129.02000000000001</fb>
    <v>13</v>
  </rv>
  <rv s="7">
    <fb>128.13999999999999</fb>
    <v>13</v>
  </rv>
  <rv s="7">
    <fb>127.85</fb>
    <v>13</v>
  </rv>
  <rv s="7">
    <fb>128.69999999999999</fb>
    <v>13</v>
  </rv>
  <rv s="7">
    <fb>129.88999999999999</fb>
    <v>13</v>
  </rv>
  <rv s="7">
    <fb>128.62</fb>
    <v>13</v>
  </rv>
  <rv s="7">
    <fb>127.13</fb>
    <v>13</v>
  </rv>
  <rv s="7">
    <fb>125.14</fb>
    <v>13</v>
  </rv>
  <rv s="7">
    <fb>128.86000000000001</fb>
    <v>13</v>
  </rv>
  <rv s="7">
    <fb>130.22</fb>
    <v>13</v>
  </rv>
  <rv s="7">
    <fb>127.92</fb>
    <v>13</v>
  </rv>
  <rv s="7">
    <fb>125.58</fb>
    <v>13</v>
  </rv>
  <rv s="7">
    <fb>124.69</fb>
    <v>13</v>
  </rv>
  <rv s="7">
    <fb>124.74</fb>
    <v>13</v>
  </rv>
  <rv s="7">
    <fb>126.17</fb>
    <v>13</v>
  </rv>
  <rv s="7">
    <fb>120.25</fb>
    <v>13</v>
  </rv>
  <rv s="7">
    <fb>114.74</fb>
    <v>13</v>
  </rv>
  <rv s="7">
    <fb>106.49</fb>
    <v>13</v>
  </rv>
  <rv s="7">
    <fb>104.69</fb>
    <v>13</v>
  </rv>
  <rv s="7">
    <fb>103.49</fb>
    <v>13</v>
  </rv>
  <rv s="7">
    <fb>104.08</fb>
    <v>13</v>
  </rv>
  <rv s="7">
    <fb>104.83</fb>
    <v>13</v>
  </rv>
  <rv s="7">
    <fb>103.18</fb>
    <v>13</v>
  </rv>
  <rv s="7">
    <fb>103.35</fb>
    <v>13</v>
  </rv>
  <rv s="7">
    <fb>105.01</fb>
    <v>13</v>
  </rv>
  <rv s="7">
    <fb>102.05</fb>
    <v>13</v>
  </rv>
  <rv s="7">
    <fb>104.53</fb>
    <v>13</v>
  </rv>
  <rv s="7">
    <fb>105.89</fb>
    <v>13</v>
  </rv>
  <rv s="7">
    <fb>104.67</fb>
    <v>13</v>
  </rv>
  <rv s="7">
    <fb>107.76</fb>
    <v>13</v>
  </rv>
  <rv s="7">
    <fb>105.88</fb>
    <v>13</v>
  </rv>
  <rv s="7">
    <fb>108.15</fb>
    <v>13</v>
  </rv>
  <rv s="7">
    <fb>107.68</fb>
    <v>13</v>
  </rv>
  <rv s="7">
    <fb>108.28</fb>
    <v>13</v>
  </rv>
  <rv s="7">
    <fb>109.99</fb>
    <v>13</v>
  </rv>
  <rv s="7">
    <fb>110.79</fb>
    <v>13</v>
  </rv>
  <rv s="7">
    <fb>111.5</fb>
    <v>13</v>
  </rv>
  <rv s="7">
    <fb>112.05</fb>
    <v>13</v>
  </rv>
  <rv s="7">
    <fb>110.6</fb>
    <v>13</v>
  </rv>
  <rv s="7">
    <fb>109.22</fb>
    <v>13</v>
  </rv>
  <rv s="7">
    <fb>107.57</fb>
    <v>13</v>
  </rv>
  <rv s="7">
    <fb>110.49</fb>
    <v>13</v>
  </rv>
  <rv s="7">
    <fb>107.4</fb>
    <v>13</v>
  </rv>
  <rv s="7">
    <fb>108.77</fb>
    <v>13</v>
  </rv>
  <rv s="7">
    <fb>108.74</fb>
    <v>13</v>
  </rv>
  <rv s="7">
    <fb>110.01</fb>
    <v>13</v>
  </rv>
  <rv s="7">
    <fb>110.2</fb>
    <v>13</v>
  </rv>
  <rv s="7">
    <fb>111.17</fb>
    <v>13</v>
  </rv>
  <rv s="7">
    <fb>111.58</fb>
    <v>13</v>
  </rv>
  <rv s="7">
    <fb>112.81</fb>
    <v>13</v>
  </rv>
  <rv s="7">
    <fb>112.38</fb>
    <v>13</v>
  </rv>
  <rv s="7">
    <fb>112.29</fb>
    <v>13</v>
  </rv>
  <rv s="7">
    <fb>111.28</fb>
    <v>13</v>
  </rv>
  <rv s="7">
    <fb>110.05</fb>
    <v>13</v>
  </rv>
  <rv s="7">
    <fb>109.16</fb>
    <v>13</v>
  </rv>
  <rv s="7">
    <fb>109.4</fb>
    <v>13</v>
  </rv>
  <rv s="7">
    <fb>111.63</fb>
    <v>13</v>
  </rv>
  <rv s="7">
    <fb>109.83</fb>
    <v>13</v>
  </rv>
  <rv s="7">
    <fb>110.41</fb>
    <v>13</v>
  </rv>
  <rv s="7">
    <fb>111.35</fb>
    <v>13</v>
  </rv>
  <rv s="7">
    <fb>112.31</fb>
    <v>13</v>
  </rv>
  <rv s="7">
    <fb>113.21</fb>
    <v>13</v>
  </rv>
  <rv s="7">
    <fb>113.3</fb>
    <v>13</v>
  </rv>
  <rv s="7">
    <fb>114.46</fb>
    <v>13</v>
  </rv>
  <rv s="7">
    <fb>116.54</fb>
    <v>13</v>
  </rv>
  <rv s="7">
    <fb>120.41</fb>
    <v>13</v>
  </rv>
  <rv s="7">
    <fb>120.15</fb>
    <v>13</v>
  </rv>
  <rv s="7">
    <fb>121.49</fb>
    <v>13</v>
  </rv>
  <rv s="7">
    <fb>123.21</fb>
    <v>13</v>
  </rv>
  <rv s="7">
    <fb>122.62</fb>
    <v>13</v>
  </rv>
  <rv s="7">
    <fb>123.75</fb>
    <v>13</v>
  </rv>
  <rv s="7">
    <fb>126.66</fb>
    <v>13</v>
  </rv>
  <rv s="7">
    <fb>125.68</fb>
    <v>13</v>
  </rv>
  <rv s="7">
    <fb>123.08</fb>
    <v>13</v>
  </rv>
  <rv s="7">
    <fb>120.43</fb>
    <v>13</v>
  </rv>
  <rv s="7">
    <fb>122.68</fb>
    <v>13</v>
  </rv>
  <rv s="7">
    <fb>123.95</fb>
    <v>13</v>
  </rv>
  <rv s="7">
    <fb>126.05</fb>
    <v>13</v>
  </rv>
  <rv s="7">
    <fb>123.98</fb>
    <v>13</v>
  </rv>
  <rv s="7">
    <fb>118.94</fb>
    <v>13</v>
  </rv>
  <rv s="7">
    <fb>121.99</fb>
    <v>13</v>
  </rv>
  <rv s="7">
    <fb>121.9</fb>
    <v>13</v>
  </rv>
  <rv s="7">
    <fb>119.99</fb>
    <v>13</v>
  </rv>
  <rv s="7">
    <fb>123.42</fb>
    <v>13</v>
  </rv>
  <rv s="7">
    <fb>124.77</fb>
    <v>13</v>
  </rv>
  <rv s="7">
    <fb>124.7</fb>
    <v>13</v>
  </rv>
  <rv s="7">
    <fb>124.15</fb>
    <v>13</v>
  </rv>
  <rv s="7">
    <fb>124.47</fb>
    <v>13</v>
  </rv>
  <rv s="7">
    <fb>125.98</fb>
    <v>13</v>
  </rv>
  <rv s="7">
    <fb>128.9</fb>
    <v>13</v>
  </rv>
  <rv s="7">
    <fb>128.94</fb>
    <v>13</v>
  </rv>
  <rv s="7">
    <fb>126.9</fb>
    <v>13</v>
  </rv>
  <rv s="7">
    <fb>125.33</fb>
    <v>13</v>
  </rv>
  <rv s="7">
    <fb>127.82</fb>
    <v>13</v>
  </rv>
  <rv s="7">
    <fb>128.37</fb>
    <v>13</v>
  </rv>
  <rv s="7">
    <fb>128.27000000000001</fb>
    <v>13</v>
  </rv>
  <rv s="7">
    <fb>127.41</fb>
    <v>13</v>
  </rv>
  <rv s="7">
    <fb>127.23</fb>
    <v>13</v>
  </rv>
  <rv s="7">
    <fb>130.25</fb>
    <v>13</v>
  </rv>
  <rv s="7">
    <fb>130.69</fb>
    <v>13</v>
  </rv>
  <rv s="7">
    <fb>129.97999999999999</fb>
    <v>13</v>
  </rv>
  <rv s="7">
    <fb>129.28</fb>
    <v>13</v>
  </rv>
  <rv s="7">
    <fb>128.87</fb>
    <v>13</v>
  </rv>
  <rv s="7">
    <fb>127.02</fb>
    <v>13</v>
  </rv>
  <rv s="7">
    <fb>125.47</fb>
    <v>13</v>
  </rv>
  <rv s="7">
    <fb>126.63</fb>
    <v>13</v>
  </rv>
  <rv s="7">
    <fb>126.68</fb>
    <v>13</v>
  </rv>
  <rv s="7">
    <fb>125.39</fb>
    <v>13</v>
  </rv>
  <rv s="7">
    <fb>125.23</fb>
    <v>13</v>
  </rv>
  <rv s="7">
    <fb>125.59</fb>
    <v>13</v>
  </rv>
  <rv s="7">
    <fb>126.28</fb>
    <v>13</v>
  </rv>
  <rv s="7">
    <fb>124.61</fb>
    <v>13</v>
  </rv>
  <rv s="7">
    <fb>124.18</fb>
    <v>13</v>
  </rv>
  <rv s="7">
    <fb>122.42</fb>
    <v>13</v>
  </rv>
  <rv s="7">
    <fb>120</fb>
    <v>13</v>
  </rv>
  <rv s="7">
    <fb>119.34</fb>
    <v>13</v>
  </rv>
  <rv s="7">
    <fb>118.84</fb>
    <v>13</v>
  </rv>
  <rv s="7">
    <fb>120.24</fb>
    <v>13</v>
  </rv>
  <rv s="7">
    <fb>120.46</fb>
    <v>13</v>
  </rv>
  <rv s="7">
    <fb>121.39</fb>
    <v>13</v>
  </rv>
  <rv s="7">
    <fb>126.97</fb>
    <v>13</v>
  </rv>
  <rv s="7">
    <fb>122.7</fb>
    <v>13</v>
  </rv>
  <rv s="7">
    <fb>122.5</fb>
    <v>13</v>
  </rv>
  <rv s="7">
    <fb>117.77</fb>
    <v>13</v>
  </rv>
  <rv s="7">
    <fb>120.83</fb>
    <v>13</v>
  </rv>
  <rv s="7">
    <fb>120.39</fb>
    <v>13</v>
  </rv>
  <rv s="7">
    <fb>117.54</fb>
    <v>13</v>
  </rv>
  <rv s="7">
    <fb>115.31</fb>
    <v>13</v>
  </rv>
  <rv s="7">
    <fb>115.87</fb>
    <v>13</v>
  </rv>
  <rv s="7">
    <fb>112.94</fb>
    <v>13</v>
  </rv>
  <rv s="7">
    <fb>113.4</fb>
    <v>13</v>
  </rv>
  <rv s="7">
    <fb>113.86</fb>
    <v>13</v>
  </rv>
  <rv s="7">
    <fb>114.43</fb>
    <v>13</v>
  </rv>
  <rv s="7">
    <fb>113.74</fb>
    <v>13</v>
  </rv>
  <rv s="7">
    <fb>114.21</fb>
    <v>13</v>
  </rv>
  <rv s="7">
    <fb>115.83</fb>
    <v>13</v>
  </rv>
  <rv s="7">
    <fb>114.1</fb>
    <v>13</v>
  </rv>
  <rv s="7">
    <fb>116.57</fb>
    <v>13</v>
  </rv>
  <rv s="7">
    <fb>114.75</fb>
    <v>13</v>
  </rv>
  <rv s="7">
    <fb>115.13</fb>
    <v>13</v>
  </rv>
  <rv s="7">
    <fb>118.07</fb>
    <v>13</v>
  </rv>
  <rv s="7">
    <fb>117.8</fb>
    <v>13</v>
  </rv>
  <rv s="7">
    <fb>116.4</fb>
    <v>13</v>
  </rv>
  <rv s="7">
    <fb>115.05</fb>
    <v>13</v>
  </rv>
  <rv s="7">
    <fb>112</fb>
    <v>13</v>
  </rv>
  <rv s="7">
    <fb>115.42</fb>
    <v>13</v>
  </rv>
  <rv s="7">
    <fb>113.15</fb>
    <v>13</v>
  </rv>
  <rv s="7">
    <fb>256.45</fb>
    <v>13</v>
  </rv>
  <rv s="7">
    <fb>257.32</fb>
    <v>13</v>
  </rv>
  <rv s="7">
    <fb>257.20999999999998</fb>
    <v>13</v>
  </rv>
  <rv s="7">
    <fb>261.60000000000002</fb>
    <v>13</v>
  </rv>
  <rv s="7">
    <fb>263.58999999999997</fb>
    <v>13</v>
  </rv>
  <rv s="7">
    <fb>264.33999999999997</fb>
    <v>13</v>
  </rv>
  <rv s="7">
    <fb>260.25</fb>
    <v>13</v>
  </rv>
  <rv s="7">
    <fb>267.25</fb>
    <v>13</v>
  </rv>
  <rv s="7">
    <fb>266.33999999999997</fb>
    <v>13</v>
  </rv>
  <rv s="7">
    <fb>266.22000000000003</fb>
    <v>13</v>
  </rv>
  <rv s="7">
    <fb>266.72000000000003</fb>
    <v>13</v>
  </rv>
  <rv s="7">
    <fb>265.58</fb>
    <v>13</v>
  </rv>
  <rv s="7">
    <fb>263.14</fb>
    <v>13</v>
  </rv>
  <rv s="7">
    <fb>256.13</fb>
    <v>13</v>
  </rv>
  <rv s="7">
    <fb>251.84</fb>
    <v>13</v>
  </rv>
  <rv s="7">
    <fb>251.24</fb>
    <v>13</v>
  </rv>
  <rv s="7">
    <fb>251.12</fb>
    <v>13</v>
  </rv>
  <rv s="7">
    <fb>260.87</fb>
    <v>13</v>
  </rv>
  <rv s="7">
    <fb>261.33999999999997</fb>
    <v>13</v>
  </rv>
  <rv s="7">
    <fb>264.13</fb>
    <v>13</v>
  </rv>
  <rv s="7">
    <fb>271.38</fb>
    <v>13</v>
  </rv>
  <rv s="7">
    <fb>271.93</fb>
    <v>13</v>
  </rv>
  <rv s="7">
    <fb>269.19</fb>
    <v>13</v>
  </rv>
  <rv s="7">
    <fb>271.44</fb>
    <v>13</v>
  </rv>
  <rv s="7">
    <fb>274.45999999999998</fb>
    <v>13</v>
  </rv>
  <rv s="7">
    <fb>280.88</fb>
    <v>13</v>
  </rv>
  <rv s="7">
    <fb>280.3</fb>
    <v>13</v>
  </rv>
  <rv s="7">
    <fb>276.77</fb>
    <v>13</v>
  </rv>
  <rv s="7">
    <fb>279.02999999999997</fb>
    <v>13</v>
  </rv>
  <rv s="7">
    <fb>279.94</fb>
    <v>13</v>
  </rv>
  <rv s="7">
    <fb>287.73</fb>
    <v>13</v>
  </rv>
  <rv s="7">
    <fb>281.08999999999997</fb>
    <v>13</v>
  </rv>
  <rv s="7">
    <fb>283.8</fb>
    <v>13</v>
  </rv>
  <rv s="7">
    <fb>285.66000000000003</fb>
    <v>13</v>
  </rv>
  <rv s="7">
    <fb>288.11</fb>
    <v>13</v>
  </rv>
  <rv s="7">
    <fb>285.83</fb>
    <v>13</v>
  </rv>
  <rv s="7">
    <fb>288.83999999999997</fb>
    <v>13</v>
  </rv>
  <rv s="7">
    <fb>291.95</fb>
    <v>13</v>
  </rv>
  <rv s="7">
    <fb>291.3</fb>
    <v>13</v>
  </rv>
  <rv s="7">
    <fb>287.32</fb>
    <v>13</v>
  </rv>
  <rv s="7">
    <fb>281.14999999999998</fb>
    <v>13</v>
  </rv>
  <rv s="7">
    <fb>289.14999999999998</fb>
    <v>13</v>
  </rv>
  <rv s="7">
    <fb>291.94</fb>
    <v>13</v>
  </rv>
  <rv s="7">
    <fb>289.72000000000003</fb>
    <v>13</v>
  </rv>
  <rv s="7">
    <fb>286.39</fb>
    <v>13</v>
  </rv>
  <rv s="7">
    <fb>283.55</fb>
    <v>13</v>
  </rv>
  <rv s="7">
    <fb>293.64999999999998</fb>
    <v>13</v>
  </rv>
  <rv s="7">
    <fb>292.8</fb>
    <v>13</v>
  </rv>
  <rv s="7">
    <fb>300.39</fb>
    <v>13</v>
  </rv>
  <rv s="7">
    <fb>299.5</fb>
    <v>13</v>
  </rv>
  <rv s="7">
    <fb>299.77</fb>
    <v>13</v>
  </rv>
  <rv s="7">
    <fb>308.82</fb>
    <v>13</v>
  </rv>
  <rv s="7">
    <fb>316.88</fb>
    <v>13</v>
  </rv>
  <rv s="7">
    <fb>314.64</fb>
    <v>13</v>
  </rv>
  <rv s="7">
    <fb>298.75</fb>
    <v>13</v>
  </rv>
  <rv s="7">
    <fb>303.77</fb>
    <v>13</v>
  </rv>
  <rv s="7">
    <fb>302.42</fb>
    <v>13</v>
  </rv>
  <rv s="7">
    <fb>305.27999999999997</fb>
    <v>13</v>
  </rv>
  <rv s="7">
    <fb>306</fb>
    <v>13</v>
  </rv>
  <rv s="7">
    <fb>306.62</fb>
    <v>13</v>
  </rv>
  <rv s="7">
    <fb>304.68</fb>
    <v>13</v>
  </rv>
  <rv s="7">
    <fb>303.32</fb>
    <v>13</v>
  </rv>
  <rv s="7">
    <fb>294.33</fb>
    <v>13</v>
  </rv>
  <rv s="7">
    <fb>300.51</fb>
    <v>13</v>
  </rv>
  <rv s="7">
    <fb>301.45</fb>
    <v>13</v>
  </rv>
  <rv s="7">
    <fb>306.08</fb>
    <v>13</v>
  </rv>
  <rv s="7">
    <fb>308.39</fb>
    <v>13</v>
  </rv>
  <rv s="7">
    <fb>307.77</fb>
    <v>13</v>
  </rv>
  <rv s="7">
    <fb>306.06</fb>
    <v>13</v>
  </rv>
  <rv s="7">
    <fb>305.83</fb>
    <v>13</v>
  </rv>
  <rv s="7">
    <fb>301.38</fb>
    <v>13</v>
  </rv>
  <rv s="7">
    <fb>301.18</fb>
    <v>13</v>
  </rv>
  <rv s="7">
    <fb>302.26</fb>
    <v>13</v>
  </rv>
  <rv s="7">
    <fb>304</fb>
    <v>13</v>
  </rv>
  <rv s="7">
    <fb>304.74</fb>
    <v>13</v>
  </rv>
  <rv s="7">
    <fb>294.14</fb>
    <v>13</v>
  </rv>
  <rv s="7">
    <fb>301.91000000000003</fb>
    <v>13</v>
  </rv>
  <rv s="7">
    <fb>301.73</fb>
    <v>13</v>
  </rv>
  <rv s="7">
    <fb>302.37</fb>
    <v>13</v>
  </rv>
  <rv s="7">
    <fb>299.62</fb>
    <v>13</v>
  </rv>
  <rv s="7">
    <fb>299.14999999999998</fb>
    <v>13</v>
  </rv>
  <rv s="7">
    <fb>294.32</fb>
    <v>13</v>
  </rv>
  <rv s="7">
    <fb>272.89999999999998</fb>
    <v>13</v>
  </rv>
  <rv s="7">
    <fb>277.41000000000003</fb>
    <v>13</v>
  </rv>
  <rv s="7">
    <fb>276.32</fb>
    <v>13</v>
  </rv>
  <rv s="7">
    <fb>271.92</fb>
    <v>13</v>
  </rv>
  <rv s="7">
    <fb>270.37</fb>
    <v>13</v>
  </rv>
  <rv s="7">
    <fb>273.81</fb>
    <v>13</v>
  </rv>
  <rv s="7">
    <fb>276.68</fb>
    <v>13</v>
  </rv>
  <rv s="7">
    <fb>276.19</fb>
    <v>13</v>
  </rv>
  <rv s="7">
    <fb>273.14</fb>
    <v>13</v>
  </rv>
  <rv s="7">
    <fb>274.29000000000002</fb>
    <v>13</v>
  </rv>
  <rv s="7">
    <fb>275.74</fb>
    <v>13</v>
  </rv>
  <rv s="7">
    <fb>268.94</fb>
    <v>13</v>
  </rv>
  <rv s="7">
    <fb>268.69</fb>
    <v>13</v>
  </rv>
  <rv s="7">
    <fb>272.13</fb>
    <v>13</v>
  </rv>
  <rv s="7">
    <fb>273.66000000000003</fb>
    <v>13</v>
  </rv>
  <rv s="7">
    <fb>275.63</fb>
    <v>13</v>
  </rv>
  <rv s="7">
    <fb>278.97000000000003</fb>
    <v>13</v>
  </rv>
  <rv s="7">
    <fb>275.17</fb>
    <v>13</v>
  </rv>
  <rv s="7">
    <fb>276.67</fb>
    <v>13</v>
  </rv>
  <rv s="7">
    <fb>277.52</fb>
    <v>13</v>
  </rv>
  <rv s="7">
    <fb>276.8</fb>
    <v>13</v>
  </rv>
  <rv s="7">
    <fb>287.54000000000002</fb>
    <v>13</v>
  </rv>
  <rv s="7">
    <fb>284.68</fb>
    <v>13</v>
  </rv>
  <rv s="7">
    <fb>285.61</fb>
    <v>13</v>
  </rv>
  <rv s="7">
    <fb>287.07</fb>
    <v>13</v>
  </rv>
  <rv s="7">
    <fb>283.76</fb>
    <v>13</v>
  </rv>
  <rv s="7">
    <fb>283.82</fb>
    <v>13</v>
  </rv>
  <rv s="7">
    <fb>278.57</fb>
    <v>13</v>
  </rv>
  <rv s="7">
    <fb>272.29000000000002</fb>
    <v>13</v>
  </rv>
  <rv s="7">
    <fb>269.83</fb>
    <v>13</v>
  </rv>
  <rv s="7">
    <fb>271.62</fb>
    <v>13</v>
  </rv>
  <rv s="7">
    <fb>234.44</fb>
    <v>13</v>
  </rv>
  <rv s="7">
    <fb>236.62</fb>
    <v>13</v>
  </rv>
  <rv s="7">
    <fb>234.86</fb>
    <v>13</v>
  </rv>
  <rv s="7">
    <fb>236.53</fb>
    <v>13</v>
  </rv>
  <rv s="7">
    <fb>242.76</fb>
    <v>13</v>
  </rv>
  <rv s="7">
    <fb>241.85</fb>
    <v>13</v>
  </rv>
  <rv s="7">
    <fb>241.84</fb>
    <v>13</v>
  </rv>
  <rv s="7">
    <fb>240.99</fb>
    <v>13</v>
  </rv>
  <rv s="7">
    <fb>235.8</fb>
    <v>13</v>
  </rv>
  <rv s="7">
    <fb>229.03</fb>
    <v>13</v>
  </rv>
  <rv s="7">
    <fb>231.94</fb>
    <v>13</v>
  </rv>
  <rv s="7">
    <fb>230.48</fb>
    <v>13</v>
  </rv>
  <rv s="7">
    <fb>231.81</fb>
    <v>13</v>
  </rv>
  <rv s="7">
    <fb>241.8</fb>
    <v>13</v>
  </rv>
  <rv s="7">
    <fb>245.06</fb>
    <v>13</v>
  </rv>
  <rv s="7">
    <fb>239.94</fb>
    <v>13</v>
  </rv>
  <rv s="7">
    <fb>241.76</fb>
    <v>13</v>
  </rv>
  <rv s="7">
    <fb>243.15</fb>
    <v>13</v>
  </rv>
  <rv s="7">
    <fb>252.85</fb>
    <v>13</v>
  </rv>
  <rv s="7">
    <fb>257.10000000000002</fb>
    <v>13</v>
  </rv>
  <rv s="7">
    <fb>256.19</fb>
    <v>13</v>
  </rv>
  <rv s="7">
    <fb>260.95</fb>
    <v>13</v>
  </rv>
  <rv s="7">
    <fb>263.19</fb>
    <v>13</v>
  </rv>
  <rv s="7">
    <fb>257.37</fb>
    <v>13</v>
  </rv>
  <rv s="7">
    <fb>252.43</fb>
    <v>13</v>
  </rv>
  <rv s="7">
    <fb>252.59</fb>
    <v>13</v>
  </rv>
  <rv s="7">
    <fb>253.97</fb>
    <v>13</v>
  </rv>
  <rv s="7">
    <fb>252.86</fb>
    <v>13</v>
  </rv>
  <rv s="7">
    <fb>256.02999999999997</fb>
    <v>13</v>
  </rv>
  <rv s="7">
    <fb>251.22</fb>
    <v>13</v>
  </rv>
  <rv s="7">
    <fb>247.35</fb>
    <v>13</v>
  </rv>
  <rv s="7">
    <fb>247.63</fb>
    <v>13</v>
  </rv>
  <rv s="7">
    <fb>254.08</fb>
    <v>13</v>
  </rv>
  <rv s="7">
    <fb>256.06</fb>
    <v>13</v>
  </rv>
  <rv s="7">
    <fb>249.78</fb>
    <v>13</v>
  </rv>
  <rv s="7">
    <fb>256.52</fb>
    <v>13</v>
  </rv>
  <rv s="7">
    <fb>262.70999999999998</fb>
    <v>13</v>
  </rv>
  <rv s="7">
    <fb>258.58999999999997</fb>
    <v>13</v>
  </rv>
  <rv s="7">
    <fb>258.8</fb>
    <v>13</v>
  </rv>
  <rv s="7">
    <fb>253.06</fb>
    <v>13</v>
  </rv>
  <rv s="7">
    <fb>243.97</fb>
    <v>13</v>
  </rv>
  <rv s="7">
    <fb>239.01</fb>
    <v>13</v>
  </rv>
  <rv s="7">
    <fb>238.42</fb>
    <v>13</v>
  </rv>
  <rv s="7">
    <fb>240.04</fb>
    <v>13</v>
  </rv>
  <rv s="7">
    <fb>249.12</fb>
    <v>13</v>
  </rv>
  <rv s="7">
    <fb>252.53</fb>
    <v>13</v>
  </rv>
  <rv s="7">
    <fb>251.31</fb>
    <v>13</v>
  </rv>
  <rv s="7">
    <fb>254.6</fb>
    <v>13</v>
  </rv>
  <rv s="7">
    <fb>255.32</fb>
    <v>13</v>
  </rv>
  <rv s="7">
    <fb>262.79000000000002</fb>
    <v>13</v>
  </rv>
  <rv s="7">
    <fb>262.91000000000003</fb>
    <v>13</v>
  </rv>
  <rv s="7">
    <fb>265.38</fb>
    <v>13</v>
  </rv>
  <rv s="7">
    <fb>261.83999999999997</fb>
    <v>13</v>
  </rv>
  <rv s="7">
    <fb>261.08999999999997</fb>
    <v>13</v>
  </rv>
  <rv s="7">
    <fb>264</fb>
    <v>13</v>
  </rv>
  <rv s="7">
    <fb>265.27999999999997</fb>
    <v>13</v>
  </rv>
  <rv s="7">
    <fb>264.2</fb>
    <v>13</v>
  </rv>
  <rv s="7">
    <fb>258.89999999999998</fb>
    <v>13</v>
  </rv>
  <rv s="7">
    <fb>257.01</fb>
    <v>13</v>
  </rv>
  <rv s="7">
    <fb>252.9</fb>
    <v>13</v>
  </rv>
  <rv s="7">
    <fb>248.06</fb>
    <v>13</v>
  </rv>
  <rv s="7">
    <fb>247.68</fb>
    <v>13</v>
  </rv>
  <rv s="7">
    <fb>246.12</fb>
    <v>13</v>
  </rv>
  <rv s="7">
    <fb>245.76</fb>
    <v>13</v>
  </rv>
  <rv s="7">
    <fb>246.16</fb>
    <v>13</v>
  </rv>
  <rv s="7">
    <fb>249.57</fb>
    <v>13</v>
  </rv>
  <rv s="7">
    <fb>254.57</fb>
    <v>13</v>
  </rv>
  <rv s="7">
    <fb>256.91000000000003</fb>
    <v>13</v>
  </rv>
  <rv s="7">
    <fb>255.19</fb>
    <v>13</v>
  </rv>
  <rv s="7">
    <fb>265.99</fb>
    <v>13</v>
  </rv>
  <rv s="7">
    <fb>266.8</fb>
    <v>13</v>
  </rv>
  <rv s="7">
    <fb>264.20999999999998</fb>
    <v>13</v>
  </rv>
  <rv s="7">
    <fb>270.44</fb>
    <v>13</v>
  </rv>
  <rv s="7">
    <fb>274.08999999999997</fb>
    <v>13</v>
  </rv>
  <rv s="7">
    <fb>276.64</fb>
    <v>13</v>
  </rv>
  <rv s="7">
    <fb>273.70999999999998</fb>
    <v>13</v>
  </rv>
  <rv s="7">
    <fb>270.87</fb>
    <v>13</v>
  </rv>
  <rv s="7">
    <fb>279.48</fb>
    <v>13</v>
  </rv>
  <rv s="7">
    <fb>280.91000000000003</fb>
    <v>13</v>
  </rv>
  <rv s="7">
    <fb>287.75</fb>
    <v>13</v>
  </rv>
  <rv s="7">
    <fb>284.57</fb>
    <v>13</v>
  </rv>
  <rv s="7">
    <fb>291.57</fb>
    <v>13</v>
  </rv>
  <rv s="7">
    <fb>287.92</fb>
    <v>13</v>
  </rv>
  <rv s="7">
    <fb>290.17</fb>
    <v>13</v>
  </rv>
  <rv s="7">
    <fb>288.10000000000002</fb>
    <v>13</v>
  </rv>
  <rv s="7">
    <fb>291.64</fb>
    <v>13</v>
  </rv>
  <rv s="7">
    <fb>288.35000000000002</fb>
    <v>13</v>
  </rv>
  <rv s="7">
    <fb>290.86</fb>
    <v>13</v>
  </rv>
  <rv s="7">
    <fb>292.94</fb>
    <v>13</v>
  </rv>
  <rv s="7">
    <fb>288.33</fb>
    <v>13</v>
  </rv>
  <rv s="7">
    <fb>284.43</fb>
    <v>13</v>
  </rv>
  <rv s="7">
    <fb>286.76</fb>
    <v>13</v>
  </rv>
  <rv s="7">
    <fb>290.45999999999998</fb>
    <v>13</v>
  </rv>
  <rv s="7">
    <fb>293.77</fb>
    <v>13</v>
  </rv>
  <rv s="7">
    <fb>298.89</fb>
    <v>13</v>
  </rv>
  <rv s="7">
    <fb>296.39999999999998</fb>
    <v>13</v>
  </rv>
  <rv s="7">
    <fb>291.37</fb>
    <v>13</v>
  </rv>
  <rv s="7">
    <fb>294.72000000000003</fb>
    <v>13</v>
  </rv>
  <rv s="7">
    <fb>298.01</fb>
    <v>13</v>
  </rv>
  <rv s="7">
    <fb>297.49</fb>
    <v>13</v>
  </rv>
  <rv s="7">
    <fb>306.89999999999998</fb>
    <v>13</v>
  </rv>
  <rv s="7">
    <fb>310.77999999999997</fb>
    <v>13</v>
  </rv>
  <rv s="7">
    <fb>321.95</fb>
    <v>13</v>
  </rv>
  <rv s="7">
    <fb>341.73</fb>
    <v>13</v>
  </rv>
  <rv s="7">
    <fb>341.15</fb>
    <v>13</v>
  </rv>
  <rv s="7">
    <fb>341.72</fb>
    <v>13</v>
  </rv>
  <rv s="7">
    <fb>331.65</fb>
    <v>13</v>
  </rv>
  <rv s="7">
    <fb>325.26</fb>
    <v>13</v>
  </rv>
  <rv s="7">
    <fb>322.25</fb>
    <v>13</v>
  </rv>
  <rv s="7">
    <fb>323.43</fb>
    <v>13</v>
  </rv>
  <rv s="7">
    <fb>325.7</fb>
    <v>13</v>
  </rv>
  <rv s="7">
    <fb>335.78</fb>
    <v>13</v>
  </rv>
  <rv s="7">
    <fb>342.02</fb>
    <v>13</v>
  </rv>
  <rv s="7">
    <fb>339.11</fb>
    <v>13</v>
  </rv>
  <rv s="7">
    <fb>343.18</fb>
    <v>13</v>
  </rv>
  <rv s="7">
    <fb>330.01</fb>
    <v>13</v>
  </rv>
  <rv s="7">
    <fb>329.99</fb>
    <v>13</v>
  </rv>
  <rv s="7">
    <fb>331.01</fb>
    <v>13</v>
  </rv>
  <rv s="7">
    <fb>331.43</fb>
    <v>13</v>
  </rv>
  <rv s="7">
    <fb>367.87</fb>
    <v>13</v>
  </rv>
  <rv s="7">
    <fb>361.38</fb>
    <v>13</v>
  </rv>
  <rv s="7">
    <fb>361.99</fb>
    <v>13</v>
  </rv>
  <rv s="7">
    <fb>351.57</fb>
    <v>13</v>
  </rv>
  <rv s="7">
    <fb>348.82</fb>
    <v>13</v>
  </rv>
  <rv s="7">
    <fb>98.15</fb>
    <v>13</v>
  </rv>
  <rv s="7">
    <fb>96.75</fb>
    <v>13</v>
  </rv>
  <rv s="7">
    <fb>96.56</fb>
    <v>13</v>
  </rv>
  <rv s="7">
    <fb>97.72</fb>
    <v>13</v>
  </rv>
  <rv s="7">
    <fb>94.71</fb>
    <v>13</v>
  </rv>
  <rv s="7">
    <fb>95.33</fb>
    <v>13</v>
  </rv>
  <rv s="7">
    <fb>95.28</fb>
    <v>13</v>
  </rv>
  <rv s="7">
    <fb>95.67</fb>
    <v>13</v>
  </rv>
  <rv s="7">
    <fb>95.29</fb>
    <v>13</v>
  </rv>
  <rv s="7">
    <fb>95.93</fb>
    <v>13</v>
  </rv>
  <rv s="7">
    <fb>96.01</fb>
    <v>13</v>
  </rv>
  <rv s="7">
    <fb>93.67</fb>
    <v>13</v>
  </rv>
  <rv s="7">
    <fb>93.23</fb>
    <v>13</v>
  </rv>
  <rv s="7">
    <fb>93.55</fb>
    <v>13</v>
  </rv>
  <rv s="7">
    <fb>92.99</fb>
    <v>13</v>
  </rv>
  <rv s="7">
    <fb>93.09</fb>
    <v>13</v>
  </rv>
  <rv s="7">
    <fb>92.94</fb>
    <v>13</v>
  </rv>
  <rv s="7">
    <fb>91.98</fb>
    <v>13</v>
  </rv>
  <rv s="7">
    <fb>93.34</fb>
    <v>13</v>
  </rv>
  <rv s="7">
    <fb>93.07</fb>
    <v>13</v>
  </rv>
  <rv s="7">
    <fb>91.97</fb>
    <v>13</v>
  </rv>
  <rv s="7">
    <fb>92.04</fb>
    <v>13</v>
  </rv>
  <rv s="7">
    <fb>92.61</fb>
    <v>13</v>
  </rv>
  <rv s="7">
    <fb>92.8</fb>
    <v>13</v>
  </rv>
  <rv s="7">
    <fb>93.8</fb>
    <v>13</v>
  </rv>
  <rv s="7">
    <fb>93.03</fb>
    <v>13</v>
  </rv>
  <rv s="7">
    <fb>93.37</fb>
    <v>13</v>
  </rv>
  <rv s="7">
    <fb>92.51</fb>
    <v>13</v>
  </rv>
  <rv s="7">
    <fb>95.31</fb>
    <v>13</v>
  </rv>
  <rv s="7">
    <fb>97.3</fb>
    <v>13</v>
  </rv>
  <rv s="7">
    <fb>95.47</fb>
    <v>13</v>
  </rv>
  <rv s="7">
    <fb>93.87</fb>
    <v>13</v>
  </rv>
  <rv s="7">
    <fb>94.07</fb>
    <v>13</v>
  </rv>
  <rv s="7">
    <fb>93.22</fb>
    <v>13</v>
  </rv>
  <rv s="7">
    <fb>93.46</fb>
    <v>13</v>
  </rv>
  <rv s="7">
    <fb>95.02</fb>
    <v>13</v>
  </rv>
  <rv s="7">
    <fb>95.78</fb>
    <v>13</v>
  </rv>
  <rv s="7">
    <fb>95.62</fb>
    <v>13</v>
  </rv>
  <rv s="7">
    <fb>94.28</fb>
    <v>13</v>
  </rv>
  <rv s="7">
    <fb>94.9</fb>
    <v>13</v>
  </rv>
  <rv s="7">
    <fb>93.16</fb>
    <v>13</v>
  </rv>
  <rv s="7">
    <fb>92.46</fb>
    <v>13</v>
  </rv>
  <rv s="7">
    <fb>91.22</fb>
    <v>13</v>
  </rv>
  <rv s="7">
    <fb>91.06</fb>
    <v>13</v>
  </rv>
  <rv s="7">
    <fb>92.4</fb>
    <v>13</v>
  </rv>
  <rv s="7">
    <fb>91.61</fb>
    <v>13</v>
  </rv>
  <rv s="7">
    <fb>91.66</fb>
    <v>13</v>
  </rv>
  <rv s="7">
    <fb>90.12</fb>
    <v>13</v>
  </rv>
  <rv s="7">
    <fb>91.01</fb>
    <v>13</v>
  </rv>
  <rv s="7">
    <fb>91.59</fb>
    <v>13</v>
  </rv>
  <rv s="7">
    <fb>92.6</fb>
    <v>13</v>
  </rv>
  <rv s="7">
    <fb>90.71</fb>
    <v>13</v>
  </rv>
  <rv s="7">
    <fb>90.67</fb>
    <v>13</v>
  </rv>
  <rv s="7">
    <fb>90.36</fb>
    <v>13</v>
  </rv>
  <rv s="7">
    <fb>91.5</fb>
    <v>13</v>
  </rv>
  <rv s="7">
    <fb>91.39</fb>
    <v>13</v>
  </rv>
  <rv s="7">
    <fb>91.53</fb>
    <v>13</v>
  </rv>
  <rv s="7">
    <fb>89.3</fb>
    <v>13</v>
  </rv>
  <rv s="7">
    <fb>86.85</fb>
    <v>13</v>
  </rv>
  <rv s="7">
    <fb>87.19</fb>
    <v>13</v>
  </rv>
  <rv s="7">
    <fb>87.13</fb>
    <v>13</v>
  </rv>
  <rv s="7">
    <fb>85.95</fb>
    <v>13</v>
  </rv>
  <rv s="7">
    <fb>85.9</fb>
    <v>13</v>
  </rv>
  <rv s="7">
    <fb>84.92</fb>
    <v>13</v>
  </rv>
  <rv s="7">
    <fb>85.17</fb>
    <v>13</v>
  </rv>
  <rv s="7">
    <fb>85.42</fb>
    <v>13</v>
  </rv>
  <rv s="7">
    <fb>86.21</fb>
    <v>13</v>
  </rv>
  <rv s="7">
    <fb>87.15</fb>
    <v>13</v>
  </rv>
  <rv s="7">
    <fb>87.61</fb>
    <v>13</v>
  </rv>
  <rv s="7">
    <fb>88.18</fb>
    <v>13</v>
  </rv>
  <rv s="7">
    <fb>87.87</fb>
    <v>13</v>
  </rv>
  <rv s="7">
    <fb>88.75</fb>
    <v>13</v>
  </rv>
  <rv s="7">
    <fb>87.84</fb>
    <v>13</v>
  </rv>
  <rv s="7">
    <fb>88.25</fb>
    <v>13</v>
  </rv>
  <rv s="7">
    <fb>88.33</fb>
    <v>13</v>
  </rv>
  <rv s="7">
    <fb>88.49</fb>
    <v>13</v>
  </rv>
  <rv s="7">
    <fb>74.44</fb>
    <v>13</v>
  </rv>
  <rv s="7">
    <fb>74.930000000000007</fb>
    <v>13</v>
  </rv>
  <rv s="7">
    <fb>73.11</fb>
    <v>13</v>
  </rv>
  <rv s="7">
    <fb>72.900000000000006</fb>
    <v>13</v>
  </rv>
  <rv s="7">
    <fb>76.180000000000007</fb>
    <v>13</v>
  </rv>
  <rv s="7">
    <fb>75.63</fb>
    <v>13</v>
  </rv>
  <rv s="7">
    <fb>75.7</fb>
    <v>13</v>
  </rv>
  <rv s="7">
    <fb>75.28</fb>
    <v>13</v>
  </rv>
  <rv s="7">
    <fb>77.849999999999994</fb>
    <v>13</v>
  </rv>
  <rv s="7">
    <fb>77.540000000000006</fb>
    <v>13</v>
  </rv>
  <rv s="7">
    <fb>77.72</fb>
    <v>13</v>
  </rv>
  <rv s="7">
    <fb>80.72</fb>
    <v>13</v>
  </rv>
  <rv s="7">
    <fb>78.305000000000007</fb>
    <v>13</v>
  </rv>
  <rv s="7">
    <fb>78.87</fb>
    <v>13</v>
  </rv>
  <rv s="7">
    <fb>77.48</fb>
    <v>13</v>
  </rv>
  <rv s="7">
    <fb>76.88</fb>
    <v>13</v>
  </rv>
  <rv s="7">
    <fb>78.760000000000005</fb>
    <v>13</v>
  </rv>
  <rv s="7">
    <fb>80.22</fb>
    <v>13</v>
  </rv>
  <rv s="7">
    <fb>82.08</fb>
    <v>13</v>
  </rv>
  <rv s="7">
    <fb>81.47</fb>
    <v>13</v>
  </rv>
  <rv s="7">
    <fb>81.430000000000007</fb>
    <v>13</v>
  </rv>
  <rv s="7">
    <fb>79.89</fb>
    <v>13</v>
  </rv>
  <rv s="7">
    <fb>79.38</fb>
    <v>13</v>
  </rv>
  <rv s="7">
    <fb>80.239999999999995</fb>
    <v>13</v>
  </rv>
  <rv s="7">
    <fb>81.33</fb>
    <v>13</v>
  </rv>
  <rv s="7">
    <fb>80.2</fb>
    <v>13</v>
  </rv>
  <rv s="7">
    <fb>79.72</fb>
    <v>13</v>
  </rv>
  <rv s="7">
    <fb>79.91</fb>
    <v>13</v>
  </rv>
  <rv s="7">
    <fb>79.73</fb>
    <v>13</v>
  </rv>
  <rv s="7">
    <fb>79.28</fb>
    <v>13</v>
  </rv>
  <rv s="7">
    <fb>79.150000000000006</fb>
    <v>13</v>
  </rv>
  <rv s="7">
    <fb>79.234999999999999</fb>
    <v>13</v>
  </rv>
  <rv s="7">
    <fb>76.260000000000005</fb>
    <v>13</v>
  </rv>
  <rv s="7">
    <fb>76.05</fb>
    <v>13</v>
  </rv>
  <rv s="7">
    <fb>74.569999999999993</fb>
    <v>13</v>
  </rv>
  <rv s="7">
    <fb>72.75</fb>
    <v>13</v>
  </rv>
  <rv s="7">
    <fb>72.510000000000005</fb>
    <v>13</v>
  </rv>
  <rv s="7">
    <fb>73.3</fb>
    <v>13</v>
  </rv>
  <rv s="7">
    <fb>74.83</fb>
    <v>13</v>
  </rv>
  <rv s="7">
    <fb>75.510000000000005</fb>
    <v>13</v>
  </rv>
  <rv s="7">
    <fb>79.27</fb>
    <v>13</v>
  </rv>
  <rv s="7">
    <fb>76.55</fb>
    <v>13</v>
  </rv>
  <rv s="7">
    <fb>74.680000000000007</fb>
    <v>13</v>
  </rv>
  <rv s="7">
    <fb>73.319999999999993</fb>
    <v>13</v>
  </rv>
  <rv s="7">
    <fb>74.05</fb>
    <v>13</v>
  </rv>
  <rv s="7">
    <fb>75.2</fb>
    <v>13</v>
  </rv>
  <rv s="7">
    <fb>75.94</fb>
    <v>13</v>
  </rv>
  <rv s="7">
    <fb>77.95</fb>
    <v>13</v>
  </rv>
  <rv s="7">
    <fb>75.11</fb>
    <v>13</v>
  </rv>
  <rv s="7">
    <fb>73.86</fb>
    <v>13</v>
  </rv>
  <rv s="7">
    <fb>75.290000000000006</fb>
    <v>13</v>
  </rv>
  <rv s="7">
    <fb>75.75</fb>
    <v>13</v>
  </rv>
  <rv s="7">
    <fb>75.09</fb>
    <v>13</v>
  </rv>
  <rv s="7">
    <fb>77.03</fb>
    <v>13</v>
  </rv>
  <rv s="7">
    <fb>95.9</fb>
    <v>13</v>
  </rv>
  <rv s="7">
    <fb>94.88</fb>
    <v>13</v>
  </rv>
  <rv s="7">
    <fb>94.81</fb>
    <v>13</v>
  </rv>
  <rv s="7">
    <fb>92.3</fb>
    <v>13</v>
  </rv>
  <rv s="7">
    <fb>93.01</fb>
    <v>13</v>
  </rv>
  <rv s="7">
    <fb>92.43</fb>
    <v>13</v>
  </rv>
  <rv s="7">
    <fb>95.63</fb>
    <v>13</v>
  </rv>
  <rv s="7">
    <fb>98.6</fb>
    <v>13</v>
  </rv>
  <rv s="7">
    <fb>95.3</fb>
    <v>13</v>
  </rv>
  <rv s="7">
    <fb>94.86</fb>
    <v>13</v>
  </rv>
  <rv s="7">
    <fb>94.57</fb>
    <v>13</v>
  </rv>
  <rv s="7">
    <fb>93.18</fb>
    <v>13</v>
  </rv>
  <rv s="7">
    <fb>92.33</fb>
    <v>13</v>
  </rv>
  <rv s="7">
    <fb>91.56</fb>
    <v>13</v>
  </rv>
  <rv s="7">
    <fb>91.15</fb>
    <v>13</v>
  </rv>
  <rv s="7">
    <fb>92.21</fb>
    <v>13</v>
  </rv>
  <rv s="7">
    <fb>98.2</fb>
    <v>13</v>
  </rv>
  <rv s="7">
    <fb>99.28</fb>
    <v>13</v>
  </rv>
  <rv s="7">
    <fb>98.57</fb>
    <v>13</v>
  </rv>
  <rv s="7">
    <fb>96.31</fb>
    <v>13</v>
  </rv>
  <rv s="7">
    <fb>96.44</fb>
    <v>13</v>
  </rv>
  <rv s="7">
    <fb>96.12</fb>
    <v>13</v>
  </rv>
  <rv s="7">
    <fb>96.9</fb>
    <v>13</v>
  </rv>
  <rv s="7">
    <fb>96.05</fb>
    <v>13</v>
  </rv>
  <rv s="7">
    <fb>95.48</fb>
    <v>13</v>
  </rv>
  <rv s="7">
    <fb>94.45</fb>
    <v>13</v>
  </rv>
  <rv s="7">
    <fb>97.47</fb>
    <v>13</v>
  </rv>
  <rv s="7">
    <fb>97.36</fb>
    <v>13</v>
  </rv>
  <rv s="7">
    <fb>97.49</fb>
    <v>13</v>
  </rv>
  <rv s="7">
    <fb>97.43</fb>
    <v>13</v>
  </rv>
  <rv s="7">
    <fb>96.5</fb>
    <v>13</v>
  </rv>
  <rv s="7">
    <fb>95.56</fb>
    <v>13</v>
  </rv>
  <rv s="7">
    <fb>96.09</fb>
    <v>13</v>
  </rv>
  <rv s="7">
    <fb>96.21</fb>
    <v>13</v>
  </rv>
  <rv s="7">
    <fb>95.88</fb>
    <v>13</v>
  </rv>
  <rv s="7">
    <fb>93.88</fb>
    <v>13</v>
  </rv>
  <rv s="7">
    <fb>95.55</fb>
    <v>13</v>
  </rv>
  <rv s="7">
    <fb>94.76</fb>
    <v>13</v>
  </rv>
  <rv s="7">
    <fb>95.04</fb>
    <v>13</v>
  </rv>
  <rv s="7">
    <fb>95.46</fb>
    <v>13</v>
  </rv>
  <rv s="7">
    <fb>95.27</fb>
    <v>13</v>
  </rv>
  <rv s="7">
    <fb>96.84</fb>
    <v>13</v>
  </rv>
  <rv s="7">
    <fb>96.45</fb>
    <v>13</v>
  </rv>
  <rv s="7">
    <fb>97.65</fb>
    <v>13</v>
  </rv>
  <rv s="7">
    <fb>97.15</fb>
    <v>13</v>
  </rv>
  <rv s="7">
    <fb>97.31</fb>
    <v>13</v>
  </rv>
  <rv s="7">
    <fb>98.02</fb>
    <v>13</v>
  </rv>
  <rv s="7">
    <fb>97.39</fb>
    <v>13</v>
  </rv>
  <rv s="7">
    <fb>97.32</fb>
    <v>13</v>
  </rv>
  <rv s="7">
    <fb>97.7</fb>
    <v>13</v>
  </rv>
  <rv s="7">
    <fb>98.87</fb>
    <v>13</v>
  </rv>
  <rv s="7">
    <fb>97.09</fb>
    <v>13</v>
  </rv>
  <rv s="7">
    <fb>96.08</fb>
    <v>13</v>
  </rv>
  <rv s="7">
    <fb>97.55</fb>
    <v>13</v>
  </rv>
  <rv s="7">
    <fb>98.8</fb>
    <v>13</v>
  </rv>
  <rv s="7">
    <fb>99.8</fb>
    <v>13</v>
  </rv>
  <rv s="7">
    <fb>99.23</fb>
    <v>13</v>
  </rv>
  <rv s="7">
    <fb>98.42</fb>
    <v>13</v>
  </rv>
  <rv s="7">
    <fb>100.4</fb>
    <v>13</v>
  </rv>
  <rv s="7">
    <fb>98.35</fb>
    <v>13</v>
  </rv>
  <rv s="7">
    <fb>98.26</fb>
    <v>13</v>
  </rv>
  <rv s="7">
    <fb>100.06</fb>
    <v>13</v>
  </rv>
  <rv s="7">
    <fb>102.5</fb>
    <v>13</v>
  </rv>
  <rv s="7">
    <fb>101.84</fb>
    <v>13</v>
  </rv>
  <rv s="7">
    <fb>100.68</fb>
    <v>13</v>
  </rv>
  <rv s="7">
    <fb>101.51</fb>
    <v>13</v>
  </rv>
  <rv s="7">
    <fb>101.57</fb>
    <v>13</v>
  </rv>
  <rv s="7">
    <fb>100.7</fb>
    <v>13</v>
  </rv>
  <rv s="7">
    <fb>100.11</fb>
    <v>13</v>
  </rv>
  <rv s="7">
    <fb>99.31</fb>
    <v>13</v>
  </rv>
  <rv s="7">
    <fb>98.16</fb>
    <v>13</v>
  </rv>
  <rv s="7">
    <fb>135.66</fb>
    <v>13</v>
  </rv>
  <rv s="7">
    <fb>138.38</fb>
    <v>13</v>
  </rv>
  <rv s="7">
    <fb>141.13999999999999</fb>
    <v>13</v>
  </rv>
  <rv s="7">
    <fb>138.37</fb>
    <v>13</v>
  </rv>
  <rv s="7">
    <fb>139.58000000000001</fb>
    <v>13</v>
  </rv>
  <rv s="7">
    <fb>136.9</fb>
    <v>13</v>
  </rv>
  <rv s="7">
    <fb>139.37</fb>
    <v>13</v>
  </rv>
  <rv s="7">
    <fb>141.03</fb>
    <v>13</v>
  </rv>
  <rv s="7">
    <fb>142.54</fb>
    <v>13</v>
  </rv>
  <rv s="7">
    <fb>142.41999999999999</fb>
    <v>13</v>
  </rv>
  <rv s="7">
    <fb>138.66999999999999</fb>
    <v>13</v>
  </rv>
  <rv s="7">
    <fb>140.25</fb>
    <v>13</v>
  </rv>
  <rv s="7">
    <fb>141.72999999999999</fb>
    <v>13</v>
  </rv>
  <rv s="7">
    <fb>143.77000000000001</fb>
    <v>13</v>
  </rv>
  <rv s="7">
    <fb>142.02000000000001</fb>
    <v>13</v>
  </rv>
  <rv s="7">
    <fb>140.91</fb>
    <v>13</v>
  </rv>
  <rv s="7">
    <fb>141.07</fb>
    <v>13</v>
  </rv>
  <rv s="7">
    <fb>138.74</fb>
    <v>13</v>
  </rv>
  <rv s="7">
    <fb>137.4</fb>
    <v>13</v>
  </rv>
  <rv s="7">
    <fb>138.13999999999999</fb>
    <v>13</v>
  </rv>
  <rv s="7">
    <fb>140.88</fb>
    <v>13</v>
  </rv>
  <rv s="7">
    <fb>139.19999999999999</fb>
    <v>13</v>
  </rv>
  <rv s="7">
    <fb>142.18</fb>
    <v>13</v>
  </rv>
  <rv s="7">
    <fb>142.53</fb>
    <v>13</v>
  </rv>
  <rv s="7">
    <fb>139.08000000000001</fb>
    <v>13</v>
  </rv>
  <rv s="7">
    <fb>144.41999999999999</fb>
    <v>13</v>
  </rv>
  <rv s="7">
    <fb>142.33000000000001</fb>
    <v>13</v>
  </rv>
  <rv s="7">
    <fb>144.43</fb>
    <v>13</v>
  </rv>
  <rv s="7">
    <fb>146.72999999999999</fb>
    <v>13</v>
  </rv>
  <rv s="7">
    <fb>147.4</fb>
    <v>13</v>
  </rv>
  <rv s="7">
    <fb>146.53</fb>
    <v>13</v>
  </rv>
  <rv s="7">
    <fb>149.4</fb>
    <v>13</v>
  </rv>
  <rv s="7">
    <fb>146.11000000000001</fb>
    <v>13</v>
  </rv>
  <rv s="7">
    <fb>146.33000000000001</fb>
    <v>13</v>
  </rv>
  <rv s="7">
    <fb>149.61000000000001</fb>
    <v>13</v>
  </rv>
  <rv s="7">
    <fb>149.88999999999999</fb>
    <v>13</v>
  </rv>
  <rv s="7">
    <fb>150.34</fb>
    <v>13</v>
  </rv>
  <rv s="7">
    <fb>151.47999999999999</fb>
    <v>13</v>
  </rv>
  <rv s="7">
    <fb>150.15</fb>
    <v>13</v>
  </rv>
  <rv s="7">
    <fb>151.99</fb>
    <v>13</v>
  </rv>
  <rv s="7">
    <fb>151.44</fb>
    <v>13</v>
  </rv>
  <rv s="7">
    <fb>152.91999999999999</fb>
    <v>13</v>
  </rv>
  <rv s="7">
    <fb>150.49</fb>
    <v>13</v>
  </rv>
  <rv s="7">
    <fb>168.58</fb>
    <v>13</v>
  </rv>
  <rv s="7">
    <fb>169.72</fb>
    <v>13</v>
  </rv>
  <rv s="7">
    <fb>168.07</fb>
    <v>13</v>
  </rv>
  <rv s="7">
    <fb>167.57</fb>
    <v>13</v>
  </rv>
  <rv s="7">
    <fb>164.22</fb>
    <v>13</v>
  </rv>
  <rv s="7">
    <fb>168.21</fb>
    <v>13</v>
  </rv>
  <rv s="7">
    <fb>170.46</fb>
    <v>13</v>
  </rv>
  <rv s="7">
    <fb>170.17</fb>
    <v>13</v>
  </rv>
  <rv s="7">
    <fb>168.63</fb>
    <v>13</v>
  </rv>
  <rv s="7">
    <fb>172.66</fb>
    <v>13</v>
  </rv>
  <rv s="7">
    <fb>174.67</fb>
    <v>13</v>
  </rv>
  <rv s="7">
    <fb>177.21</fb>
    <v>13</v>
  </rv>
  <rv s="7">
    <fb>177.82</fb>
    <v>13</v>
  </rv>
  <rv s="7">
    <fb>176.24</fb>
    <v>13</v>
  </rv>
  <rv s="7">
    <fb>175.49</fb>
    <v>13</v>
  </rv>
  <rv s="7">
    <fb>172.22</fb>
    <v>13</v>
  </rv>
  <rv s="7">
    <fb>171.77</fb>
    <v>13</v>
  </rv>
  <rv s="7">
    <fb>169.7</fb>
    <v>13</v>
  </rv>
  <rv s="7">
    <fb>171.63</fb>
    <v>13</v>
  </rv>
  <rv s="7">
    <fb>171.62</fb>
    <v>13</v>
  </rv>
  <rv s="7">
    <fb>166.12</fb>
    <v>13</v>
  </rv>
  <rv s="7">
    <fb>165.01</fb>
    <v>13</v>
  </rv>
  <rv s="7">
    <fb>163.32</fb>
    <v>13</v>
  </rv>
  <rv s="7">
    <fb>166.58</fb>
    <v>13</v>
  </rv>
  <rv s="7">
    <fb>168.3</fb>
    <v>13</v>
  </rv>
  <rv s="7">
    <fb>167.11</fb>
    <v>13</v>
  </rv>
  <rv s="7">
    <fb>166.51</fb>
    <v>13</v>
  </rv>
  <rv s="7">
    <fb>165.34</fb>
    <v>13</v>
  </rv>
  <rv s="7">
    <fb>164.44</fb>
    <v>13</v>
  </rv>
  <rv s="7">
    <fb>163.72999999999999</fb>
    <v>13</v>
  </rv>
  <rv s="7">
    <fb>156.43</fb>
    <v>13</v>
  </rv>
  <rv s="7">
    <fb>158.12</fb>
    <v>13</v>
  </rv>
  <rv s="7">
    <fb>160.41</fb>
    <v>13</v>
  </rv>
  <rv s="7">
    <fb>159.59</fb>
    <v>13</v>
  </rv>
  <rv s="7">
    <fb>164.32</fb>
    <v>13</v>
  </rv>
  <rv s="7">
    <fb>163.13</fb>
    <v>13</v>
  </rv>
  <rv s="7">
    <fb>160.9</fb>
    <v>13</v>
  </rv>
  <rv s="7">
    <fb>157.51</fb>
    <v>13</v>
  </rv>
  <rv s="7">
    <fb>143.27000000000001</fb>
    <v>13</v>
  </rv>
  <rv s="7">
    <fb>144.41</fb>
    <v>13</v>
  </rv>
  <rv s="7">
    <fb>145.22999999999999</fb>
    <v>13</v>
  </rv>
  <rv s="7">
    <fb>147.1</fb>
    <v>13</v>
  </rv>
  <rv s="7">
    <fb>149.87</fb>
    <v>13</v>
  </rv>
  <rv s="7">
    <fb>156.16</fb>
    <v>13</v>
  </rv>
  <rv s="7">
    <fb>153.03</fb>
    <v>13</v>
  </rv>
  <rv s="7">
    <fb>150.55000000000001</fb>
    <v>13</v>
  </rv>
  <rv s="7">
    <fb>145.13</fb>
    <v>13</v>
  </rv>
  <rv s="7">
    <fb>146.19</fb>
    <v>13</v>
  </rv>
  <rv s="7">
    <fb>146.78</fb>
    <v>13</v>
  </rv>
  <rv s="7">
    <fb>144.68</fb>
    <v>13</v>
  </rv>
  <rv s="7">
    <fb>144.97</fb>
    <v>13</v>
  </rv>
  <rv s="7">
    <fb>143.38</fb>
    <v>13</v>
  </rv>
  <rv s="7">
    <fb>146.13</fb>
    <v>13</v>
  </rv>
  <rv s="7">
    <fb>149.69</fb>
    <v>13</v>
  </rv>
  <rv s="7">
    <fb>146.77000000000001</fb>
    <v>13</v>
  </rv>
  <rv s="7">
    <fb>147.16999999999999</fb>
    <v>13</v>
  </rv>
  <rv s="7">
    <fb>146.72</fb>
    <v>13</v>
  </rv>
  <rv s="7">
    <fb>148.04</fb>
    <v>13</v>
  </rv>
  <rv s="7">
    <fb>145.38999999999999</fb>
    <v>13</v>
  </rv>
  <rv s="7">
    <fb>144.80000000000001</fb>
    <v>13</v>
  </rv>
  <rv s="7">
    <fb>151.4</fb>
    <v>13</v>
  </rv>
  <rv s="7">
    <fb>152.85</fb>
    <v>13</v>
  </rv>
  <rv s="7">
    <fb>151.30000000000001</fb>
    <v>13</v>
  </rv>
  <rv s="7">
    <fb>152.09</fb>
    <v>13</v>
  </rv>
  <rv s="7">
    <fb>149.72999999999999</fb>
    <v>13</v>
  </rv>
  <rv s="7">
    <fb>151.02000000000001</fb>
    <v>13</v>
  </rv>
  <rv s="7">
    <fb>150.27000000000001</fb>
    <v>13</v>
  </rv>
  <rv s="7">
    <fb>146.44999999999999</fb>
    <v>13</v>
  </rv>
  <rv s="7">
    <fb>146.29</fb>
    <v>13</v>
  </rv>
  <rv s="7">
    <fb>150.41</fb>
    <v>13</v>
  </rv>
  <rv s="7">
    <fb>147.02000000000001</fb>
    <v>13</v>
  </rv>
  <rv s="7">
    <fb>133.87</fb>
    <v>13</v>
  </rv>
  <rv s="7">
    <fb>133.85</fb>
    <v>13</v>
  </rv>
  <rv s="7">
    <fb>133.47</fb>
    <v>13</v>
  </rv>
  <rv s="7">
    <fb>135.5</fb>
    <v>13</v>
  </rv>
  <rv s="7">
    <fb>135.02000000000001</fb>
    <v>13</v>
  </rv>
  <rv s="7">
    <fb>136.66</fb>
    <v>13</v>
  </rv>
  <rv s="7">
    <fb>135.76</fb>
    <v>13</v>
  </rv>
  <rv s="7">
    <fb>144.04</fb>
    <v>13</v>
  </rv>
  <rv s="7">
    <fb>144.33000000000001</fb>
    <v>13</v>
  </rv>
  <rv s="7">
    <fb>156.82</fb>
    <v>13</v>
  </rv>
  <rv s="7">
    <fb>158.5</fb>
    <v>13</v>
  </rv>
  <rv s="7">
    <fb>156.86000000000001</fb>
    <v>13</v>
  </rv>
  <rv s="7">
    <fb>151.80000000000001</fb>
    <v>13</v>
  </rv>
  <rv s="7">
    <fb>152.47999999999999</fb>
    <v>13</v>
  </rv>
  <rv s="7">
    <fb>151.9</fb>
    <v>13</v>
  </rv>
  <rv s="7">
    <fb>151.28</fb>
    <v>13</v>
  </rv>
  <rv s="7">
    <fb>150.59</fb>
    <v>13</v>
  </rv>
  <rv s="7">
    <fb>148.01</fb>
    <v>13</v>
  </rv>
  <rv s="7">
    <fb>147.29</fb>
    <v>13</v>
  </rv>
  <rv s="7">
    <fb>148.44</fb>
    <v>13</v>
  </rv>
  <rv s="7">
    <fb>151.36000000000001</fb>
    <v>13</v>
  </rv>
  <rv s="7">
    <fb>151.96</fb>
    <v>13</v>
  </rv>
  <rv s="7">
    <fb>153.6</fb>
    <v>13</v>
  </rv>
  <rv s="7">
    <fb>154.75</fb>
    <v>13</v>
  </rv>
  <rv s="7">
    <fb>156.18</fb>
    <v>13</v>
  </rv>
  <rv s="7">
    <fb>155.97999999999999</fb>
    <v>13</v>
  </rv>
  <rv s="7">
    <fb>155.86000000000001</fb>
    <v>13</v>
  </rv>
  <rv s="7">
    <fb>152.19999999999999</fb>
    <v>13</v>
  </rv>
  <rv s="7">
    <fb>152.88</fb>
    <v>13</v>
  </rv>
  <rv s="7">
    <fb>151.32</fb>
    <v>13</v>
  </rv>
  <rv s="7">
    <fb>157.97</fb>
    <v>13</v>
  </rv>
  <rv s="7">
    <fb>156.84</fb>
    <v>13</v>
  </rv>
  <rv s="7">
    <fb>150.91</fb>
    <v>13</v>
  </rv>
  <rv s="7">
    <fb>149.19</fb>
    <v>13</v>
  </rv>
  <rv s="7">
    <fb>150.18</fb>
    <v>13</v>
  </rv>
  <rv s="7">
    <fb>149.30000000000001</fb>
    <v>13</v>
  </rv>
  <rv s="7">
    <fb>147.93</fb>
    <v>13</v>
  </rv>
  <rv s="7">
    <fb>150.04</fb>
    <v>13</v>
  </rv>
  <rv s="7">
    <fb>150.84</fb>
    <v>13</v>
  </rv>
  <rv s="7">
    <fb>150.99</fb>
    <v>13</v>
  </rv>
  <rv s="7">
    <fb>149.78</fb>
    <v>13</v>
  </rv>
  <rv s="7">
    <fb>153.28</fb>
    <v>13</v>
  </rv>
  <rv s="7">
    <fb>155.65</fb>
    <v>13</v>
  </rv>
  <rv s="7">
    <fb>154.99</fb>
    <v>13</v>
  </rv>
  <rv s="7">
    <fb>153.47</fb>
    <v>13</v>
  </rv>
  <rv s="7">
    <fb>156.56</fb>
    <v>13</v>
  </rv>
  <rv s="7">
    <fb>121.72</fb>
    <v>13</v>
  </rv>
  <rv s="7">
    <fb>121.59</fb>
    <v>13</v>
  </rv>
  <rv s="7">
    <fb>125.01</fb>
    <v>13</v>
  </rv>
  <rv s="7">
    <fb>130.53</fb>
    <v>13</v>
  </rv>
  <rv s="7">
    <fb>126.55</fb>
    <v>13</v>
  </rv>
  <rv s="7">
    <fb>130.09</fb>
    <v>13</v>
  </rv>
  <rv s="7">
    <fb>130.72</fb>
    <v>13</v>
  </rv>
  <rv s="7">
    <fb>131.44999999999999</fb>
    <v>13</v>
  </rv>
  <rv s="7">
    <fb>130.07</fb>
    <v>13</v>
  </rv>
  <rv s="7">
    <fb>129.16999999999999</fb>
    <v>13</v>
  </rv>
  <rv s="7">
    <fb>132.38999999999999</fb>
    <v>13</v>
  </rv>
  <rv s="7">
    <fb>135.29</fb>
    <v>13</v>
  </rv>
  <rv s="7">
    <fb>135.05000000000001</fb>
    <v>13</v>
  </rv>
  <rv s="7">
    <fb>248.63</fb>
    <v>13</v>
  </rv>
  <rv s="7">
    <fb>250.91</fb>
    <v>13</v>
  </rv>
  <rv s="7">
    <fb>256.24</fb>
    <v>13</v>
  </rv>
  <rv s="7">
    <fb>264.27</fb>
    <v>13</v>
  </rv>
  <rv s="7">
    <fb>260.41000000000003</fb>
    <v>13</v>
  </rv>
  <rv s="7">
    <fb>263.51</fb>
    <v>13</v>
  </rv>
  <rv s="7">
    <fb>262.02</fb>
    <v>13</v>
  </rv>
  <rv s="7">
    <fb>260.44</fb>
    <v>13</v>
  </rv>
  <rv s="7">
    <fb>262.10000000000002</fb>
    <v>13</v>
  </rv>
  <rv s="7">
    <fb>260.35000000000002</fb>
    <v>13</v>
  </rv>
  <rv s="7">
    <fb>260.66000000000003</fb>
    <v>13</v>
  </rv>
  <rv s="7">
    <fb>251.76</fb>
    <v>13</v>
  </rv>
  <rv s="7">
    <fb>243.91</fb>
    <v>13</v>
  </rv>
  <rv s="7">
    <fb>244.94</fb>
    <v>13</v>
  </rv>
  <rv s="7">
    <fb>249</fb>
    <v>13</v>
  </rv>
  <rv s="7">
    <fb>225.76</fb>
    <v>13</v>
  </rv>
  <rv s="7">
    <fb>227.84</fb>
    <v>13</v>
  </rv>
  <rv s="7">
    <fb>200.52</fb>
    <v>13</v>
  </rv>
  <rv s="7">
    <fb>203.06</fb>
    <v>13</v>
  </rv>
  <rv s="7">
    <fb>215.02</fb>
    <v>13</v>
  </rv>
  <rv s="7">
    <fb>214.93</fb>
    <v>13</v>
  </rv>
  <rv s="7">
    <fb>211.5</fb>
    <v>13</v>
  </rv>
  <rv s="7">
    <fb>201.88</fb>
    <v>13</v>
  </rv>
  <rv s="7">
    <fb>205.47</fb>
    <v>13</v>
  </rv>
  <rv s="7">
    <fb>205.19</fb>
    <v>13</v>
  </rv>
  <rv s="7">
    <fb>200.44</fb>
    <v>13</v>
  </rv>
  <rv s="7">
    <fb>211.04</fb>
    <v>13</v>
  </rv>
  <rv s="7">
    <fb>209.81</fb>
    <v>13</v>
  </rv>
  <rv s="7">
    <fb>209.38</fb>
    <v>13</v>
  </rv>
  <rv s="7">
    <fb>206.63</fb>
    <v>13</v>
  </rv>
  <rv s="7">
    <fb>208.58</fb>
    <v>13</v>
  </rv>
  <rv s="7">
    <fb>211.92</fb>
    <v>13</v>
  </rv>
  <rv s="7">
    <fb>209.22</fb>
    <v>13</v>
  </rv>
  <rv s="7">
    <fb>209.2</fb>
    <v>13</v>
  </rv>
  <rv s="7">
    <fb>209.33</fb>
    <v>13</v>
  </rv>
  <rv s="7">
    <fb>204.46</fb>
    <v>13</v>
  </rv>
  <rv s="7">
    <fb>203.38</fb>
    <v>13</v>
  </rv>
  <rv s="7">
    <fb>205.33</fb>
    <v>13</v>
  </rv>
  <rv s="7">
    <fb>203.89</fb>
    <v>13</v>
  </rv>
  <rv s="7">
    <fb>203.37</fb>
    <v>13</v>
  </rv>
  <rv s="7">
    <fb>201.57</fb>
    <v>13</v>
  </rv>
  <rv s="7">
    <fb>201.5</fb>
    <v>13</v>
  </rv>
  <rv s="7">
    <fb>200.83</fb>
    <v>13</v>
  </rv>
  <rv s="7">
    <fb>200.54</fb>
    <v>13</v>
  </rv>
  <rv s="7">
    <fb>201.4</fb>
    <v>13</v>
  </rv>
  <rv s="7">
    <fb>207</fb>
    <v>13</v>
  </rv>
  <rv s="7">
    <fb>203.72</fb>
    <v>13</v>
  </rv>
  <rv s="7">
    <fb>201.14</fb>
    <v>13</v>
  </rv>
  <rv s="7">
    <fb>201</fb>
    <v>13</v>
  </rv>
  <rv s="7">
    <fb>203.03</fb>
    <v>13</v>
  </rv>
  <rv s="7">
    <fb>198.49</fb>
    <v>13</v>
  </rv>
  <rv s="7">
    <fb>192.49</fb>
    <v>13</v>
  </rv>
  <rv s="7">
    <fb>184.24</fb>
    <v>13</v>
  </rv>
  <rv s="7">
    <fb>182.35</fb>
    <v>13</v>
  </rv>
  <rv s="7">
    <fb>181.15</fb>
    <v>13</v>
  </rv>
  <rv s="7">
    <fb>182.53</fb>
    <v>13</v>
  </rv>
  <rv s="7">
    <fb>179.84</fb>
    <v>13</v>
  </rv>
  <rv s="7">
    <fb>181.14</fb>
    <v>13</v>
  </rv>
  <rv s="7">
    <fb>187.78</fb>
    <v>13</v>
  </rv>
  <rv s="7">
    <fb>187.7</fb>
    <v>13</v>
  </rv>
  <rv s="7">
    <fb>191.41</fb>
    <v>13</v>
  </rv>
  <rv s="7">
    <fb>187.5</fb>
    <v>13</v>
  </rv>
  <rv s="7">
    <fb>192.99</fb>
    <v>13</v>
  </rv>
  <rv s="7">
    <fb>184.92</fb>
    <v>13</v>
  </rv>
  <rv s="7">
    <fb>183.29</fb>
    <v>13</v>
  </rv>
  <rv s="7">
    <fb>183.14</fb>
    <v>13</v>
  </rv>
  <rv s="7">
    <fb>173.36</fb>
    <v>13</v>
  </rv>
  <rv s="7">
    <fb>169.55</fb>
    <v>13</v>
  </rv>
  <rv s="7">
    <fb>167.82</fb>
    <v>13</v>
  </rv>
  <rv s="7">
    <fb>170.21</fb>
    <v>13</v>
  </rv>
  <rv s="7">
    <fb>169.82</fb>
    <v>13</v>
  </rv>
  <rv s="7">
    <fb>169.18</fb>
    <v>13</v>
  </rv>
  <rv s="7">
    <fb>164.33</fb>
    <v>13</v>
  </rv>
  <rv s="7">
    <fb>166.81</fb>
    <v>13</v>
  </rv>
  <rv s="7">
    <fb>167.22</fb>
    <v>13</v>
  </rv>
  <rv s="7">
    <fb>173.49</fb>
    <v>13</v>
  </rv>
  <rv s="7">
    <fb>171.46</fb>
    <v>13</v>
  </rv>
  <rv s="7">
    <fb>178.85</fb>
    <v>13</v>
  </rv>
  <rv s="7">
    <fb>179.79</fb>
    <v>13</v>
  </rv>
  <rv s="7">
    <fb>176.71</fb>
    <v>13</v>
  </rv>
  <rv s="7">
    <fb>178.51</fb>
    <v>13</v>
  </rv>
  <rv s="7">
    <fb>178.44</fb>
    <v>13</v>
  </rv>
  <rv s="7">
    <fb>180.76</fb>
    <v>13</v>
  </rv>
  <rv s="7">
    <fb>176.99</fb>
    <v>13</v>
  </rv>
  <rv s="7">
    <fb>182.96</fb>
    <v>13</v>
  </rv>
  <rv s="7">
    <fb>184.95</fb>
    <v>13</v>
  </rv>
  <rv s="7">
    <fb>184.78</fb>
    <v>13</v>
  </rv>
  <rv s="7">
    <fb>172.21</fb>
    <v>13</v>
  </rv>
  <rv s="7">
    <fb>174.52</fb>
    <v>13</v>
  </rv>
  <rv s="7">
    <fb>175.08</fb>
    <v>13</v>
  </rv>
  <rv s="7">
    <fb>171.65</fb>
    <v>13</v>
  </rv>
  <rv s="7">
    <fb>177.61</fb>
    <v>13</v>
  </rv>
  <rv s="7">
    <fb>188.62</fb>
    <v>13</v>
  </rv>
  <rv s="7">
    <fb>189.85</fb>
    <v>13</v>
  </rv>
  <rv s="7">
    <fb>191.42</fb>
    <v>13</v>
  </rv>
  <rv s="7">
    <fb>190.24</fb>
    <v>13</v>
  </rv>
  <rv s="7">
    <fb>190.12</fb>
    <v>13</v>
  </rv>
  <rv s="7">
    <fb>182.67</fb>
    <v>13</v>
  </rv>
  <rv s="7">
    <fb>180.7</fb>
    <v>13</v>
  </rv>
  <rv s="7">
    <fb>177.27</fb>
    <v>13</v>
  </rv>
  <rv s="7">
    <fb>178.39</fb>
    <v>13</v>
  </rv>
  <rv s="7">
    <fb>176.56</fb>
    <v>13</v>
  </rv>
  <rv s="7">
    <fb>179.1</fb>
    <v>13</v>
  </rv>
  <rv s="7">
    <fb>182.51</fb>
    <v>13</v>
  </rv>
  <rv s="7">
    <fb>182.01</fb>
    <v>13</v>
  </rv>
  <rv s="7">
    <fb>186.7</fb>
    <v>13</v>
  </rv>
  <rv s="7">
    <fb>185.42</fb>
    <v>13</v>
  </rv>
  <rv s="7">
    <fb>184.31</fb>
    <v>13</v>
  </rv>
  <rv s="7">
    <fb>184.83</fb>
    <v>13</v>
  </rv>
  <rv s="7">
    <fb>185.84</fb>
    <v>13</v>
  </rv>
  <rv s="7">
    <fb>183.24</fb>
    <v>13</v>
  </rv>
  <rv s="7">
    <fb>183.73</fb>
    <v>13</v>
  </rv>
  <rv s="7">
    <fb>183.91</fb>
    <v>13</v>
  </rv>
  <rv s="7">
    <fb>179.11</fb>
    <v>13</v>
  </rv>
  <rv s="7">
    <fb>186.05</fb>
    <v>13</v>
  </rv>
  <rv s="7">
    <fb>180.23</fb>
    <v>13</v>
  </rv>
  <rv s="7">
    <fb>179.67</fb>
    <v>13</v>
  </rv>
  <rv s="7">
    <fb>178.9</fb>
    <v>13</v>
  </rv>
  <rv s="7">
    <fb>186.48</fb>
    <v>13</v>
  </rv>
  <rv s="7">
    <fb>180.07</fb>
    <v>13</v>
  </rv>
  <rv s="7">
    <fb>184.35</fb>
    <v>13</v>
  </rv>
  <rv s="7">
    <fb>185.43</fb>
    <v>13</v>
  </rv>
  <rv s="7">
    <fb>169.95</fb>
    <v>13</v>
  </rv>
  <rv s="7">
    <fb>167.03</fb>
    <v>13</v>
  </rv>
  <rv s="7">
    <fb>165.04</fb>
    <v>13</v>
  </rv>
  <rv s="7">
    <fb>168.87</fb>
    <v>13</v>
  </rv>
  <rv s="7">
    <fb>167.91</fb>
    <v>13</v>
  </rv>
  <rv s="7">
    <fb>168.76</fb>
    <v>13</v>
  </rv>
  <rv s="7">
    <fb>168.5</fb>
    <v>13</v>
  </rv>
  <rv s="7">
    <fb>176.41</fb>
    <v>13</v>
  </rv>
  <rv s="7">
    <fb>179.99</fb>
    <v>13</v>
  </rv>
  <rv s="7">
    <fb>179.64</fb>
    <v>13</v>
  </rv>
  <rv s="7">
    <fb>172.1</fb>
    <v>13</v>
  </rv>
  <rv s="7">
    <fb>172.76</fb>
    <v>13</v>
  </rv>
  <rv s="7">
    <fb>174.96</fb>
    <v>13</v>
  </rv>
  <rv s="7">
    <fb>173.48</fb>
    <v>13</v>
  </rv>
  <rv s="7">
    <fb>173.05</fb>
    <v>13</v>
  </rv>
  <rv s="7">
    <fb>170.71</fb>
    <v>13</v>
  </rv>
  <rv s="7">
    <fb>172.26</fb>
    <v>13</v>
  </rv>
  <rv s="7">
    <fb>173.74</fb>
    <v>13</v>
  </rv>
  <rv s="7">
    <fb>162.15</fb>
    <v>13</v>
  </rv>
  <rv s="7">
    <fb>157.62</fb>
    <v>13</v>
  </rv>
  <rv s="7">
    <fb>160.07</fb>
    <v>13</v>
  </rv>
  <rv s="7">
    <fb>156.38999999999999</fb>
    <v>13</v>
  </rv>
  <rv s="7">
    <fb>155.11000000000001</fb>
    <v>13</v>
  </rv>
  <rv s="7">
    <fb>154.59</fb>
    <v>13</v>
  </rv>
  <rv s="7">
    <fb>153.29</fb>
    <v>13</v>
  </rv>
  <rv s="7">
    <fb>156.30000000000001</fb>
    <v>13</v>
  </rv>
  <rv s="7">
    <fb>155.81</fb>
    <v>13</v>
  </rv>
  <rv s="7">
    <fb>152.22</fb>
    <v>13</v>
  </rv>
  <rv s="7">
    <fb>154.58000000000001</fb>
    <v>13</v>
  </rv>
  <rv s="7">
    <fb>152.04</fb>
    <v>13</v>
  </rv>
  <rv s="7">
    <fb>152.88999999999999</fb>
    <v>13</v>
  </rv>
  <rv s="7">
    <fb>150.52000000000001</fb>
    <v>13</v>
  </rv>
  <rv s="7">
    <fb>155</fb>
    <v>13</v>
  </rv>
  <rv s="7">
    <fb>155.91</fb>
    <v>13</v>
  </rv>
  <rv s="7">
    <fb>154.65</fb>
    <v>13</v>
  </rv>
  <rv s="7">
    <fb>146.62</fb>
    <v>13</v>
  </rv>
  <rv s="7">
    <fb>148.99</fb>
    <v>13</v>
  </rv>
  <rv s="7">
    <fb>154.9</fb>
    <v>13</v>
  </rv>
  <rv s="7">
    <fb>155.31</fb>
    <v>13</v>
  </rv>
  <rv s="7">
    <fb>159.82</fb>
    <v>13</v>
  </rv>
  <rv s="7">
    <fb>157.06</fb>
    <v>13</v>
  </rv>
  <rv s="7">
    <fb>150.69</fb>
    <v>13</v>
  </rv>
  <rv s="7">
    <fb>154.29</fb>
    <v>13</v>
  </rv>
  <rv s="7">
    <fb>151</fb>
    <v>13</v>
  </rv>
  <rv s="7">
    <fb>147.16</fb>
    <v>13</v>
  </rv>
  <rv s="7">
    <fb>150.97999999999999</fb>
    <v>13</v>
  </rv>
  <rv s="7">
    <fb>151.68</fb>
    <v>13</v>
  </rv>
  <rv s="7">
    <fb>148.96</fb>
    <v>13</v>
  </rv>
  <rv s="7">
    <fb>145.16999999999999</fb>
    <v>13</v>
  </rv>
  <rv s="7">
    <fb>139.97</fb>
    <v>13</v>
  </rv>
  <rv s="7">
    <fb>140.19</fb>
    <v>13</v>
  </rv>
  <rv s="7">
    <fb>143.87</fb>
    <v>13</v>
  </rv>
  <rv s="7">
    <fb>145.6</fb>
    <v>13</v>
  </rv>
  <rv s="7">
    <fb>146.08000000000001</fb>
    <v>13</v>
  </rv>
  <rv s="7">
    <fb>149.29</fb>
    <v>13</v>
  </rv>
  <rv s="7">
    <fb>153.1</fb>
    <v>13</v>
  </rv>
  <rv s="7">
    <fb>150.76</fb>
    <v>13</v>
  </rv>
  <rv s="7">
    <fb>152.4</fb>
    <v>13</v>
  </rv>
  <rv s="7">
    <fb>156.54</fb>
    <v>13</v>
  </rv>
  <rv s="7">
    <fb>158.28</fb>
    <v>13</v>
  </rv>
  <rv s="7">
    <fb>156.66999999999999</fb>
    <v>13</v>
  </rv>
  <rv s="7">
    <fb>153.93</fb>
    <v>13</v>
  </rv>
  <rv s="7">
    <fb>157.04</fb>
    <v>13</v>
  </rv>
  <rv s="7">
    <fb>59.42</fb>
    <v>13</v>
  </rv>
  <rv s="7">
    <fb>59.93</fb>
    <v>13</v>
  </rv>
  <rv s="7">
    <fb>59.04</fb>
    <v>13</v>
  </rv>
  <rv s="7">
    <fb>58.6</fb>
    <v>13</v>
  </rv>
  <rv s="7">
    <fb>59.02</fb>
    <v>13</v>
  </rv>
  <rv s="7">
    <fb>58.83</fb>
    <v>13</v>
  </rv>
  <rv s="7">
    <fb>57.99</fb>
    <v>13</v>
  </rv>
  <rv s="7">
    <fb>58.75</fb>
    <v>13</v>
  </rv>
  <rv s="7">
    <fb>58.93</fb>
    <v>13</v>
  </rv>
  <rv s="7">
    <fb>59.82</fb>
    <v>13</v>
  </rv>
  <rv s="7">
    <fb>59.96</fb>
    <v>13</v>
  </rv>
  <rv s="7">
    <fb>59.67</fb>
    <v>13</v>
  </rv>
  <rv s="7">
    <fb>60.11</fb>
    <v>13</v>
  </rv>
  <rv s="7">
    <fb>60.2</fb>
    <v>13</v>
  </rv>
  <rv s="7">
    <fb>59.81</fb>
    <v>13</v>
  </rv>
  <rv s="7">
    <fb>60.39</fb>
    <v>13</v>
  </rv>
  <rv s="7">
    <fb>59.83</fb>
    <v>13</v>
  </rv>
  <rv s="7">
    <fb>59.57</fb>
    <v>13</v>
  </rv>
  <rv s="7">
    <fb>59.85</fb>
    <v>13</v>
  </rv>
  <rv s="7">
    <fb>59.37</fb>
    <v>13</v>
  </rv>
  <rv s="7">
    <fb>59.73</fb>
    <v>13</v>
  </rv>
  <rv s="7">
    <fb>60.98</fb>
    <v>13</v>
  </rv>
  <rv s="7">
    <fb>60.04</fb>
    <v>13</v>
  </rv>
  <rv s="7">
    <fb>59.94</fb>
    <v>13</v>
  </rv>
  <rv s="7">
    <fb>59.56</fb>
    <v>13</v>
  </rv>
  <rv s="7">
    <fb>59.35</fb>
    <v>13</v>
  </rv>
  <rv s="7">
    <fb>59.4</fb>
    <v>13</v>
  </rv>
  <rv s="7">
    <fb>59.39</fb>
    <v>13</v>
  </rv>
  <rv s="7">
    <fb>60.7</fb>
    <v>13</v>
  </rv>
  <rv s="7">
    <fb>61.15</fb>
    <v>13</v>
  </rv>
  <rv s="7">
    <fb>61.2</fb>
    <v>13</v>
  </rv>
  <rv s="7">
    <fb>60.4</fb>
    <v>13</v>
  </rv>
  <rv s="7">
    <fb>59.53</fb>
    <v>13</v>
  </rv>
  <rv s="7">
    <fb>59.52</fb>
    <v>13</v>
  </rv>
  <rv s="7">
    <fb>59.55</fb>
    <v>13</v>
  </rv>
  <rv s="7">
    <fb>59.44</fb>
    <v>13</v>
  </rv>
  <rv s="7">
    <fb>60.24</fb>
    <v>13</v>
  </rv>
  <rv s="7">
    <fb>60.5</fb>
    <v>13</v>
  </rv>
  <rv s="7">
    <fb>61.12</fb>
    <v>13</v>
  </rv>
  <rv s="7">
    <fb>59.88</fb>
    <v>13</v>
  </rv>
  <rv s="7">
    <fb>60.75</fb>
    <v>13</v>
  </rv>
  <rv s="7">
    <fb>60.49</fb>
    <v>13</v>
  </rv>
  <rv s="7">
    <fb>61.18</fb>
    <v>13</v>
  </rv>
  <rv s="7">
    <fb>60.68</fb>
    <v>13</v>
  </rv>
  <rv s="7">
    <fb>60.15</fb>
    <v>13</v>
  </rv>
  <rv s="7">
    <fb>59.3</fb>
    <v>13</v>
  </rv>
  <rv s="7">
    <fb>59.51</fb>
    <v>13</v>
  </rv>
  <rv s="7">
    <fb>59.27</fb>
    <v>13</v>
  </rv>
  <rv s="7">
    <fb>59.72</fb>
    <v>13</v>
  </rv>
  <rv s="7">
    <fb>58.92</fb>
    <v>13</v>
  </rv>
  <rv s="7">
    <fb>59.05</fb>
    <v>13</v>
  </rv>
  <rv s="7">
    <fb>58.28</fb>
    <v>13</v>
  </rv>
  <rv s="7">
    <fb>58.14</fb>
    <v>13</v>
  </rv>
  <rv s="7">
    <fb>58.51</fb>
    <v>13</v>
  </rv>
  <rv s="7">
    <fb>60.17</fb>
    <v>13</v>
  </rv>
  <rv s="7">
    <fb>60.55</fb>
    <v>13</v>
  </rv>
  <rv s="7">
    <fb>60.64</fb>
    <v>13</v>
  </rv>
  <rv s="7">
    <fb>62.04</fb>
    <v>13</v>
  </rv>
  <rv s="7">
    <fb>61.99</fb>
    <v>13</v>
  </rv>
  <rv s="7">
    <fb>62.62</fb>
    <v>13</v>
  </rv>
  <rv s="7">
    <fb>62.88</fb>
    <v>13</v>
  </rv>
  <rv s="7">
    <fb>63.13</fb>
    <v>13</v>
  </rv>
  <rv s="7">
    <fb>63.03</fb>
    <v>13</v>
  </rv>
  <rv s="7">
    <fb>62.91</fb>
    <v>13</v>
  </rv>
  <rv s="7">
    <fb>61.82</fb>
    <v>13</v>
  </rv>
  <rv s="7">
    <fb>61.7</fb>
    <v>13</v>
  </rv>
  <rv s="7">
    <fb>61.97</fb>
    <v>13</v>
  </rv>
  <rv s="7">
    <fb>63.94</fb>
    <v>13</v>
  </rv>
  <rv s="7">
    <fb>63.92</fb>
    <v>13</v>
  </rv>
  <rv s="7">
    <fb>64.150000000000006</fb>
    <v>13</v>
  </rv>
  <rv s="7">
    <fb>63.91</fb>
    <v>13</v>
  </rv>
  <rv s="7">
    <fb>63.55</fb>
    <v>13</v>
  </rv>
  <rv s="7">
    <fb>62.55</fb>
    <v>13</v>
  </rv>
  <rv s="7">
    <fb>62.63</fb>
    <v>13</v>
  </rv>
  <rv s="7">
    <fb>62.18</fb>
    <v>13</v>
  </rv>
  <rv s="7">
    <fb>62.77</fb>
    <v>13</v>
  </rv>
  <rv s="7">
    <fb>64.05</fb>
    <v>13</v>
  </rv>
  <rv s="7">
    <fb>63.65</fb>
    <v>13</v>
  </rv>
  <rv s="7">
    <fb>63.15</fb>
    <v>13</v>
  </rv>
  <rv s="7">
    <fb>62.96</fb>
    <v>13</v>
  </rv>
  <rv s="7">
    <fb>62.69</fb>
    <v>13</v>
  </rv>
  <rv s="7">
    <fb>62.83</fb>
    <v>13</v>
  </rv>
  <rv s="7">
    <fb>63.7</fb>
    <v>13</v>
  </rv>
  <rv s="7">
    <fb>63.41</fb>
    <v>13</v>
  </rv>
  <rv s="7">
    <fb>64.27</fb>
    <v>13</v>
  </rv>
  <rv s="7">
    <fb>65.209999999999994</fb>
    <v>13</v>
  </rv>
  <rv s="7">
    <fb>65.19</fb>
    <v>13</v>
  </rv>
  <rv s="7">
    <fb>65.290000000000006</fb>
    <v>13</v>
  </rv>
  <rv s="7">
    <fb>64.959999999999994</fb>
    <v>13</v>
  </rv>
  <rv s="7">
    <fb>65.81</fb>
    <v>13</v>
  </rv>
  <rv s="7">
    <fb>66.069999999999993</fb>
    <v>13</v>
  </rv>
  <rv s="7">
    <fb>67.05</fb>
    <v>13</v>
  </rv>
  <rv s="7">
    <fb>66.83</fb>
    <v>13</v>
  </rv>
  <rv s="7">
    <fb>67.680000000000007</fb>
    <v>13</v>
  </rv>
  <rv s="7">
    <fb>69.33</fb>
    <v>13</v>
  </rv>
  <rv s="7">
    <fb>68.05</fb>
    <v>13</v>
  </rv>
  <rv s="7">
    <fb>68.459999999999994</fb>
    <v>13</v>
  </rv>
  <rv s="7">
    <fb>68.73</fb>
    <v>13</v>
  </rv>
  <rv s="7">
    <fb>68.680000000000007</fb>
    <v>13</v>
  </rv>
  <rv s="7">
    <fb>68.17</fb>
    <v>13</v>
  </rv>
  <rv s="7">
    <fb>68.58</fb>
    <v>13</v>
  </rv>
  <rv s="7">
    <fb>68.650000000000006</fb>
    <v>13</v>
  </rv>
  <rv s="7">
    <fb>69.180000000000007</fb>
    <v>13</v>
  </rv>
  <rv s="7">
    <fb>69.38</fb>
    <v>13</v>
  </rv>
  <rv s="7">
    <fb>69.790000000000006</fb>
    <v>13</v>
  </rv>
  <rv s="7">
    <fb>70.84</fb>
    <v>13</v>
  </rv>
  <rv s="7">
    <fb>72.05</fb>
    <v>13</v>
  </rv>
  <rv s="7">
    <fb>72.47</fb>
    <v>13</v>
  </rv>
  <rv s="7">
    <fb>73.010000000000005</fb>
    <v>13</v>
  </rv>
  <rv s="7">
    <fb>71.17</fb>
    <v>13</v>
  </rv>
  <rv s="7">
    <fb>71.55</fb>
    <v>13</v>
  </rv>
  <rv s="7">
    <fb>71.08</fb>
    <v>13</v>
  </rv>
  <rv s="7">
    <fb>71.23</fb>
    <v>13</v>
  </rv>
  <rv s="7">
    <fb>72.099999999999994</fb>
    <v>13</v>
  </rv>
  <rv s="7">
    <fb>71.8</fb>
    <v>13</v>
  </rv>
  <rv s="7">
    <fb>70.62</fb>
    <v>13</v>
  </rv>
  <rv s="7">
    <fb>71.64</fb>
    <v>13</v>
  </rv>
  <rv s="7">
    <fb>71.73</fb>
    <v>13</v>
  </rv>
  <rv s="7">
    <fb>71.33</fb>
    <v>13</v>
  </rv>
  <rv s="7">
    <fb>71.45</fb>
    <v>13</v>
  </rv>
  <rv s="7">
    <fb>71.400000000000006</fb>
    <v>13</v>
  </rv>
  <rv s="7">
    <fb>71.709999999999994</fb>
    <v>13</v>
  </rv>
  <rv s="7">
    <fb>71.010000000000005</fb>
    <v>13</v>
  </rv>
  <rv s="7">
    <fb>70.52</fb>
    <v>13</v>
  </rv>
  <rv s="7">
    <fb>70.17</fb>
    <v>13</v>
  </rv>
  <rv s="7">
    <fb>69.010000000000005</fb>
    <v>13</v>
  </rv>
  <rv s="7">
    <fb>69.25</fb>
    <v>13</v>
  </rv>
  <rv s="7">
    <fb>70.34</fb>
    <v>13</v>
  </rv>
  <rv s="7">
    <fb>70.569999999999993</fb>
    <v>13</v>
  </rv>
  <rv s="7">
    <fb>69.900000000000006</fb>
    <v>13</v>
  </rv>
  <rv s="7">
    <fb>70.44</fb>
    <v>13</v>
  </rv>
  <rv s="7">
    <fb>69.45</fb>
    <v>13</v>
  </rv>
  <rv s="7">
    <fb>68.010000000000005</fb>
    <v>13</v>
  </rv>
  <rv s="7">
    <fb>66.92</fb>
    <v>13</v>
  </rv>
  <rv s="7">
    <fb>65.37</fb>
    <v>13</v>
  </rv>
  <rv s="7">
    <fb>63.36</fb>
    <v>13</v>
  </rv>
  <rv s="7">
    <fb>63.2</fb>
    <v>13</v>
  </rv>
  <rv s="7">
    <fb>61.86</fb>
    <v>13</v>
  </rv>
  <rv s="7">
    <fb>62.59</fb>
    <v>13</v>
  </rv>
  <rv s="7">
    <fb>64.38</fb>
    <v>13</v>
  </rv>
  <rv s="7">
    <fb>64.55</fb>
    <v>13</v>
  </rv>
  <rv s="7">
    <fb>63.52</fb>
    <v>13</v>
  </rv>
  <rv s="7">
    <fb>62.21</fb>
    <v>13</v>
  </rv>
  <rv s="7">
    <fb>62.92</fb>
    <v>13</v>
  </rv>
  <rv s="7">
    <fb>62.53</fb>
    <v>13</v>
  </rv>
  <rv s="7">
    <fb>352.61</fb>
    <v>13</v>
  </rv>
  <rv s="7">
    <fb>362.73</fb>
    <v>13</v>
  </rv>
  <rv s="7">
    <fb>383.47</fb>
    <v>13</v>
  </rv>
  <rv s="7">
    <fb>380.51</fb>
    <v>13</v>
  </rv>
  <rv s="7">
    <fb>376.4</fb>
    <v>13</v>
  </rv>
  <rv s="7">
    <fb>382.45</fb>
    <v>13</v>
  </rv>
  <rv s="7">
    <fb>377.52</fb>
    <v>13</v>
  </rv>
  <rv s="7">
    <fb>380.57</fb>
    <v>13</v>
  </rv>
  <rv s="7">
    <fb>380.65</fb>
    <v>13</v>
  </rv>
  <rv s="7">
    <fb>381.61</fb>
    <v>13</v>
  </rv>
  <rv s="7">
    <fb>384.48</fb>
    <v>13</v>
  </rv>
  <rv s="7">
    <fb>386.41</fb>
    <v>13</v>
  </rv>
  <rv s="7">
    <fb>385.77</fb>
    <v>13</v>
  </rv>
  <rv s="7">
    <fb>388.3</fb>
    <v>13</v>
  </rv>
  <rv s="7">
    <fb>381.79</fb>
    <v>13</v>
  </rv>
  <rv s="7">
    <fb>382.95</fb>
    <v>13</v>
  </rv>
  <rv s="7">
    <fb>388.86</fb>
    <v>13</v>
  </rv>
  <rv s="7">
    <fb>381.96</fb>
    <v>13</v>
  </rv>
  <rv s="7">
    <fb>379.75</fb>
    <v>13</v>
  </rv>
  <rv s="7">
    <fb>377.75</fb>
    <v>13</v>
  </rv>
  <rv s="7">
    <fb>380.45</fb>
    <v>13</v>
  </rv>
  <rv s="7">
    <fb>377.18</fb>
    <v>13</v>
  </rv>
  <rv s="7">
    <fb>376.91</fb>
    <v>13</v>
  </rv>
  <rv s="7">
    <fb>382.2</fb>
    <v>13</v>
  </rv>
  <rv s="7">
    <fb>385.96</fb>
    <v>13</v>
  </rv>
  <rv s="7">
    <fb>380.77</fb>
    <v>13</v>
  </rv>
  <rv s="7">
    <fb>379.4</fb>
    <v>13</v>
  </rv>
  <rv s="7">
    <fb>382.7</fb>
    <v>13</v>
  </rv>
  <rv s="7">
    <fb>377.79</fb>
    <v>13</v>
  </rv>
  <rv s="7">
    <fb>380.56</fb>
    <v>13</v>
  </rv>
  <rv s="7">
    <fb>386.87</fb>
    <v>13</v>
  </rv>
  <rv s="7">
    <fb>384.01</fb>
    <v>13</v>
  </rv>
  <rv s="7">
    <fb>383.85</fb>
    <v>13</v>
  </rv>
  <rv s="7">
    <fb>387.86</fb>
    <v>13</v>
  </rv>
  <rv s="7">
    <fb>383.02</fb>
    <v>13</v>
  </rv>
  <rv s="7">
    <fb>384.99</fb>
    <v>13</v>
  </rv>
  <rv s="7">
    <fb>386.66</fb>
    <v>13</v>
  </rv>
  <rv s="7">
    <fb>385.04</fb>
    <v>13</v>
  </rv>
  <rv s="7">
    <fb>384.26</fb>
    <v>13</v>
  </rv>
  <rv s="7">
    <fb>392.64</fb>
    <v>13</v>
  </rv>
  <rv s="7">
    <fb>378.75</fb>
    <v>13</v>
  </rv>
  <rv s="7">
    <fb>378.04</fb>
    <v>13</v>
  </rv>
  <rv s="7">
    <fb>385.42</fb>
    <v>13</v>
  </rv>
  <rv s="7">
    <fb>384.44</fb>
    <v>13</v>
  </rv>
  <rv s="7">
    <fb>384.52</fb>
    <v>13</v>
  </rv>
  <rv s="7">
    <fb>388.27</fb>
    <v>13</v>
  </rv>
  <rv s="7">
    <fb>390.47</fb>
    <v>13</v>
  </rv>
  <rv s="7">
    <fb>391.05</fb>
    <v>13</v>
  </rv>
  <rv s="7">
    <fb>390.22</fb>
    <v>13</v>
  </rv>
  <rv s="7">
    <fb>390.81</fb>
    <v>13</v>
  </rv>
  <rv s="7">
    <fb>389.05</fb>
    <v>13</v>
  </rv>
  <rv s="7">
    <fb>388.1</fb>
    <v>13</v>
  </rv>
  <rv s="7">
    <fb>392.25</fb>
    <v>13</v>
  </rv>
  <rv s="7">
    <fb>390.91</fb>
    <v>13</v>
  </rv>
  <rv s="7">
    <fb>389.57</fb>
    <v>13</v>
  </rv>
  <rv s="7">
    <fb>388.43</fb>
    <v>13</v>
  </rv>
  <rv s="7">
    <fb>386.99</fb>
    <v>13</v>
  </rv>
  <rv s="7">
    <fb>386.16</fb>
    <v>13</v>
  </rv>
  <rv s="7">
    <fb>388.18</fb>
    <v>13</v>
  </rv>
  <rv s="7">
    <fb>392.31</fb>
    <v>13</v>
  </rv>
  <rv s="7">
    <fb>388.61</fb>
    <v>13</v>
  </rv>
  <rv s="7">
    <fb>387.21</fb>
    <v>13</v>
  </rv>
  <rv s="7">
    <fb>384.37</fb>
    <v>13</v>
  </rv>
  <rv s="7">
    <fb>388.66</fb>
    <v>13</v>
  </rv>
  <rv s="7">
    <fb>396.47</fb>
    <v>13</v>
  </rv>
  <rv s="7">
    <fb>413.71</fb>
    <v>13</v>
  </rv>
  <rv s="7">
    <fb>406.82</fb>
    <v>13</v>
  </rv>
  <rv s="7">
    <fb>404.94</fb>
    <v>13</v>
  </rv>
  <rv s="7">
    <fb>406.18</fb>
    <v>13</v>
  </rv>
  <rv s="7">
    <fb>415.25</fb>
    <v>13</v>
  </rv>
  <rv s="7">
    <fb>417.69</fb>
    <v>13</v>
  </rv>
  <rv s="7">
    <fb>413.51</fb>
    <v>13</v>
  </rv>
  <rv s="7">
    <fb>410.15</fb>
    <v>13</v>
  </rv>
  <rv s="7">
    <fb>414</fb>
    <v>13</v>
  </rv>
  <rv s="7">
    <fb>406.25</fb>
    <v>13</v>
  </rv>
  <rv s="7">
    <fb>408.07</fb>
    <v>13</v>
  </rv>
  <rv s="7">
    <fb>410.71</fb>
    <v>13</v>
  </rv>
  <rv s="7">
    <fb>400.76</fb>
    <v>13</v>
  </rv>
  <rv s="7">
    <fb>397.48</fb>
    <v>13</v>
  </rv>
  <rv s="7">
    <fb>389.49</fb>
    <v>13</v>
  </rv>
  <rv s="7">
    <fb>400.88</fb>
    <v>13</v>
  </rv>
  <rv s="7">
    <fb>396.86</fb>
    <v>13</v>
  </rv>
  <rv s="7">
    <fb>403.91</fb>
    <v>13</v>
  </rv>
  <rv s="7">
    <fb>403.11</fb>
    <v>13</v>
  </rv>
  <rv s="7">
    <fb>404</fb>
    <v>13</v>
  </rv>
  <rv s="7">
    <fb>417.35</fb>
    <v>13</v>
  </rv>
  <rv s="7">
    <fb>424</fb>
    <v>13</v>
  </rv>
  <rv s="7">
    <fb>420.05</fb>
    <v>13</v>
  </rv>
  <rv s="7">
    <fb>427.57</fb>
    <v>13</v>
  </rv>
  <rv s="7">
    <fb>426.71</fb>
    <v>13</v>
  </rv>
  <rv s="7">
    <fb>426.95</fb>
    <v>13</v>
  </rv>
  <rv s="7">
    <fb>432.57</fb>
    <v>13</v>
  </rv>
  <rv s="7">
    <fb>443.67</fb>
    <v>13</v>
  </rv>
  <rv s="7">
    <fb>443.8</fb>
    <v>13</v>
  </rv>
  <rv s="7">
    <fb>455.56</fb>
    <v>13</v>
  </rv>
  <rv s="7">
    <fb>454.73</fb>
    <v>13</v>
  </rv>
  <rv s="7">
    <fb>453.56</fb>
    <v>13</v>
  </rv>
  <rv s="7">
    <fb>458.47</fb>
    <v>13</v>
  </rv>
  <rv s="7">
    <fb>466.09</fb>
    <v>13</v>
  </rv>
  <rv s="7">
    <fb>464.52</fb>
    <v>13</v>
  </rv>
  <rv s="7">
    <fb>467.72</fb>
    <v>13</v>
  </rv>
  <rv s="7">
    <fb>462.94</fb>
    <v>13</v>
  </rv>
  <rv s="7">
    <fb>470.41</fb>
    <v>13</v>
  </rv>
  <rv s="7">
    <fb>462.38</fb>
    <v>13</v>
  </rv>
  <rv s="7">
    <fb>458.15</fb>
    <v>13</v>
  </rv>
  <rv s="7">
    <fb>461.18</fb>
    <v>13</v>
  </rv>
  <rv s="7">
    <fb>459.81</fb>
    <v>13</v>
  </rv>
  <rv s="7">
    <fb>457.17</fb>
    <v>13</v>
  </rv>
  <rv s="7">
    <fb>450.23</fb>
    <v>13</v>
  </rv>
  <rv s="7">
    <fb>455.3</fb>
    <v>13</v>
  </rv>
  <rv s="7">
    <fb>461.68</fb>
    <v>13</v>
  </rv>
  <rv s="7">
    <fb>458.1</fb>
    <v>13</v>
  </rv>
  <rv s="7">
    <fb>454.91</fb>
    <v>13</v>
  </rv>
  <rv s="7">
    <fb>444.27</fb>
    <v>13</v>
  </rv>
  <rv s="7">
    <fb>448.7</fb>
    <v>13</v>
  </rv>
  <rv s="7">
    <fb>446.35</fb>
    <v>13</v>
  </rv>
  <rv s="7">
    <fb>446.46</fb>
    <v>13</v>
  </rv>
  <rv s="7">
    <fb>450.18</fb>
    <v>13</v>
  </rv>
  <rv s="7">
    <fb>457.43</fb>
    <v>13</v>
  </rv>
  <rv s="7">
    <fb>458.05</fb>
    <v>13</v>
  </rv>
  <rv s="7">
    <fb>462.09</fb>
    <v>13</v>
  </rv>
  <rv s="7">
    <fb>457.38</fb>
    <v>13</v>
  </rv>
  <rv s="7">
    <fb>455.86</fb>
    <v>13</v>
  </rv>
  <rv s="7">
    <fb>445.96</fb>
    <v>13</v>
  </rv>
  <rv s="7">
    <fb>452.32</fb>
    <v>13</v>
  </rv>
  <rv s="7">
    <fb>463.66</fb>
    <v>13</v>
  </rv>
  <rv s="7">
    <fb>465.61</fb>
    <v>13</v>
  </rv>
  <rv s="7">
    <fb>467.92</fb>
    <v>13</v>
  </rv>
  <rv s="7">
    <fb>464.75</fb>
    <v>13</v>
  </rv>
  <rv s="7">
    <fb>464.82</fb>
    <v>13</v>
  </rv>
  <rv s="7">
    <fb>472.83</fb>
    <v>13</v>
  </rv>
  <rv s="7">
    <fb>479.23</fb>
    <v>13</v>
  </rv>
  <rv s="7">
    <fb>479.88</fb>
    <v>13</v>
  </rv>
  <rv s="7">
    <fb>502.18</fb>
    <v>13</v>
  </rv>
  <rv s="7">
    <fb>486.21</fb>
    <v>13</v>
  </rv>
  <rv s="7">
    <fb>484.93</fb>
    <v>13</v>
  </rv>
  <rv s="7">
    <fb>487.04</fb>
    <v>13</v>
  </rv>
  <rv s="7">
    <fb>492.15</fb>
    <v>13</v>
  </rv>
  <rv s="7">
    <fb>486.7</fb>
    <v>13</v>
  </rv>
  <rv s="7">
    <fb>491.71</fb>
    <v>13</v>
  </rv>
  <rv s="7">
    <fb>499.03</fb>
    <v>13</v>
  </rv>
  <rv s="7">
    <fb>492.72</fb>
    <v>13</v>
  </rv>
  <rv s="7">
    <fb>505.67</fb>
    <v>13</v>
  </rv>
  <rv s="7">
    <fb>509.03</fb>
    <v>13</v>
  </rv>
  <rv s="7">
    <fb>500.12</fb>
    <v>13</v>
  </rv>
  <rv s="7">
    <fb>470.64</fb>
    <v>13</v>
  </rv>
  <rv s="7">
    <fb>459.02</fb>
    <v>13</v>
  </rv>
  <rv s="7">
    <fb>470.22</fb>
    <v>13</v>
  </rv>
  <rv s="7">
    <fb>473.01</fb>
    <v>13</v>
  </rv>
  <rv s="7">
    <fb>485.77</fb>
    <v>13</v>
  </rv>
  <rv s="7">
    <fb>490.26</fb>
    <v>13</v>
  </rv>
  <rv s="7">
    <fb>485.5</fb>
    <v>13</v>
  </rv>
  <rv s="7">
    <fb>491.94</fb>
    <v>13</v>
  </rv>
  <rv s="7">
    <fb>498.7</fb>
    <v>13</v>
  </rv>
  <rv s="7">
    <fb>499.02</fb>
    <v>13</v>
  </rv>
  <rv s="7">
    <fb>504.26</fb>
    <v>13</v>
  </rv>
  <rv s="7">
    <fb>497.34</fb>
    <v>13</v>
  </rv>
  <rv s="7">
    <fb>496.46</fb>
    <v>13</v>
  </rv>
  <rv s="7">
    <fb>497.75</fb>
    <v>13</v>
  </rv>
  <rv s="7">
    <fb>509.42</fb>
    <v>13</v>
  </rv>
  <rv s="7">
    <fb>507.87</fb>
    <v>13</v>
  </rv>
  <rv s="7">
    <fb>507.26</fb>
    <v>13</v>
  </rv>
  <rv s="7">
    <fb>503.33</fb>
    <v>13</v>
  </rv>
  <rv s="7">
    <fb>510.1</fb>
    <v>13</v>
  </rv>
  <rv s="7">
    <fb>510.25</fb>
    <v>13</v>
  </rv>
  <rv s="7">
    <fb>487.46</fb>
    <v>13</v>
  </rv>
  <rv s="7">
    <fb>490.64</fb>
    <v>13</v>
  </rv>
  <rv s="7">
    <fb>487.88</fb>
    <v>13</v>
  </rv>
  <rv s="7">
    <fb>479.61</fb>
    <v>13</v>
  </rv>
  <rv s="7">
    <fb>488.57</fb>
    <v>13</v>
  </rv>
  <rv s="7">
    <fb>467.13</fb>
    <v>13</v>
  </rv>
  <rv s="7">
    <fb>471.17</fb>
    <v>13</v>
  </rv>
  <rv s="7">
    <fb>478.99</fb>
    <v>13</v>
  </rv>
  <rv s="7">
    <fb>485.16</fb>
    <v>13</v>
  </rv>
  <rv s="7">
    <fb>484.58</fb>
    <v>13</v>
  </rv>
  <rv s="7">
    <fb>503.83</fb>
    <v>13</v>
  </rv>
  <rv s="7">
    <fb>498.43</fb>
    <v>13</v>
  </rv>
  <rv s="7">
    <fb>497.41</fb>
    <v>13</v>
  </rv>
  <rv s="7">
    <fb>491.14</fb>
    <v>13</v>
  </rv>
  <rv s="7">
    <fb>496.92</fb>
    <v>13</v>
  </rv>
  <rv s="7">
    <fb>498.51</fb>
    <v>13</v>
  </rv>
  <rv s="7">
    <fb>495.11</fb>
    <v>13</v>
  </rv>
  <rv s="7">
    <fb>490.17</fb>
    <v>13</v>
  </rv>
  <rv s="7">
    <fb>491.99</fb>
    <v>13</v>
  </rv>
  <rv s="7">
    <fb>486.1</fb>
    <v>13</v>
  </rv>
  <rv s="7">
    <fb>495.16</fb>
    <v>13</v>
  </rv>
  <rv s="7">
    <fb>494.62</fb>
    <v>13</v>
  </rv>
  <rv s="7">
    <fb>496.57</fb>
    <v>13</v>
  </rv>
  <rv s="7">
    <fb>505.18</fb>
    <v>13</v>
  </rv>
  <rv s="7">
    <fb>503.72</fb>
    <v>13</v>
  </rv>
  <rv s="7">
    <fb>516.29999999999995</fb>
    <v>13</v>
  </rv>
  <rv s="7">
    <fb>522.75</fb>
    <v>13</v>
  </rv>
  <rv s="7">
    <fb>522.38</fb>
    <v>13</v>
  </rv>
  <rv s="7">
    <fb>529.86</fb>
    <v>13</v>
  </rv>
  <rv s="7">
    <fb>529</fb>
    <v>13</v>
  </rv>
  <rv s="7">
    <fb>528.5</fb>
    <v>13</v>
  </rv>
  <rv s="7">
    <fb>517.79999999999995</fb>
    <v>13</v>
  </rv>
  <rv s="7">
    <fb>518.29999999999995</fb>
    <v>13</v>
  </rv>
  <rv s="7">
    <fb>517.20000000000005</fb>
    <v>13</v>
  </rv>
  <rv s="7">
    <fb>524.5</fb>
    <v>13</v>
  </rv>
  <rv s="7">
    <fb>512.6</fb>
    <v>13</v>
  </rv>
  <rv s="7">
    <fb>523.58000000000004</fb>
    <v>13</v>
  </rv>
  <rv s="7">
    <fb>524.28</fb>
    <v>13</v>
  </rv>
  <rv s="7">
    <fb>524.4</fb>
    <v>13</v>
  </rv>
  <rv s="7">
    <fb>517.79</fb>
    <v>13</v>
  </rv>
  <rv s="7">
    <fb>519.35</fb>
    <v>13</v>
  </rv>
  <rv s="7">
    <fb>511.47</fb>
    <v>13</v>
  </rv>
  <rv s="7">
    <fb>526.96</fb>
    <v>13</v>
  </rv>
  <rv s="7">
    <fb>595.98</fb>
    <v>13</v>
  </rv>
  <rv s="7">
    <fb>582.16999999999996</fb>
    <v>13</v>
  </rv>
  <rv s="7">
    <fb>589.26</fb>
    <v>13</v>
  </rv>
  <rv s="7">
    <fb>602.34</fb>
    <v>13</v>
  </rv>
  <rv s="7">
    <fb>592.59</fb>
    <v>13</v>
  </rv>
  <rv s="7">
    <fb>594.22</fb>
    <v>13</v>
  </rv>
  <rv s="7">
    <fb>588.61</fb>
    <v>13</v>
  </rv>
  <rv s="7">
    <fb>593.54</fb>
    <v>13</v>
  </rv>
  <rv s="7">
    <fb>587.99</fb>
    <v>13</v>
  </rv>
  <rv s="7">
    <fb>581.38</fb>
    <v>13</v>
  </rv>
  <rv s="7">
    <fb>581.92999999999995</fb>
    <v>13</v>
  </rv>
  <rv s="7">
    <fb>596.11</fb>
    <v>13</v>
  </rv>
  <rv s="7">
    <fb>602.78</fb>
    <v>13</v>
  </rv>
  <rv s="7">
    <fb>603.03</fb>
    <v>13</v>
  </rv>
  <rv s="7">
    <fb>605.5</fb>
    <v>13</v>
  </rv>
  <rv s="7">
    <fb>605.42999999999995</fb>
    <v>13</v>
  </rv>
  <rv s="7">
    <fb>608.57000000000005</fb>
    <v>13</v>
  </rv>
  <rv s="7">
    <fb>601.71</fb>
    <v>13</v>
  </rv>
  <rv s="7">
    <fb>602.08000000000004</fb>
    <v>13</v>
  </rv>
  <rv s="7">
    <fb>598.71</fb>
    <v>13</v>
  </rv>
  <rv s="7">
    <fb>596.79999999999995</fb>
    <v>13</v>
  </rv>
  <rv s="7">
    <fb>599.67999999999995</fb>
    <v>13</v>
  </rv>
  <rv s="7">
    <fb>594.12</fb>
    <v>13</v>
  </rv>
  <rv s="7">
    <fb>585.03</fb>
    <v>13</v>
  </rv>
  <rv s="7">
    <fb>333.2</fb>
    <v>13</v>
  </rv>
  <rv s="7">
    <fb>343.4</fb>
    <v>13</v>
  </rv>
  <rv s="7">
    <fb>351.81</fb>
    <v>13</v>
  </rv>
  <rv s="7">
    <fb>354</fb>
    <v>13</v>
  </rv>
  <rv s="7">
    <fb>350.81</fb>
    <v>13</v>
  </rv>
  <rv s="7">
    <fb>352.07</fb>
    <v>13</v>
  </rv>
  <rv s="7">
    <fb>348.66</fb>
    <v>13</v>
  </rv>
  <rv s="7">
    <fb>348.97</fb>
    <v>13</v>
  </rv>
  <rv s="7">
    <fb>348.59</fb>
    <v>13</v>
  </rv>
  <rv s="7">
    <fb>349.31</fb>
    <v>13</v>
  </rv>
  <rv s="7">
    <fb>348.53</fb>
    <v>13</v>
  </rv>
  <rv s="7">
    <fb>347.36</fb>
    <v>13</v>
  </rv>
  <rv s="7">
    <fb>346.55</fb>
    <v>13</v>
  </rv>
  <rv s="7">
    <fb>345.08</fb>
    <v>13</v>
  </rv>
  <rv s="7">
    <fb>338.26</fb>
    <v>13</v>
  </rv>
  <rv s="7">
    <fb>338.59</fb>
    <v>13</v>
  </rv>
  <rv s="7">
    <fb>342.94</fb>
    <v>13</v>
  </rv>
  <rv s="7">
    <fb>347.93</fb>
    <v>13</v>
  </rv>
  <rv s="7">
    <fb>346.19</fb>
    <v>13</v>
  </rv>
  <rv s="7">
    <fb>356.8</fb>
    <v>13</v>
  </rv>
  <rv s="7">
    <fb>356.53</fb>
    <v>13</v>
  </rv>
  <rv s="7">
    <fb>355.71</fb>
    <v>13</v>
  </rv>
  <rv s="7">
    <fb>358.43</fb>
    <v>13</v>
  </rv>
  <rv s="7">
    <fb>355.7</fb>
    <v>13</v>
  </rv>
  <rv s="7">
    <fb>357.9</fb>
    <v>13</v>
  </rv>
  <rv s="7">
    <fb>362.41</fb>
    <v>13</v>
  </rv>
  <rv s="7">
    <fb>356.69</fb>
    <v>13</v>
  </rv>
  <rv s="7">
    <fb>350.78</fb>
    <v>13</v>
  </rv>
  <rv s="7">
    <fb>347.27</fb>
    <v>13</v>
  </rv>
  <rv s="7">
    <fb>350.97</fb>
    <v>13</v>
  </rv>
  <rv s="7">
    <fb>355.3</fb>
    <v>13</v>
  </rv>
  <rv s="7">
    <fb>357.1</fb>
    <v>13</v>
  </rv>
  <rv s="7">
    <fb>352.96</fb>
    <v>13</v>
  </rv>
  <rv s="7">
    <fb>360.07</fb>
    <v>13</v>
  </rv>
  <rv s="7">
    <fb>357.23</fb>
    <v>13</v>
  </rv>
  <rv s="7">
    <fb>355.14</fb>
    <v>13</v>
  </rv>
  <rv s="7">
    <fb>356.25</fb>
    <v>13</v>
  </rv>
  <rv s="7">
    <fb>362.69</fb>
    <v>13</v>
  </rv>
  <rv s="7">
    <fb>363.72</fb>
    <v>13</v>
  </rv>
  <rv s="7">
    <fb>363.15</fb>
    <v>13</v>
  </rv>
  <rv s="7">
    <fb>365.45</fb>
    <v>13</v>
  </rv>
  <rv s="7">
    <fb>357.59</fb>
    <v>13</v>
  </rv>
  <rv s="7">
    <fb>358.23</fb>
    <v>13</v>
  </rv>
  <rv s="7">
    <fb>361.08</fb>
    <v>13</v>
  </rv>
  <rv s="7">
    <fb>362.35</fb>
    <v>13</v>
  </rv>
  <rv s="7">
    <fb>362.57</fb>
    <v>13</v>
  </rv>
  <rv s="7">
    <fb>364.13</fb>
    <v>13</v>
  </rv>
  <rv s="7">
    <fb>371.34</fb>
    <v>13</v>
  </rv>
  <rv s="7">
    <fb>371.96</fb>
    <v>13</v>
  </rv>
  <rv s="7">
    <fb>371.6</fb>
    <v>13</v>
  </rv>
  <rv s="7">
    <fb>375.56</fb>
    <v>13</v>
  </rv>
  <rv s="7">
    <fb>377.61</fb>
    <v>13</v>
  </rv>
  <rv s="7">
    <fb>380.61</fb>
    <v>13</v>
  </rv>
  <rv s="7">
    <fb>384.45</fb>
    <v>13</v>
  </rv>
  <rv s="7">
    <fb>380.37</fb>
    <v>13</v>
  </rv>
  <rv s="7">
    <fb>378.45</fb>
    <v>13</v>
  </rv>
  <rv s="7">
    <fb>377.44</fb>
    <v>13</v>
  </rv>
  <rv s="7">
    <fb>376.55</fb>
    <v>13</v>
  </rv>
  <rv s="7">
    <fb>373.35</fb>
    <v>13</v>
  </rv>
  <rv s="7">
    <fb>371.52</fb>
    <v>13</v>
  </rv>
  <rv s="7">
    <fb>374.54</fb>
    <v>13</v>
  </rv>
  <rv s="7">
    <fb>378.99</fb>
    <v>13</v>
  </rv>
  <rv s="7">
    <fb>375.27</fb>
    <v>13</v>
  </rv>
  <rv s="7">
    <fb>373.23</fb>
    <v>13</v>
  </rv>
  <rv s="7">
    <fb>371.91</fb>
    <v>13</v>
  </rv>
  <rv s="7">
    <fb>379.41</fb>
    <v>13</v>
  </rv>
  <rv s="7">
    <fb>384.41</fb>
    <v>13</v>
  </rv>
  <rv s="7">
    <fb>395.2</fb>
    <v>13</v>
  </rv>
  <rv s="7">
    <fb>390.28</fb>
    <v>13</v>
  </rv>
  <rv s="7">
    <fb>383.51</fb>
    <v>13</v>
  </rv>
  <rv s="7">
    <fb>379.93</fb>
    <v>13</v>
  </rv>
  <rv s="7">
    <fb>385.89</fb>
    <v>13</v>
  </rv>
  <rv s="7">
    <fb>383.6</fb>
    <v>13</v>
  </rv>
  <rv s="7">
    <fb>368.03</fb>
    <v>13</v>
  </rv>
  <rv s="7">
    <fb>363</fb>
    <v>13</v>
  </rv>
  <rv s="7">
    <fb>359.9</fb>
    <v>13</v>
  </rv>
  <rv s="7">
    <fb>357.68</fb>
    <v>13</v>
  </rv>
  <rv s="7">
    <fb>357.87</fb>
    <v>13</v>
  </rv>
  <rv s="7">
    <fb>362.05</fb>
    <v>13</v>
  </rv>
  <rv s="7">
    <fb>361.42</fb>
    <v>13</v>
  </rv>
  <rv s="7">
    <fb>350.56</fb>
    <v>13</v>
  </rv>
  <rv s="7">
    <fb>347.37</fb>
    <v>13</v>
  </rv>
  <rv s="7">
    <fb>342.87</fb>
    <v>13</v>
  </rv>
  <rv s="7">
    <fb>337.93</fb>
    <v>13</v>
  </rv>
  <rv s="7">
    <fb>334.83</fb>
    <v>13</v>
  </rv>
  <rv s="7">
    <fb>332.83</fb>
    <v>13</v>
  </rv>
  <rv s="7">
    <fb>332.89</fb>
    <v>13</v>
  </rv>
  <rv s="7">
    <fb>335.36</fb>
    <v>13</v>
  </rv>
  <rv s="7">
    <fb>336.11</fb>
    <v>13</v>
  </rv>
  <rv s="7">
    <fb>339</fb>
    <v>13</v>
  </rv>
  <rv s="7">
    <fb>333.01</fb>
    <v>13</v>
  </rv>
  <rv s="7">
    <fb>331.98</fb>
    <v>13</v>
  </rv>
  <rv s="7">
    <fb>335.09</fb>
    <v>13</v>
  </rv>
  <rv s="7">
    <fb>336.8</fb>
    <v>13</v>
  </rv>
  <rv s="7">
    <fb>331.97</fb>
    <v>13</v>
  </rv>
  <rv s="7">
    <fb>335.53</fb>
    <v>13</v>
  </rv>
  <rv s="7">
    <fb>342.85</fb>
    <v>13</v>
  </rv>
  <rv s="7">
    <fb>342.29</fb>
    <v>13</v>
  </rv>
  <rv s="7">
    <fb>340.69</fb>
    <v>13</v>
  </rv>
  <rv s="7">
    <fb>338.83</fb>
    <v>13</v>
  </rv>
  <rv s="7">
    <fb>347.44</fb>
    <v>13</v>
  </rv>
  <rv s="7">
    <fb>346.43</fb>
    <v>13</v>
  </rv>
  <rv s="7">
    <fb>340.96</fb>
    <v>13</v>
  </rv>
  <rv s="7">
    <fb>340.5</fb>
    <v>13</v>
  </rv>
  <rv s="7">
    <fb>348.67</fb>
    <v>13</v>
  </rv>
  <rv s="7">
    <fb>342.73</fb>
    <v>13</v>
  </rv>
  <rv s="7">
    <fb>344.21</fb>
    <v>13</v>
  </rv>
  <rv s="7">
    <fb>337.82</fb>
    <v>13</v>
  </rv>
  <rv s="7">
    <fb>336.15</fb>
    <v>13</v>
  </rv>
  <rv s="7">
    <fb>330.59</fb>
    <v>13</v>
  </rv>
  <rv s="7">
    <fb>326.89</fb>
    <v>13</v>
  </rv>
  <rv s="7">
    <fb>325.10000000000002</fb>
    <v>13</v>
  </rv>
  <rv s="7">
    <fb>328.7</fb>
    <v>13</v>
  </rv>
  <rv s="7">
    <fb>325.91000000000003</fb>
    <v>13</v>
  </rv>
  <rv s="7">
    <fb>329.18</fb>
    <v>13</v>
  </rv>
  <rv s="7">
    <fb>334.87</fb>
    <v>13</v>
  </rv>
  <rv s="7">
    <fb>328.01</fb>
    <v>13</v>
  </rv>
  <rv s="7">
    <fb>328.26</fb>
    <v>13</v>
  </rv>
  <rv s="7">
    <fb>330.26</fb>
    <v>13</v>
  </rv>
  <rv s="7">
    <fb>331.1</fb>
    <v>13</v>
  </rv>
  <rv s="7">
    <fb>327.02999999999997</fb>
    <v>13</v>
  </rv>
  <rv s="7">
    <fb>332.56</fb>
    <v>13</v>
  </rv>
  <rv s="7">
    <fb>335.72</fb>
    <v>13</v>
  </rv>
  <rv s="7">
    <fb>344.14</fb>
    <v>13</v>
  </rv>
  <rv s="7">
    <fb>347.88</fb>
    <v>13</v>
  </rv>
  <rv s="7">
    <fb>346.84</fb>
    <v>13</v>
  </rv>
  <rv s="7">
    <fb>349.5</fb>
    <v>13</v>
  </rv>
  <rv s="7">
    <fb>353.87</fb>
    <v>13</v>
  </rv>
  <rv s="7">
    <fb>353.44</fb>
    <v>13</v>
  </rv>
  <rv s="7">
    <fb>355.8</fb>
    <v>13</v>
  </rv>
  <rv s="7">
    <fb>350.88</fb>
    <v>13</v>
  </rv>
  <rv s="7">
    <fb>338.32</fb>
    <v>13</v>
  </rv>
  <rv s="7">
    <fb>341.82</fb>
    <v>13</v>
  </rv>
  <rv s="7">
    <fb>341.49</fb>
    <v>13</v>
  </rv>
  <rv s="7">
    <fb>344.24</fb>
    <v>13</v>
  </rv>
  <rv s="7">
    <fb>336.19</fb>
    <v>13</v>
  </rv>
  <rv s="7">
    <fb>334.97</fb>
    <v>13</v>
  </rv>
  <rv s="7">
    <fb>333.64</fb>
    <v>13</v>
  </rv>
  <rv s="7">
    <fb>334.58</fb>
    <v>13</v>
  </rv>
  <rv s="7">
    <fb>339.6</fb>
    <v>13</v>
  </rv>
  <rv s="7">
    <fb>337.09</fb>
    <v>13</v>
  </rv>
  <rv s="7">
    <fb>344.18</fb>
    <v>13</v>
  </rv>
  <rv s="7">
    <fb>353.79</fb>
    <v>13</v>
  </rv>
  <rv s="7">
    <fb>359.77</fb>
    <v>13</v>
  </rv>
  <rv s="7">
    <fb>358.46</fb>
    <v>13</v>
  </rv>
  <rv s="7">
    <fb>369.12</fb>
    <v>13</v>
  </rv>
  <rv s="7">
    <fb>371.89</fb>
    <v>13</v>
  </rv>
  <rv s="7">
    <fb>366.08</fb>
    <v>13</v>
  </rv>
  <rv s="7">
    <fb>363.36</fb>
    <v>13</v>
  </rv>
  <rv s="7">
    <fb>363.25</fb>
    <v>13</v>
  </rv>
  <rv s="7">
    <fb>359.62</fb>
    <v>13</v>
  </rv>
  <rv s="7">
    <fb>350.31</fb>
    <v>13</v>
  </rv>
  <rv s="7">
    <fb>353.29</fb>
    <v>13</v>
  </rv>
  <rv s="7">
    <fb>359.51</fb>
    <v>13</v>
  </rv>
  <rv s="7">
    <fb>361.67</fb>
    <v>13</v>
  </rv>
  <rv s="7">
    <fb>363.69</fb>
    <v>13</v>
  </rv>
  <rv s="7">
    <fb>368.16</fb>
    <v>13</v>
  </rv>
  <rv s="7">
    <fb>358.58</fb>
    <v>13</v>
  </rv>
  <rv s="7">
    <fb>355.43</fb>
    <v>13</v>
  </rv>
  <rv s="7">
    <fb>350.01</fb>
    <v>13</v>
  </rv>
  <rv s="7">
    <fb>353.91</fb>
    <v>13</v>
  </rv>
  <rv s="7">
    <fb>342.4</fb>
    <v>13</v>
  </rv>
  <rv s="7">
    <fb>348.34</fb>
    <v>13</v>
  </rv>
  <rv s="7">
    <fb>348.64</fb>
    <v>13</v>
  </rv>
  <rv s="7">
    <fb>345.81</fb>
    <v>13</v>
  </rv>
  <rv s="7">
    <fb>350.07</fb>
    <v>13</v>
  </rv>
  <rv s="7">
    <fb>355.66</fb>
    <v>13</v>
  </rv>
  <rv s="7">
    <fb>362.06</fb>
    <v>13</v>
  </rv>
  <rv s="7">
    <fb>363.07</fb>
    <v>13</v>
  </rv>
  <rv s="7">
    <fb>367.27</fb>
    <v>13</v>
  </rv>
  <rv s="7">
    <fb>370.46</fb>
    <v>13</v>
  </rv>
  <rv s="7">
    <fb>365.36</fb>
    <v>13</v>
  </rv>
  <rv s="7">
    <fb>375.59</fb>
    <v>13</v>
  </rv>
  <rv s="7">
    <fb>374.11</fb>
    <v>13</v>
  </rv>
  <rv s="7">
    <fb>373.18</fb>
    <v>13</v>
  </rv>
  <rv s="7">
    <fb>372.69</fb>
    <v>13</v>
  </rv>
  <rv s="7">
    <fb>367.06</fb>
    <v>13</v>
  </rv>
  <rv s="7">
    <fb>368.5</fb>
    <v>13</v>
  </rv>
  <rv s="7">
    <fb>364.74</fb>
    <v>13</v>
  </rv>
  <rv s="7">
    <fb>364.67</fb>
    <v>13</v>
  </rv>
  <rv s="7">
    <fb>361.85</fb>
    <v>13</v>
  </rv>
  <rv s="7">
    <fb>360.05</fb>
    <v>13</v>
  </rv>
  <rv s="7">
    <fb>365.52</fb>
    <v>13</v>
  </rv>
  <rv s="7">
    <fb>370.49</fb>
    <v>13</v>
  </rv>
  <rv s="7">
    <fb>374.43</fb>
    <v>13</v>
  </rv>
  <rv s="7">
    <fb>379.99</fb>
    <v>13</v>
  </rv>
  <rv s="7">
    <fb>382.01</fb>
    <v>13</v>
  </rv>
  <rv s="7">
    <fb>383.24</fb>
    <v>13</v>
  </rv>
  <rv s="7">
    <fb>390.34</fb>
    <v>13</v>
  </rv>
  <rv s="7">
    <fb>389.86</fb>
    <v>13</v>
  </rv>
  <rv s="7">
    <fb>391.96</fb>
    <v>13</v>
  </rv>
  <rv s="7">
    <fb>400.66</fb>
    <v>13</v>
  </rv>
  <rv s="7">
    <fb>396.93</fb>
    <v>13</v>
  </rv>
  <rv s="7">
    <fb>396.7</fb>
    <v>13</v>
  </rv>
  <rv s="7">
    <fb>399.53</fb>
    <v>13</v>
  </rv>
  <rv s="7">
    <fb>405.2</fb>
    <v>13</v>
  </rv>
  <rv s="7">
    <fb>409.05</fb>
    <v>13</v>
  </rv>
  <rv s="7">
    <fb>411.26</fb>
    <v>13</v>
  </rv>
  <rv s="7">
    <fb>411.58</fb>
    <v>13</v>
  </rv>
  <rv s="7">
    <fb>408.36</fb>
    <v>13</v>
  </rv>
  <rv s="7">
    <fb>408.06</fb>
    <v>13</v>
  </rv>
  <rv s="7">
    <fb>414.18</fb>
    <v>13</v>
  </rv>
  <rv s="7">
    <fb>409.96</fb>
    <v>13</v>
  </rv>
  <rv s="7">
    <fb>411.9</fb>
    <v>13</v>
  </rv>
  <rv s="7">
    <fb>415.42</fb>
    <v>13</v>
  </rv>
  <rv s="7">
    <fb>415.58</fb>
    <v>13</v>
  </rv>
  <rv s="7">
    <fb>418.61</fb>
    <v>13</v>
  </rv>
  <rv s="7">
    <fb>415.6</fb>
    <v>13</v>
  </rv>
  <rv s="7">
    <fb>406.4</fb>
    <v>13</v>
  </rv>
  <rv s="7">
    <fb>401.85</fb>
    <v>13</v>
  </rv>
  <rv s="7">
    <fb>399.64</fb>
    <v>13</v>
  </rv>
  <rv s="7">
    <fb>402.68</fb>
    <v>13</v>
  </rv>
  <rv s="7">
    <fb>398.91</fb>
    <v>13</v>
  </rv>
  <rv s="7">
    <fb>402.89</fb>
    <v>13</v>
  </rv>
  <rv s="7">
    <fb>395.07</fb>
    <v>13</v>
  </rv>
  <rv s="7">
    <fb>392.52</fb>
    <v>13</v>
  </rv>
  <rv s="7">
    <fb>393.75</fb>
    <v>13</v>
  </rv>
  <rv s="7">
    <fb>392.59</fb>
    <v>13</v>
  </rv>
  <rv s="7">
    <fb>395.57</fb>
    <v>13</v>
  </rv>
  <rv s="7">
    <fb>400.09</fb>
    <v>13</v>
  </rv>
  <rv s="7">
    <fb>388.37</fb>
    <v>13</v>
  </rv>
  <rv s="7">
    <fb>399.44</fb>
    <v>13</v>
  </rv>
  <rv s="7">
    <fb>405.9</fb>
    <v>13</v>
  </rv>
  <rv s="7">
    <fb>408.29</fb>
    <v>13</v>
  </rv>
  <rv s="7">
    <fb>403.08</fb>
    <v>13</v>
  </rv>
  <rv s="7">
    <fb>410.19</fb>
    <v>13</v>
  </rv>
  <rv s="7">
    <fb>408.18</fb>
    <v>13</v>
  </rv>
  <rv s="7">
    <fb>410.44</fb>
    <v>13</v>
  </rv>
  <rv s="7">
    <fb>400</fb>
    <v>13</v>
  </rv>
  <rv s="7">
    <fb>410.45</fb>
    <v>13</v>
  </rv>
  <rv s="7">
    <fb>420</fb>
    <v>13</v>
  </rv>
  <rv s="7">
    <fb>428.67</fb>
    <v>13</v>
  </rv>
  <rv s="7">
    <fb>429.52</fb>
    <v>13</v>
  </rv>
  <rv s="7">
    <fb>427.19</fb>
    <v>13</v>
  </rv>
  <rv s="7">
    <fb>429.13</fb>
    <v>13</v>
  </rv>
  <rv s="7">
    <fb>426.96</fb>
    <v>13</v>
  </rv>
  <rv s="7">
    <fb>429.35</fb>
    <v>13</v>
  </rv>
  <rv s="7">
    <fb>427.92</fb>
    <v>13</v>
  </rv>
  <rv s="7">
    <fb>426.54</fb>
    <v>13</v>
  </rv>
  <rv s="7">
    <fb>431.37</fb>
    <v>13</v>
  </rv>
  <rv s="7">
    <fb>429.18</fb>
    <v>13</v>
  </rv>
  <rv s="7">
    <fb>422.59</fb>
    <v>13</v>
  </rv>
  <rv s="7">
    <fb>146.16999999999999</fb>
    <v>13</v>
  </rv>
  <rv s="7">
    <fb>143.91</fb>
    <v>13</v>
  </rv>
  <rv s="7">
    <fb>144.26</fb>
    <v>13</v>
  </rv>
  <rv s="7">
    <fb>146.06</fb>
    <v>13</v>
  </rv>
  <rv s="7">
    <fb>146.54</fb>
    <v>13</v>
  </rv>
  <rv s="7">
    <fb>147.84</fb>
    <v>13</v>
  </rv>
  <rv s="7">
    <fb>148.65</fb>
    <v>13</v>
  </rv>
  <rv s="7">
    <fb>148.69</fb>
    <v>13</v>
  </rv>
  <rv s="7">
    <fb>149.94</fb>
    <v>13</v>
  </rv>
  <rv s="7">
    <fb>150.51</fb>
    <v>13</v>
  </rv>
  <rv s="7">
    <fb>149.79</fb>
    <v>13</v>
  </rv>
  <rv s="7">
    <fb>148.13999999999999</fb>
    <v>13</v>
  </rv>
  <rv s="7">
    <fb>147.57</fb>
    <v>13</v>
  </rv>
  <rv s="7">
    <fb>147.86000000000001</fb>
    <v>13</v>
  </rv>
  <rv s="7">
    <fb>153.97999999999999</fb>
    <v>13</v>
  </rv>
  <rv s="7">
    <fb>155.62</fb>
    <v>13</v>
  </rv>
  <rv s="7">
    <fb>157.49</fb>
    <v>13</v>
  </rv>
  <rv s="7">
    <fb>157.13999999999999</fb>
    <v>13</v>
  </rv>
  <rv s="7">
    <fb>159.18</fb>
    <v>13</v>
  </rv>
  <rv s="7">
    <fb>158.09</fb>
    <v>13</v>
  </rv>
  <rv s="7">
    <fb>158.21</fb>
    <v>13</v>
  </rv>
  <rv s="7">
    <fb>158.63999999999999</fb>
    <v>13</v>
  </rv>
  <rv s="7">
    <fb>157.41999999999999</fb>
    <v>13</v>
  </rv>
  <rv s="7">
    <fb>157.11000000000001</fb>
    <v>13</v>
  </rv>
  <rv s="7">
    <fb>156.27000000000001</fb>
    <v>13</v>
  </rv>
  <rv s="7">
    <fb>155.63</fb>
    <v>13</v>
  </rv>
  <rv s="7">
    <fb>157.01</fb>
    <v>13</v>
  </rv>
  <rv s="7">
    <fb>158.51</fb>
    <v>13</v>
  </rv>
  <rv s="7">
    <fb>160.4</fb>
    <v>13</v>
  </rv>
  <rv s="7">
    <fb>160.56</fb>
    <v>13</v>
  </rv>
  <rv s="7">
    <fb>161.03</fb>
    <v>13</v>
  </rv>
  <rv s="7">
    <fb>159.30000000000001</fb>
    <v>13</v>
  </rv>
  <rv s="7">
    <fb>158.85</fb>
    <v>13</v>
  </rv>
  <rv s="7">
    <fb>160.35</fb>
    <v>13</v>
  </rv>
  <rv s="7">
    <fb>161.83000000000001</fb>
    <v>13</v>
  </rv>
  <rv s="7">
    <fb>161.66</fb>
    <v>13</v>
  </rv>
  <rv s="7">
    <fb>160.19</fb>
    <v>13</v>
  </rv>
  <rv s="7">
    <fb>160.55000000000001</fb>
    <v>13</v>
  </rv>
  <rv s="7">
    <fb>162.61000000000001</fb>
    <v>13</v>
  </rv>
  <rv s="7">
    <fb>162.25</fb>
    <v>13</v>
  </rv>
  <rv s="7">
    <fb>160.58000000000001</fb>
    <v>13</v>
  </rv>
  <rv s="7">
    <fb>160.57</fb>
    <v>13</v>
  </rv>
  <rv s="7">
    <fb>156.15</fb>
    <v>13</v>
  </rv>
  <rv s="7">
    <fb>155.44999999999999</fb>
    <v>13</v>
  </rv>
  <rv s="7">
    <fb>156.1</fb>
    <v>13</v>
  </rv>
  <rv s="7">
    <fb>156.04</fb>
    <v>13</v>
  </rv>
  <rv s="7">
    <fb>156.66</fb>
    <v>13</v>
  </rv>
  <rv s="7">
    <fb>155.84</fb>
    <v>13</v>
  </rv>
  <rv s="7">
    <fb>155.33000000000001</fb>
    <v>13</v>
  </rv>
  <rv s="7">
    <fb>156.96</fb>
    <v>13</v>
  </rv>
  <rv s="7">
    <fb>157.29</fb>
    <v>13</v>
  </rv>
  <rv s="7">
    <fb>162.6</fb>
    <v>13</v>
  </rv>
  <rv s="7">
    <fb>162.55000000000001</fb>
    <v>13</v>
  </rv>
  <rv s="7">
    <fb>161.29</fb>
    <v>13</v>
  </rv>
  <rv s="7">
    <fb>163.19999999999999</fb>
    <v>13</v>
  </rv>
  <rv s="7">
    <fb>164.46</fb>
    <v>13</v>
  </rv>
  <rv s="7">
    <fb>165.76</fb>
    <v>13</v>
  </rv>
  <rv s="7">
    <fb>165.07</fb>
    <v>13</v>
  </rv>
  <rv s="7">
    <fb>166.04</fb>
    <v>13</v>
  </rv>
  <rv s="7">
    <fb>165.87</fb>
    <v>13</v>
  </rv>
  <rv s="7">
    <fb>167.86</fb>
    <v>13</v>
  </rv>
  <rv s="7">
    <fb>167.64</fb>
    <v>13</v>
  </rv>
  <rv s="7">
    <fb>168.35</fb>
    <v>13</v>
  </rv>
  <rv s="7">
    <fb>167.81</fb>
    <v>13</v>
  </rv>
  <rv s="7">
    <fb>165.33</fb>
    <v>13</v>
  </rv>
  <rv s="7">
    <fb>163.11000000000001</fb>
    <v>13</v>
  </rv>
  <rv s="7">
    <fb>161.65</fb>
    <v>13</v>
  </rv>
  <rv s="7">
    <fb>162.58000000000001</fb>
    <v>13</v>
  </rv>
  <rv s="7">
    <fb>164.54</fb>
    <v>13</v>
  </rv>
  <rv s="7">
    <fb>164.65</fb>
    <v>13</v>
  </rv>
  <rv s="7">
    <fb>167.01</fb>
    <v>13</v>
  </rv>
  <rv s="7">
    <fb>166.05</fb>
    <v>13</v>
  </rv>
  <rv s="7">
    <fb>168.47</fb>
    <v>13</v>
  </rv>
  <rv s="7">
    <fb>167.35</fb>
    <v>13</v>
  </rv>
  <rv s="7">
    <fb>167.48</fb>
    <v>13</v>
  </rv>
  <rv s="7">
    <fb>165.18</fb>
    <v>13</v>
  </rv>
  <rv s="7">
    <fb>166.41</fb>
    <v>13</v>
  </rv>
  <rv s="7">
    <fb>166.79</fb>
    <v>13</v>
  </rv>
  <rv s="7">
    <fb>167.67</fb>
    <v>13</v>
  </rv>
  <rv s="7">
    <fb>167.45</fb>
    <v>13</v>
  </rv>
  <rv s="7">
    <fb>164.92</fb>
    <v>13</v>
  </rv>
  <rv s="7">
    <fb>165.21</fb>
    <v>13</v>
  </rv>
  <rv s="7">
    <fb>166.52</fb>
    <v>13</v>
  </rv>
  <rv s="7">
    <fb>165.66</fb>
    <v>13</v>
  </rv>
  <rv s="7">
    <fb>165.54</fb>
    <v>13</v>
  </rv>
  <rv s="7">
    <fb>164.58</fb>
    <v>13</v>
  </rv>
  <rv s="7">
    <fb>166.95</fb>
    <v>13</v>
  </rv>
  <rv s="7">
    <fb>169.44</fb>
    <v>13</v>
  </rv>
  <rv s="7">
    <fb>168.44</fb>
    <v>13</v>
  </rv>
  <rv s="7">
    <fb>167.96</fb>
    <v>13</v>
  </rv>
  <rv s="7">
    <fb>168.25</fb>
    <v>13</v>
  </rv>
  <rv s="7">
    <fb>169.11</fb>
    <v>13</v>
  </rv>
  <rv s="7">
    <fb>169.93</fb>
    <v>13</v>
  </rv>
  <rv s="7">
    <fb>161.69999999999999</fb>
    <v>13</v>
  </rv>
  <rv s="7">
    <fb>170.08</fb>
    <v>13</v>
  </rv>
  <rv s="7">
    <fb>168.06</fb>
    <v>13</v>
  </rv>
  <rv s="7">
    <fb>168.09</fb>
    <v>13</v>
  </rv>
  <rv s="7">
    <fb>170.87</fb>
    <v>13</v>
  </rv>
  <rv s="7">
    <fb>170.54</fb>
    <v>13</v>
  </rv>
  <rv s="7">
    <fb>167.29</fb>
    <v>13</v>
  </rv>
  <rv s="7">
    <fb>168.8</fb>
    <v>13</v>
  </rv>
  <rv s="7">
    <fb>167.92</fb>
    <v>13</v>
  </rv>
  <rv s="7">
    <fb>170.41</fb>
    <v>13</v>
  </rv>
  <rv s="7">
    <fb>170.16</fb>
    <v>13</v>
  </rv>
  <rv s="7">
    <fb>170.15</fb>
    <v>13</v>
  </rv>
  <rv s="7">
    <fb>169.17</fb>
    <v>13</v>
  </rv>
  <rv s="7">
    <fb>170.35</fb>
    <v>13</v>
  </rv>
  <rv s="7">
    <fb>169.25</fb>
    <v>13</v>
  </rv>
  <rv s="7">
    <fb>169.06</fb>
    <v>13</v>
  </rv>
  <rv s="7">
    <fb>175.47</fb>
    <v>13</v>
  </rv>
  <rv s="7">
    <fb>175.59</fb>
    <v>13</v>
  </rv>
  <rv s="7">
    <fb>174.08</fb>
    <v>13</v>
  </rv>
  <rv s="7">
    <fb>175.88</fb>
    <v>13</v>
  </rv>
  <rv s="7">
    <fb>174.22</fb>
    <v>13</v>
  </rv>
  <rv s="7">
    <fb>173.77</fb>
    <v>13</v>
  </rv>
  <rv s="7">
    <fb>173.24</fb>
    <v>13</v>
  </rv>
  <rv s="7">
    <fb>173.21</fb>
    <v>13</v>
  </rv>
  <rv s="7">
    <fb>173.2</fb>
    <v>13</v>
  </rv>
  <rv s="7">
    <fb>173.04</fb>
    <v>13</v>
  </rv>
  <rv s="7">
    <fb>171.92</fb>
    <v>13</v>
  </rv>
  <rv s="7">
    <fb>168.88</fb>
    <v>13</v>
  </rv>
  <rv s="7">
    <fb>167.12</fb>
    <v>13</v>
  </rv>
  <rv s="7">
    <fb>168.16</fb>
    <v>13</v>
  </rv>
  <rv s="7">
    <fb>169.27</fb>
    <v>13</v>
  </rv>
  <rv s="7">
    <fb>171.09</fb>
    <v>13</v>
  </rv>
  <rv s="7">
    <fb>173.57</fb>
    <v>13</v>
  </rv>
  <rv s="7">
    <fb>172.38</fb>
    <v>13</v>
  </rv>
  <rv s="7">
    <fb>171.28</fb>
    <v>13</v>
  </rv>
  <rv s="7">
    <fb>169.54</fb>
    <v>13</v>
  </rv>
  <rv s="7">
    <fb>169.62</fb>
    <v>13</v>
  </rv>
  <rv s="7">
    <fb>168.22</fb>
    <v>13</v>
  </rv>
  <rv s="7">
    <fb>167.17</fb>
    <v>13</v>
  </rv>
  <rv s="7">
    <fb>165.1</fb>
    <v>13</v>
  </rv>
  <rv s="7">
    <fb>165.08</fb>
    <v>13</v>
  </rv>
  <rv s="7">
    <fb>161.05000000000001</fb>
    <v>13</v>
  </rv>
  <rv s="7">
    <fb>163.41</fb>
    <v>13</v>
  </rv>
  <rv s="7">
    <fb>166.03</fb>
    <v>13</v>
  </rv>
  <rv s="7">
    <fb>170.75</fb>
    <v>13</v>
  </rv>
  <rv s="7">
    <fb>176.28</fb>
    <v>13</v>
  </rv>
  <rv s="7">
    <fb>177.39</fb>
    <v>13</v>
  </rv>
  <rv s="7">
    <fb>179.31</fb>
    <v>13</v>
  </rv>
  <rv s="7">
    <fb>179.36</fb>
    <v>13</v>
  </rv>
  <rv s="7">
    <fb>179.26</fb>
    <v>13</v>
  </rv>
  <rv s="7">
    <fb>175.42</fb>
    <v>13</v>
  </rv>
  <rv s="7">
    <fb>175.11</fb>
    <v>13</v>
  </rv>
  <rv s="7">
    <fb>173.82</fb>
    <v>13</v>
  </rv>
  <rv s="7">
    <fb>170.79</fb>
    <v>13</v>
  </rv>
  <rv s="7">
    <fb>91.07</fb>
    <v>13</v>
  </rv>
  <rv s="7">
    <fb>92.86</fb>
    <v>13</v>
  </rv>
  <rv s="7">
    <fb>93.93</fb>
    <v>13</v>
  </rv>
  <rv s="7">
    <fb>91.27</fb>
    <v>13</v>
  </rv>
  <rv s="7">
    <fb>92.02</fb>
    <v>13</v>
  </rv>
  <rv s="7">
    <fb>91.02</fb>
    <v>13</v>
  </rv>
  <rv s="7">
    <fb>90.38</fb>
    <v>13</v>
  </rv>
  <rv s="7">
    <fb>90.4</fb>
    <v>13</v>
  </rv>
  <rv s="7">
    <fb>90.29</fb>
    <v>13</v>
  </rv>
  <rv s="7">
    <fb>90.56</fb>
    <v>13</v>
  </rv>
  <rv s="7">
    <fb>90.9</fb>
    <v>13</v>
  </rv>
  <rv s="7">
    <fb>91.55</fb>
    <v>13</v>
  </rv>
  <rv s="7">
    <fb>89.67</fb>
    <v>13</v>
  </rv>
  <rv s="7">
    <fb>89.29</fb>
    <v>13</v>
  </rv>
  <rv s="7">
    <fb>89.45</fb>
    <v>13</v>
  </rv>
  <rv s="7">
    <fb>90.35</fb>
    <v>13</v>
  </rv>
  <rv s="7">
    <fb>93.05</fb>
    <v>13</v>
  </rv>
  <rv s="7">
    <fb>93.06</fb>
    <v>13</v>
  </rv>
  <rv s="7">
    <fb>95.08</fb>
    <v>13</v>
  </rv>
  <rv s="7">
    <fb>93.77</fb>
    <v>13</v>
  </rv>
  <rv s="7">
    <fb>95.36</fb>
    <v>13</v>
  </rv>
  <rv s="7">
    <fb>96.94</fb>
    <v>13</v>
  </rv>
  <rv s="7">
    <fb>97.06</fb>
    <v>13</v>
  </rv>
  <rv s="7">
    <fb>97.13</fb>
    <v>13</v>
  </rv>
  <rv s="7">
    <fb>96.65</fb>
    <v>13</v>
  </rv>
  <rv s="7">
    <fb>99.29</fb>
    <v>13</v>
  </rv>
  <rv s="7">
    <fb>99.14</fb>
    <v>13</v>
  </rv>
  <rv s="7">
    <fb>110.54</fb>
    <v>13</v>
  </rv>
  <rv s="7">
    <fb>108.39</fb>
    <v>13</v>
  </rv>
  <rv s="7">
    <fb>109.29</fb>
    <v>13</v>
  </rv>
  <rv s="7">
    <fb>111.56</fb>
    <v>13</v>
  </rv>
  <rv s="7">
    <fb>112.45</fb>
    <v>13</v>
  </rv>
  <rv s="7">
    <fb>111.6</fb>
    <v>13</v>
  </rv>
  <rv s="7">
    <fb>109.44</fb>
    <v>13</v>
  </rv>
  <rv s="7">
    <fb>107.67</fb>
    <v>13</v>
  </rv>
  <rv s="7">
    <fb>107.74</fb>
    <v>13</v>
  </rv>
  <rv s="7">
    <fb>109.42</fb>
    <v>13</v>
  </rv>
  <rv s="7">
    <fb>110.8</fb>
    <v>13</v>
  </rv>
  <rv s="7">
    <fb>113.69</fb>
    <v>13</v>
  </rv>
  <rv s="7">
    <fb>112.87</fb>
    <v>13</v>
  </rv>
  <rv s="7">
    <fb>110.06</fb>
    <v>13</v>
  </rv>
  <rv s="7">
    <fb>110.18</fb>
    <v>13</v>
  </rv>
  <rv s="7">
    <fb>110.32</fb>
    <v>13</v>
  </rv>
  <rv s="7">
    <fb>112.46</fb>
    <v>13</v>
  </rv>
  <rv s="7">
    <fb>112.5</fb>
    <v>13</v>
  </rv>
  <rv s="7">
    <fb>112.06</fb>
    <v>13</v>
  </rv>
  <rv s="7">
    <fb>114.51</fb>
    <v>13</v>
  </rv>
  <rv s="7">
    <fb>116.46</fb>
    <v>13</v>
  </rv>
  <rv s="7">
    <fb>116.7</fb>
    <v>13</v>
  </rv>
  <rv s="7">
    <fb>119.36</fb>
    <v>13</v>
  </rv>
  <rv s="7">
    <fb>120.98</fb>
    <v>13</v>
  </rv>
  <rv s="7">
    <fb>122.36</fb>
    <v>13</v>
  </rv>
  <rv s="7">
    <fb>121.53</fb>
    <v>13</v>
  </rv>
  <rv s="7">
    <fb>122.82</fb>
    <v>13</v>
  </rv>
  <rv s="7">
    <fb>118.98</fb>
    <v>13</v>
  </rv>
  <rv s="7">
    <fb>118.38</fb>
    <v>13</v>
  </rv>
  <rv s="7">
    <fb>117.35</fb>
    <v>13</v>
  </rv>
  <rv s="7">
    <fb>117.15</fb>
    <v>13</v>
  </rv>
  <rv s="7">
    <fb>114.01</fb>
    <v>13</v>
  </rv>
  <rv s="7">
    <fb>112.95</fb>
    <v>13</v>
  </rv>
  <rv s="7">
    <fb>113.88</fb>
    <v>13</v>
  </rv>
  <rv s="7">
    <fb>112.43</fb>
    <v>13</v>
  </rv>
  <rv s="7">
    <fb>112.61</fb>
    <v>13</v>
  </rv>
  <rv s="7">
    <fb>111.99</fb>
    <v>13</v>
  </rv>
  <rv s="7">
    <fb>113.71</fb>
    <v>13</v>
  </rv>
  <rv s="7">
    <fb>113.92</fb>
    <v>13</v>
  </rv>
  <rv s="7">
    <fb>112.77</fb>
    <v>13</v>
  </rv>
  <rv s="7">
    <fb>112.73</fb>
    <v>13</v>
  </rv>
  <rv s="7">
    <fb>112.08</fb>
    <v>13</v>
  </rv>
  <rv s="7">
    <fb>111.1</fb>
    <v>13</v>
  </rv>
  <rv s="7">
    <fb>110.48</fb>
    <v>13</v>
  </rv>
  <rv s="7">
    <fb>112.62</fb>
    <v>13</v>
  </rv>
  <rv s="7">
    <fb>113.66</fb>
    <v>13</v>
  </rv>
  <rv s="7">
    <fb>116.47</fb>
    <v>13</v>
  </rv>
  <rv s="7">
    <fb>105.39</fb>
    <v>13</v>
  </rv>
  <rv s="7">
    <fb>105.44</fb>
    <v>13</v>
  </rv>
  <rv s="7">
    <fb>105.8</fb>
    <v>13</v>
  </rv>
  <rv s="7">
    <fb>105.79</fb>
    <v>13</v>
  </rv>
  <rv s="7">
    <fb>105.83</fb>
    <v>13</v>
  </rv>
  <rv s="7">
    <fb>105.35</fb>
    <v>13</v>
  </rv>
  <rv s="7">
    <fb>102.77</fb>
    <v>13</v>
  </rv>
  <rv s="7">
    <fb>103.37</fb>
    <v>13</v>
  </rv>
  <rv s="7">
    <fb>103.25</fb>
    <v>13</v>
  </rv>
  <rv s="7">
    <fb>102.9</fb>
    <v>13</v>
  </rv>
  <rv s="7">
    <fb>103.01</fb>
    <v>13</v>
  </rv>
  <rv s="7">
    <fb>103.02</fb>
    <v>13</v>
  </rv>
  <rv s="7">
    <fb>100.66</fb>
    <v>13</v>
  </rv>
  <rv s="7">
    <fb>100.88</fb>
    <v>13</v>
  </rv>
  <rv s="7">
    <fb>101.7</fb>
    <v>13</v>
  </rv>
  <rv s="7">
    <fb>103.91</fb>
    <v>13</v>
  </rv>
  <rv s="7">
    <fb>103.33</fb>
    <v>13</v>
  </rv>
  <rv s="7">
    <fb>101.5</fb>
    <v>13</v>
  </rv>
  <rv s="7">
    <fb>101.21</fb>
    <v>13</v>
  </rv>
  <rv s="7">
    <fb>101.54</fb>
    <v>13</v>
  </rv>
  <rv s="7">
    <fb>100.87</fb>
    <v>13</v>
  </rv>
  <rv s="7">
    <fb>100.8</fb>
    <v>13</v>
  </rv>
  <rv s="7">
    <fb>99.97</fb>
    <v>13</v>
  </rv>
  <rv s="7">
    <fb>101.52</fb>
    <v>13</v>
  </rv>
  <rv s="7">
    <fb>102.27</fb>
    <v>13</v>
  </rv>
  <rv s="7">
    <fb>101.98</fb>
    <v>13</v>
  </rv>
  <rv s="7">
    <fb>102.18</fb>
    <v>13</v>
  </rv>
  <rv s="7">
    <fb>102.17</fb>
    <v>13</v>
  </rv>
  <rv s="7">
    <fb>98.04</fb>
    <v>13</v>
  </rv>
  <rv s="7">
    <fb>97.99</fb>
    <v>13</v>
  </rv>
  <rv s="7">
    <fb>98.61</fb>
    <v>13</v>
  </rv>
  <rv s="7">
    <fb>97.37</fb>
    <v>13</v>
  </rv>
  <rv s="7">
    <fb>97.05</fb>
    <v>13</v>
  </rv>
  <rv s="7">
    <fb>96.97</fb>
    <v>13</v>
  </rv>
  <rv s="7">
    <fb>96.6</fb>
    <v>13</v>
  </rv>
  <rv s="7">
    <fb>96.87</fb>
    <v>13</v>
  </rv>
  <rv s="7">
    <fb>98.47</fb>
    <v>13</v>
  </rv>
  <rv s="7">
    <fb>96.79</fb>
    <v>13</v>
  </rv>
  <rv s="7">
    <fb>89.8</fb>
    <v>13</v>
  </rv>
  <rv s="7">
    <fb>89.21</fb>
    <v>13</v>
  </rv>
  <rv s="7">
    <fb>89.93</fb>
    <v>13</v>
  </rv>
  <rv s="7">
    <fb>93.79</fb>
    <v>13</v>
  </rv>
  <rv s="7">
    <fb>93.69</fb>
    <v>13</v>
  </rv>
  <rv s="7">
    <fb>89.57</fb>
    <v>13</v>
  </rv>
  <rv s="7">
    <fb>87.78</fb>
    <v>13</v>
  </rv>
  <rv s="7">
    <fb>89.97</fb>
    <v>13</v>
  </rv>
  <rv s="7">
    <fb>85.96</fb>
    <v>13</v>
  </rv>
  <rv s="7">
    <fb>85.6</fb>
    <v>13</v>
  </rv>
  <rv s="7">
    <fb>86.3</fb>
    <v>13</v>
  </rv>
  <rv s="7">
    <fb>88.79</fb>
    <v>13</v>
  </rv>
  <rv s="7">
    <fb>90.82</fb>
    <v>13</v>
  </rv>
  <rv s="7">
    <fb>89.74</fb>
    <v>13</v>
  </rv>
  <rv s="7">
    <fb>90.72</fb>
    <v>13</v>
  </rv>
  <rv s="7">
    <fb>89.92</fb>
    <v>13</v>
  </rv>
  <rv s="7">
    <fb>91.78</fb>
    <v>13</v>
  </rv>
  <rv s="7">
    <fb>89.49</fb>
    <v>13</v>
  </rv>
  <rv s="7">
    <fb>89.81</fb>
    <v>13</v>
  </rv>
  <rv s="7">
    <fb>89.25</fb>
    <v>13</v>
  </rv>
  <rv s="7">
    <fb>88.65</fb>
    <v>13</v>
  </rv>
  <rv s="7">
    <fb>87.94</fb>
    <v>13</v>
  </rv>
  <rv s="7">
    <fb>88.34</fb>
    <v>13</v>
  </rv>
  <rv s="7">
    <fb>88.32</fb>
    <v>13</v>
  </rv>
  <rv s="7">
    <fb>90.55</fb>
    <v>13</v>
  </rv>
  <rv s="7">
    <fb>91.85</fb>
    <v>13</v>
  </rv>
  <rv s="7">
    <fb>93.58</fb>
    <v>13</v>
  </rv>
  <rv s="7">
    <fb>93.92</fb>
    <v>13</v>
  </rv>
  <rv s="7">
    <fb>95.2</fb>
    <v>13</v>
  </rv>
  <rv s="7">
    <fb>96.19</fb>
    <v>13</v>
  </rv>
  <rv s="7">
    <fb>94.05</fb>
    <v>13</v>
  </rv>
  <rv s="7">
    <fb>94.15</fb>
    <v>13</v>
  </rv>
  <rv s="7">
    <fb>93.63</fb>
    <v>13</v>
  </rv>
  <rv s="7">
    <fb>95.15</fb>
    <v>13</v>
  </rv>
  <rv s="7">
    <fb>92.39</fb>
    <v>13</v>
  </rv>
  <rv s="7">
    <fb>93.6</fb>
    <v>13</v>
  </rv>
  <rv s="7">
    <fb>94.97</fb>
    <v>13</v>
  </rv>
  <rv s="7">
    <fb>94.22</fb>
    <v>13</v>
  </rv>
  <rv s="7">
    <fb>96.54</fb>
    <v>13</v>
  </rv>
  <rv s="7">
    <fb>97.28</fb>
    <v>13</v>
  </rv>
  <rv s="7">
    <fb>96.74</fb>
    <v>13</v>
  </rv>
  <rv s="7">
    <fb>96.24</fb>
    <v>13</v>
  </rv>
  <rv s="7">
    <fb>95.4</fb>
    <v>13</v>
  </rv>
  <rv s="7">
    <fb>95.03</fb>
    <v>13</v>
  </rv>
  <rv s="7">
    <fb>96.2</fb>
    <v>13</v>
  </rv>
  <rv s="7">
    <fb>96.13</fb>
    <v>13</v>
  </rv>
  <rv s="7">
    <fb>95.81</fb>
    <v>13</v>
  </rv>
  <rv s="7">
    <fb>96.63</fb>
    <v>13</v>
  </rv>
  <rv s="7">
    <fb>98.89</fb>
    <v>13</v>
  </rv>
  <rv s="7">
    <fb>98.93</fb>
    <v>13</v>
  </rv>
  <rv s="7">
    <fb>99.02</fb>
    <v>13</v>
  </rv>
  <rv s="7">
    <fb>100.86</fb>
    <v>13</v>
  </rv>
  <rv s="7">
    <fb>100.99</fb>
    <v>13</v>
  </rv>
  <rv s="7">
    <fb>102.72</fb>
    <v>13</v>
  </rv>
  <rv s="7">
    <fb>109.12</fb>
    <v>13</v>
  </rv>
  <rv s="7">
    <fb>115.08</fb>
    <v>13</v>
  </rv>
  <rv s="7">
    <fb>113.54</fb>
    <v>13</v>
  </rv>
  <rv s="7">
    <fb>114.72</fb>
    <v>13</v>
  </rv>
  <rv s="7">
    <fb>115.65</fb>
    <v>13</v>
  </rv>
  <rv s="7">
    <fb>115.45</fb>
    <v>13</v>
  </rv>
  <rv s="7">
    <fb>117.6</fb>
    <v>13</v>
  </rv>
  <rv s="7">
    <fb>117.47</fb>
    <v>13</v>
  </rv>
  <rv s="7">
    <fb>117.16</fb>
    <v>13</v>
  </rv>
  <rv s="7">
    <fb>116.45</fb>
    <v>13</v>
  </rv>
  <rv s="7">
    <fb>116.5</fb>
    <v>13</v>
  </rv>
  <rv s="7">
    <fb>116.73</fb>
    <v>13</v>
  </rv>
  <rv s="7">
    <fb>114.61</fb>
    <v>13</v>
  </rv>
  <rv s="7">
    <fb>40.450000000000003</fb>
    <v>13</v>
  </rv>
  <rv s="7">
    <fb>42.49</fb>
    <v>13</v>
  </rv>
  <rv s="7">
    <fb>45.33</fb>
    <v>13</v>
  </rv>
  <rv s="7">
    <fb>45.01</fb>
    <v>13</v>
  </rv>
  <rv s="7">
    <fb>44.21</fb>
    <v>13</v>
  </rv>
  <rv s="7">
    <fb>42.46</fb>
    <v>13</v>
  </rv>
  <rv s="7">
    <fb>44.07</fb>
    <v>13</v>
  </rv>
  <rv s="7">
    <fb>43.63</fb>
    <v>13</v>
  </rv>
  <rv s="7">
    <fb>43.28</fb>
    <v>13</v>
  </rv>
  <rv s="7">
    <fb>43.91</fb>
    <v>13</v>
  </rv>
  <rv s="7">
    <fb>43.21</fb>
    <v>13</v>
  </rv>
  <rv s="7">
    <fb>43.81</fb>
    <v>13</v>
  </rv>
  <rv s="7">
    <fb>43.96</fb>
    <v>13</v>
  </rv>
  <rv s="7">
    <fb>43.46</fb>
    <v>13</v>
  </rv>
  <rv s="7">
    <fb>43.4</fb>
    <v>13</v>
  </rv>
  <rv s="7">
    <fb>42.82</fb>
    <v>13</v>
  </rv>
  <rv s="7">
    <fb>42.15</fb>
    <v>13</v>
  </rv>
  <rv s="7">
    <fb>41.38</fb>
    <v>13</v>
  </rv>
  <rv s="7">
    <fb>40.82</fb>
    <v>13</v>
  </rv>
  <rv s="7">
    <fb>40.15</fb>
    <v>13</v>
  </rv>
  <rv s="7">
    <fb>42.01</fb>
    <v>13</v>
  </rv>
  <rv s="7">
    <fb>41.78</fb>
    <v>13</v>
  </rv>
  <rv s="7">
    <fb>41.97</fb>
    <v>13</v>
  </rv>
  <rv s="7">
    <fb>42.48</fb>
    <v>13</v>
  </rv>
  <rv s="7">
    <fb>42.81</fb>
    <v>13</v>
  </rv>
  <rv s="7">
    <fb>42.95</fb>
    <v>13</v>
  </rv>
  <rv s="7">
    <fb>43.34</fb>
    <v>13</v>
  </rv>
  <rv s="7">
    <fb>41.54</fb>
    <v>13</v>
  </rv>
  <rv s="7">
    <fb>40.89</fb>
    <v>13</v>
  </rv>
  <rv s="7">
    <fb>40.840000000000003</fb>
    <v>13</v>
  </rv>
  <rv s="7">
    <fb>40.1</fb>
    <v>13</v>
  </rv>
  <rv s="7">
    <fb>39.909999999999997</fb>
    <v>13</v>
  </rv>
  <rv s="7">
    <fb>40.369999999999997</fb>
    <v>13</v>
  </rv>
  <rv s="7">
    <fb>40.18</fb>
    <v>13</v>
  </rv>
  <rv s="7">
    <fb>41.07</fb>
    <v>13</v>
  </rv>
  <rv s="7">
    <fb>41.55</fb>
    <v>13</v>
  </rv>
  <rv s="7">
    <fb>41.49</fb>
    <v>13</v>
  </rv>
  <rv s="7">
    <fb>41.14</fb>
    <v>13</v>
  </rv>
  <rv s="7">
    <fb>41.35</fb>
    <v>13</v>
  </rv>
  <rv s="7">
    <fb>41.36</fb>
    <v>13</v>
  </rv>
  <rv s="7">
    <fb>41.37</fb>
    <v>13</v>
  </rv>
  <rv s="7">
    <fb>41.22</fb>
    <v>13</v>
  </rv>
  <rv s="7">
    <fb>41.96</fb>
    <v>13</v>
  </rv>
  <rv s="7">
    <fb>42.7</fb>
    <v>13</v>
  </rv>
  <rv s="7">
    <fb>43.25</fb>
    <v>13</v>
  </rv>
  <rv s="7">
    <fb>43.09</fb>
    <v>13</v>
  </rv>
  <rv s="7">
    <fb>43.26</fb>
    <v>13</v>
  </rv>
  <rv s="7">
    <fb>43.52</fb>
    <v>13</v>
  </rv>
  <rv s="7">
    <fb>42.35</fb>
    <v>13</v>
  </rv>
  <rv s="7">
    <fb>42.08</fb>
    <v>13</v>
  </rv>
  <rv s="7">
    <fb>42.47</fb>
    <v>13</v>
  </rv>
  <rv s="7">
    <fb>42.22</fb>
    <v>13</v>
  </rv>
  <rv s="7">
    <fb>44.45</fb>
    <v>13</v>
  </rv>
  <rv s="7">
    <fb>43.59</fb>
    <v>13</v>
  </rv>
  <rv s="7">
    <fb>43.55</fb>
    <v>13</v>
  </rv>
  <rv s="7">
    <fb>43.53</fb>
    <v>13</v>
  </rv>
  <rv s="7">
    <fb>44.7</fb>
    <v>13</v>
  </rv>
  <rv s="7">
    <fb>43.95</fb>
    <v>13</v>
  </rv>
  <rv s="7">
    <fb>43.11</fb>
    <v>13</v>
  </rv>
  <rv s="7">
    <fb>43.03</fb>
    <v>13</v>
  </rv>
  <rv s="7">
    <fb>43.72</fb>
    <v>13</v>
  </rv>
  <rv s="7">
    <fb>42.03</fb>
    <v>13</v>
  </rv>
  <rv s="7">
    <fb>41.92</fb>
    <v>13</v>
  </rv>
  <rv s="7">
    <fb>41.58</fb>
    <v>13</v>
  </rv>
  <rv s="7">
    <fb>41.44</fb>
    <v>13</v>
  </rv>
  <rv s="7">
    <fb>41</fb>
    <v>13</v>
  </rv>
  <rv s="7">
    <fb>39.44</fb>
    <v>13</v>
  </rv>
  <rv s="7">
    <fb>41.05</fb>
    <v>13</v>
  </rv>
  <rv s="7">
    <fb>40.97</fb>
    <v>13</v>
  </rv>
  <rv s="7">
    <fb>41.61</fb>
    <v>13</v>
  </rv>
  <rv s="7">
    <fb>40.99</fb>
    <v>13</v>
  </rv>
  <rv s="7">
    <fb>41.12</fb>
    <v>13</v>
  </rv>
  <rv s="7">
    <fb>41.29</fb>
    <v>13</v>
  </rv>
  <rv s="7">
    <fb>40.630000000000003</fb>
    <v>13</v>
  </rv>
  <rv s="7">
    <fb>41.41</fb>
    <v>13</v>
  </rv>
  <rv s="7">
    <fb>41.69</fb>
    <v>13</v>
  </rv>
  <rv s="7">
    <fb>41.85</fb>
    <v>13</v>
  </rv>
  <rv s="7">
    <fb>41.65</fb>
    <v>13</v>
  </rv>
  <rv s="7">
    <fb>41.43</fb>
    <v>13</v>
  </rv>
  <rv s="7">
    <fb>41.18</fb>
    <v>13</v>
  </rv>
  <rv s="7">
    <fb>40.770000000000003</fb>
    <v>13</v>
  </rv>
  <rv s="7">
    <fb>40.53</fb>
    <v>13</v>
  </rv>
  <rv s="7">
    <fb>39.04</fb>
    <v>13</v>
  </rv>
  <rv s="7">
    <fb>40.549999999999997</fb>
    <v>13</v>
  </rv>
  <rv s="7">
    <fb>38.96</fb>
    <v>13</v>
  </rv>
  <rv s="7">
    <fb>39.08</fb>
    <v>13</v>
  </rv>
  <rv s="7">
    <fb>39.020000000000003</fb>
    <v>13</v>
  </rv>
  <rv s="7">
    <fb>38.83</fb>
    <v>13</v>
  </rv>
  <rv s="7">
    <fb>39.090000000000003</fb>
    <v>13</v>
  </rv>
  <rv s="7">
    <fb>39.71</fb>
    <v>13</v>
  </rv>
  <rv s="7">
    <fb>39.46</fb>
    <v>13</v>
  </rv>
  <rv s="7">
    <fb>40.799999999999997</fb>
    <v>13</v>
  </rv>
  <rv s="7">
    <fb>41.93</fb>
    <v>13</v>
  </rv>
  <rv s="7">
    <fb>42.1</fb>
    <v>13</v>
  </rv>
  <rv s="7">
    <fb>43.29</fb>
    <v>13</v>
  </rv>
  <rv s="7">
    <fb>45.26</fb>
    <v>13</v>
  </rv>
  <rv s="7">
    <fb>44.41</fb>
    <v>13</v>
  </rv>
  <rv s="7">
    <fb>44.76</fb>
    <v>13</v>
  </rv>
  <rv s="7">
    <fb>45.04</fb>
    <v>13</v>
  </rv>
  <rv s="7">
    <fb>45.55</fb>
    <v>13</v>
  </rv>
  <rv s="7">
    <fb>45.09</fb>
    <v>13</v>
  </rv>
  <rv s="7">
    <fb>45.46</fb>
    <v>13</v>
  </rv>
  <rv s="7">
    <fb>44.88</fb>
    <v>13</v>
  </rv>
  <rv s="7">
    <fb>43.48</fb>
    <v>13</v>
  </rv>
  <rv s="7">
    <fb>41.39</fb>
    <v>13</v>
  </rv>
  <rv s="7">
    <fb>42.07</fb>
    <v>13</v>
  </rv>
  <rv s="7">
    <fb>41.47</fb>
    <v>13</v>
  </rv>
  <rv s="7">
    <fb>42.4</fb>
    <v>13</v>
  </rv>
  <rv s="7">
    <fb>43.19</fb>
    <v>13</v>
  </rv>
  <rv s="7">
    <fb>43.66</fb>
    <v>13</v>
  </rv>
  <rv s="7">
    <fb>43.74</fb>
    <v>13</v>
  </rv>
  <rv s="7">
    <fb>43.7</fb>
    <v>13</v>
  </rv>
  <rv s="7">
    <fb>45.39</fb>
    <v>13</v>
  </rv>
  <rv s="7">
    <fb>45.73</fb>
    <v>13</v>
  </rv>
  <rv s="7">
    <fb>46.13</fb>
    <v>13</v>
  </rv>
  <rv s="7">
    <fb>46.53</fb>
    <v>13</v>
  </rv>
  <rv s="7">
    <fb>47.23</fb>
    <v>13</v>
  </rv>
  <rv s="7">
    <fb>46.39</fb>
    <v>13</v>
  </rv>
  <rv s="7">
    <fb>45.54</fb>
    <v>13</v>
  </rv>
  <rv s="7">
    <fb>44.49</fb>
    <v>13</v>
  </rv>
  <rv s="7">
    <fb>45.03</fb>
    <v>13</v>
  </rv>
  <rv s="7">
    <fb>44.75</fb>
    <v>13</v>
  </rv>
  <rv s="7">
    <fb>43.85</fb>
    <v>13</v>
  </rv>
  <rv s="7">
    <fb>44.62</fb>
    <v>13</v>
  </rv>
  <rv s="7">
    <fb>44.69</fb>
    <v>13</v>
  </rv>
  <rv s="7">
    <fb>44.68</fb>
    <v>13</v>
  </rv>
  <rv s="7">
    <fb>46.47</fb>
    <v>13</v>
  </rv>
  <rv s="7">
    <fb>46.01</fb>
    <v>13</v>
  </rv>
  <rv s="7">
    <fb>45.64</fb>
    <v>13</v>
  </rv>
  <rv s="7">
    <fb>45.3</fb>
    <v>13</v>
  </rv>
  <rv s="7">
    <fb>45.48</fb>
    <v>13</v>
  </rv>
  <rv s="7">
    <fb>44.46</fb>
    <v>13</v>
  </rv>
  <rv s="7">
    <fb>44.25</fb>
    <v>13</v>
  </rv>
  <rv s="7">
    <fb>44.47</fb>
    <v>13</v>
  </rv>
  <rv s="7">
    <fb>44.26</fb>
    <v>13</v>
  </rv>
  <rv s="7">
    <fb>45.1</fb>
    <v>13</v>
  </rv>
  <rv s="7">
    <fb>44.94</fb>
    <v>13</v>
  </rv>
  <rv s="7">
    <fb>46.26</fb>
    <v>13</v>
  </rv>
  <rv s="7">
    <fb>49.97</fb>
    <v>13</v>
  </rv>
  <rv s="7">
    <fb>49.16</fb>
    <v>13</v>
  </rv>
  <rv s="7">
    <fb>48.03</fb>
    <v>13</v>
  </rv>
  <rv s="7">
    <fb>47.74</fb>
    <v>13</v>
  </rv>
  <rv s="7">
    <fb>48.59</fb>
    <v>13</v>
  </rv>
  <rv s="7">
    <fb>47.84</fb>
    <v>13</v>
  </rv>
  <rv s="7">
    <fb>47.19</fb>
    <v>13</v>
  </rv>
  <rv s="7">
    <fb>47.61</fb>
    <v>13</v>
  </rv>
  <rv s="7">
    <fb>51.26</fb>
    <v>13</v>
  </rv>
  <rv s="7">
    <fb>49.56</fb>
    <v>13</v>
  </rv>
  <rv s="7">
    <fb>50.21</fb>
    <v>13</v>
  </rv>
  <rv s="7">
    <fb>51.04</fb>
    <v>13</v>
  </rv>
  <rv s="7">
    <fb>51.17</fb>
    <v>13</v>
  </rv>
  <rv s="7">
    <fb>50.31</fb>
    <v>13</v>
  </rv>
  <rv s="7">
    <fb>49.9</fb>
    <v>13</v>
  </rv>
  <rv s="7">
    <fb>50.4</fb>
    <v>13</v>
  </rv>
  <rv s="7">
    <fb>51.39</fb>
    <v>13</v>
  </rv>
  <rv s="7">
    <fb>52.49</fb>
    <v>13</v>
  </rv>
  <rv s="7">
    <fb>53.63</fb>
    <v>13</v>
  </rv>
  <rv s="7">
    <fb>53.66</fb>
    <v>13</v>
  </rv>
  <rv s="7">
    <fb>53.29</fb>
    <v>13</v>
  </rv>
  <rv s="7">
    <fb>52.77</fb>
    <v>13</v>
  </rv>
  <rv s="7">
    <fb>52.1</fb>
    <v>13</v>
  </rv>
  <rv s="7">
    <fb>52.01</fb>
    <v>13</v>
  </rv>
  <rv s="7">
    <fb>52.12</fb>
    <v>13</v>
  </rv>
  <rv s="7">
    <fb>52.18</fb>
    <v>13</v>
  </rv>
  <rv s="7">
    <fb>545.72</fb>
    <v>13</v>
  </rv>
  <rv s="7">
    <fb>549.01</fb>
    <v>13</v>
  </rv>
  <rv s="7">
    <fb>534.24</fb>
    <v>13</v>
  </rv>
  <rv s="7">
    <fb>531.12</fb>
    <v>13</v>
  </rv>
  <rv s="7">
    <fb>526.54999999999995</fb>
    <v>13</v>
  </rv>
  <rv s="7">
    <fb>524.04</fb>
    <v>13</v>
  </rv>
  <rv s="7">
    <fb>519.88</fb>
    <v>13</v>
  </rv>
  <rv s="7">
    <fb>520.30999999999995</fb>
    <v>13</v>
  </rv>
  <rv s="7">
    <fb>520.03</fb>
    <v>13</v>
  </rv>
  <rv s="7">
    <fb>522.79</fb>
    <v>13</v>
  </rv>
  <rv s="7">
    <fb>524.9</fb>
    <v>13</v>
  </rv>
  <rv s="7">
    <fb>526.47</fb>
    <v>13</v>
  </rv>
  <rv s="7">
    <fb>539.34</fb>
    <v>13</v>
  </rv>
  <rv s="7">
    <fb>542.03</fb>
    <v>13</v>
  </rv>
  <rv s="7">
    <fb>545.41999999999996</fb>
    <v>13</v>
  </rv>
  <rv s="7">
    <fb>537.38</fb>
    <v>13</v>
  </rv>
  <rv s="7">
    <fb>536.52</fb>
    <v>13</v>
  </rv>
  <rv s="7">
    <fb>538.37</fb>
    <v>13</v>
  </rv>
  <rv s="7">
    <fb>537.64</fb>
    <v>13</v>
  </rv>
  <rv s="7">
    <fb>539.67999999999995</fb>
    <v>13</v>
  </rv>
  <rv s="7">
    <fb>521.51</fb>
    <v>13</v>
  </rv>
  <rv s="7">
    <fb>519.15</fb>
    <v>13</v>
  </rv>
  <rv s="7">
    <fb>524.94000000000005</fb>
    <v>13</v>
  </rv>
  <rv s="7">
    <fb>503.56</fb>
    <v>13</v>
  </rv>
  <rv s="7">
    <fb>512.99</fb>
    <v>13</v>
  </rv>
  <rv s="7">
    <fb>515.52</fb>
    <v>13</v>
  </rv>
  <rv s="7">
    <fb>513.23</fb>
    <v>13</v>
  </rv>
  <rv s="7">
    <fb>493.4</fb>
    <v>13</v>
  </rv>
  <rv s="7">
    <fb>503.2</fb>
    <v>13</v>
  </rv>
  <rv s="7">
    <fb>504.54</fb>
    <v>13</v>
  </rv>
  <rv s="7">
    <fb>503.61</fb>
    <v>13</v>
  </rv>
  <rv s="7">
    <fb>511.74</fb>
    <v>13</v>
  </rv>
  <rv s="7">
    <fb>507.14</fb>
    <v>13</v>
  </rv>
  <rv s="7">
    <fb>510.23</fb>
    <v>13</v>
  </rv>
  <rv s="7">
    <fb>502.96</fb>
    <v>13</v>
  </rv>
  <rv s="7">
    <fb>510.67</fb>
    <v>13</v>
  </rv>
  <rv s="7">
    <fb>519.39</fb>
    <v>13</v>
  </rv>
  <rv s="7">
    <fb>520.09</fb>
    <v>13</v>
  </rv>
  <rv s="7">
    <fb>517.64</fb>
    <v>13</v>
  </rv>
  <rv s="7">
    <fb>516.85</fb>
    <v>13</v>
  </rv>
  <rv s="7">
    <fb>516.94000000000005</fb>
    <v>13</v>
  </rv>
  <rv s="7">
    <fb>520.88</fb>
    <v>13</v>
  </rv>
  <rv s="7">
    <fb>521.54999999999995</fb>
    <v>13</v>
  </rv>
  <rv s="7">
    <fb>521.05999999999995</fb>
    <v>13</v>
  </rv>
  <rv s="7">
    <fb>521.97</fb>
    <v>13</v>
  </rv>
  <rv s="7">
    <fb>526.5</fb>
    <v>13</v>
  </rv>
  <rv s="7">
    <fb>527.24</fb>
    <v>13</v>
  </rv>
  <rv s="7">
    <fb>525.32000000000005</fb>
    <v>13</v>
  </rv>
  <rv s="7">
    <fb>513.41999999999996</fb>
    <v>13</v>
  </rv>
  <rv s="7">
    <fb>498.28</fb>
    <v>13</v>
  </rv>
  <rv s="7">
    <fb>493.6</fb>
    <v>13</v>
  </rv>
  <rv s="7">
    <fb>489.53</fb>
    <v>13</v>
  </rv>
  <rv s="7">
    <fb>481.87</fb>
    <v>13</v>
  </rv>
  <rv s="7">
    <fb>473.15</fb>
    <v>13</v>
  </rv>
  <rv s="7">
    <fb>478.78</fb>
    <v>13</v>
  </rv>
  <rv s="7">
    <fb>489.15</fb>
    <v>13</v>
  </rv>
  <rv s="7">
    <fb>489.35</fb>
    <v>13</v>
  </rv>
  <rv s="7">
    <fb>488</fb>
    <v>13</v>
  </rv>
  <rv s="7">
    <fb>489</fb>
    <v>13</v>
  </rv>
  <rv s="7">
    <fb>490.82</fb>
    <v>13</v>
  </rv>
  <rv s="7">
    <fb>493.32</fb>
    <v>13</v>
  </rv>
  <rv s="7">
    <fb>494.23</fb>
    <v>13</v>
  </rv>
  <rv s="7">
    <fb>491.69</fb>
    <v>13</v>
  </rv>
  <rv s="7">
    <fb>490.07</fb>
    <v>13</v>
  </rv>
  <rv s="7">
    <fb>485.88</fb>
    <v>13</v>
  </rv>
  <rv s="7">
    <fb>492.31</fb>
    <v>13</v>
  </rv>
  <rv s="7">
    <fb>493.1</fb>
    <v>13</v>
  </rv>
  <rv s="7">
    <fb>494.7</fb>
    <v>13</v>
  </rv>
  <rv s="7">
    <fb>489.7</fb>
    <v>13</v>
  </rv>
  <rv s="7">
    <fb>458.14</fb>
    <v>13</v>
  </rv>
  <rv s="7">
    <fb>459.74</fb>
    <v>13</v>
  </rv>
  <rv s="7">
    <fb>455.38</fb>
    <v>13</v>
  </rv>
  <rv s="7">
    <fb>455.74</fb>
    <v>13</v>
  </rv>
  <rv s="7">
    <fb>456</fb>
    <v>13</v>
  </rv>
  <rv s="7">
    <fb>459.72</fb>
    <v>13</v>
  </rv>
  <rv s="7">
    <fb>450.05</fb>
    <v>13</v>
  </rv>
  <rv s="7">
    <fb>439.2</fb>
    <v>13</v>
  </rv>
  <rv s="7">
    <fb>445.63</fb>
    <v>13</v>
  </rv>
  <rv s="7">
    <fb>468.89</fb>
    <v>13</v>
  </rv>
  <rv s="7">
    <fb>493.18</fb>
    <v>13</v>
  </rv>
  <rv s="7">
    <fb>501.13</fb>
    <v>13</v>
  </rv>
  <rv s="7">
    <fb>491.23</fb>
    <v>13</v>
  </rv>
  <rv s="7">
    <fb>495.35</fb>
    <v>13</v>
  </rv>
  <rv s="7">
    <fb>489.03</fb>
    <v>13</v>
  </rv>
  <rv s="7">
    <fb>483.7</fb>
    <v>13</v>
  </rv>
  <rv s="7">
    <fb>484.11</fb>
    <v>13</v>
  </rv>
  <rv s="7">
    <fb>492.97</fb>
    <v>13</v>
  </rv>
  <rv s="7">
    <fb>492.45</fb>
    <v>13</v>
  </rv>
  <rv s="7">
    <fb>494.38</fb>
    <v>13</v>
  </rv>
  <rv s="7">
    <fb>500.96</fb>
    <v>13</v>
  </rv>
  <rv s="7">
    <fb>503.21</fb>
    <v>13</v>
  </rv>
  <rv s="7">
    <fb>507.03</fb>
    <v>13</v>
  </rv>
  <rv s="7">
    <fb>512.80999999999995</fb>
    <v>13</v>
  </rv>
  <rv s="7">
    <fb>513.88</fb>
    <v>13</v>
  </rv>
  <rv s="7">
    <fb>517.54999999999995</fb>
    <v>13</v>
  </rv>
  <rv s="7">
    <fb>521.27</fb>
    <v>13</v>
  </rv>
  <rv s="7">
    <fb>524.63</fb>
    <v>13</v>
  </rv>
  <rv s="7">
    <fb>517.23</fb>
    <v>13</v>
  </rv>
  <rv s="7">
    <fb>523.54999999999995</fb>
    <v>13</v>
  </rv>
  <rv s="7">
    <fb>521.35</fb>
    <v>13</v>
  </rv>
  <rv s="7">
    <fb>516.83000000000004</fb>
    <v>13</v>
  </rv>
  <rv s="7">
    <fb>508.17</fb>
    <v>13</v>
  </rv>
  <rv s="7">
    <fb>503.68</fb>
    <v>13</v>
  </rv>
  <rv s="7">
    <fb>484.72</fb>
    <v>13</v>
  </rv>
  <rv s="7">
    <fb>481.65</fb>
    <v>13</v>
  </rv>
  <rv s="7">
    <fb>495.37</fb>
    <v>13</v>
  </rv>
  <rv s="7">
    <fb>497.44</fb>
    <v>13</v>
  </rv>
  <rv s="7">
    <fb>505.49</fb>
    <v>13</v>
  </rv>
  <rv s="7">
    <fb>503.12</fb>
    <v>13</v>
  </rv>
  <rv s="7">
    <fb>501.92</fb>
    <v>13</v>
  </rv>
  <rv s="7">
    <fb>490.69</fb>
    <v>13</v>
  </rv>
  <rv s="7">
    <fb>495</fb>
    <v>13</v>
  </rv>
  <rv s="7">
    <fb>496.22</fb>
    <v>13</v>
  </rv>
  <rv s="7">
    <fb>493.07</fb>
    <v>13</v>
  </rv>
  <rv s="7">
    <fb>497.3</fb>
    <v>13</v>
  </rv>
  <rv s="7">
    <fb>497.12</fb>
    <v>13</v>
  </rv>
  <rv s="7">
    <fb>489.23</fb>
    <v>13</v>
  </rv>
  <rv s="7">
    <fb>481.05</fb>
    <v>13</v>
  </rv>
  <rv s="7">
    <fb>484.52</fb>
    <v>13</v>
  </rv>
  <rv s="7">
    <fb>482.59</fb>
    <v>13</v>
  </rv>
  <rv s="7">
    <fb>489.98</fb>
    <v>13</v>
  </rv>
  <rv s="7">
    <fb>484.5</fb>
    <v>13</v>
  </rv>
  <rv s="7">
    <fb>484.04</fb>
    <v>13</v>
  </rv>
  <rv s="7">
    <fb>486.44</fb>
    <v>13</v>
  </rv>
  <rv s="7">
    <fb>509.26</fb>
    <v>13</v>
  </rv>
  <rv s="7">
    <fb>494.65</fb>
    <v>13</v>
  </rv>
  <rv s="7">
    <fb>498.24</fb>
    <v>13</v>
  </rv>
  <rv s="7">
    <fb>489.89</fb>
    <v>13</v>
  </rv>
  <rv s="7">
    <fb>488.01</fb>
    <v>13</v>
  </rv>
  <rv s="7">
    <fb>489.34</fb>
    <v>13</v>
  </rv>
  <rv s="7">
    <fb>500.93</fb>
    <v>13</v>
  </rv>
  <rv s="7">
    <fb>504.36</fb>
    <v>13</v>
  </rv>
  <rv s="7">
    <fb>511.53</fb>
    <v>13</v>
  </rv>
  <rv s="7">
    <fb>515.37</fb>
    <v>13</v>
  </rv>
  <rv s="7">
    <fb>548.87</fb>
    <v>13</v>
  </rv>
  <rv s="7">
    <fb>573.28</fb>
    <v>13</v>
  </rv>
  <rv s="7">
    <fb>564.34</fb>
    <v>13</v>
  </rv>
  <rv s="7">
    <fb>565.33000000000004</fb>
    <v>13</v>
  </rv>
  <rv s="7">
    <fb>554.70000000000005</fb>
    <v>13</v>
  </rv>
  <rv s="7">
    <fb>559.75</fb>
    <v>13</v>
  </rv>
  <rv s="7">
    <fb>559.67999999999995</fb>
    <v>13</v>
  </rv>
  <rv s="7">
    <fb>569.72</fb>
    <v>13</v>
  </rv>
  <rv s="7">
    <fb>566.75</fb>
    <v>13</v>
  </rv>
  <rv s="7">
    <fb>576.33000000000004</fb>
    <v>13</v>
  </rv>
  <rv s="7">
    <fb>576.16</fb>
    <v>13</v>
  </rv>
  <rv s="7">
    <fb>572.77</fb>
    <v>13</v>
  </rv>
  <rv s="7">
    <fb>589.83000000000004</fb>
    <v>13</v>
  </rv>
  <rv s="7">
    <fb>569.96</fb>
    <v>13</v>
  </rv>
  <rv s="7">
    <fb>568.35</fb>
    <v>13</v>
  </rv>
  <rv s="7">
    <fb>566.08000000000004</fb>
    <v>13</v>
  </rv>
  <rv s="7">
    <fb>566.24</fb>
    <v>13</v>
  </rv>
  <rv s="7">
    <fb>558.76</fb>
    <v>13</v>
  </rv>
  <rv s="7">
    <fb>565.29</fb>
    <v>13</v>
  </rv>
  <rv s="7">
    <fb>574.24</fb>
    <v>13</v>
  </rv>
  <rv s="7">
    <fb>579.66999999999996</fb>
    <v>13</v>
  </rv>
  <rv s="7">
    <fb>579.61</fb>
    <v>13</v>
  </rv>
  <rv s="7">
    <fb>577.67999999999995</fb>
    <v>13</v>
  </rv>
  <rv s="7">
    <fb>578.78</fb>
    <v>13</v>
  </rv>
  <rv s="7">
    <fb>580.65</fb>
    <v>13</v>
  </rv>
  <rv s="7">
    <fb>578.07000000000005</fb>
    <v>13</v>
  </rv>
  <rv s="7">
    <fb>578.72</fb>
    <v>13</v>
  </rv>
  <rv s="7">
    <fb>584.51</fb>
    <v>13</v>
  </rv>
  <rv s="7">
    <fb>587.13</fb>
    <v>13</v>
  </rv>
  <rv s="7">
    <fb>587.35</fb>
    <v>13</v>
  </rv>
  <rv s="7">
    <fb>588.54</fb>
    <v>13</v>
  </rv>
  <rv s="7">
    <fb>591.57000000000005</fb>
    <v>13</v>
  </rv>
  <rv s="7">
    <fb>590.20000000000005</fb>
    <v>13</v>
  </rv>
  <rv s="7">
    <fb>598.67999999999995</fb>
    <v>13</v>
  </rv>
  <rv s="7">
    <fb>604.17999999999995</fb>
    <v>13</v>
  </rv>
  <rv s="7">
    <fb>595.49</fb>
    <v>13</v>
  </rv>
  <rv s="7">
    <fb>596.88</fb>
    <v>13</v>
  </rv>
  <rv s="7">
    <fb>594.1</fb>
    <v>13</v>
  </rv>
  <rv s="7">
    <fb>599.03</fb>
    <v>13</v>
  </rv>
  <rv s="7">
    <fb>589.75</fb>
    <v>13</v>
  </rv>
  <rv s="7">
    <fb>588.41999999999996</fb>
    <v>13</v>
  </rv>
  <rv s="7">
    <fb>594.32000000000005</fb>
    <v>13</v>
  </rv>
  <rv s="7">
    <fb>589.14</fb>
    <v>13</v>
  </rv>
  <rv s="7">
    <fb>577.96</fb>
    <v>13</v>
  </rv>
  <rv s="7">
    <fb>577.07000000000005</fb>
    <v>13</v>
  </rv>
  <rv s="7">
    <fb>575</fb>
    <v>13</v>
  </rv>
  <rv s="7">
    <fb>573.41</fb>
    <v>13</v>
  </rv>
  <rv s="7">
    <fb>575.19000000000005</fb>
    <v>13</v>
  </rv>
  <rv s="7">
    <fb>576.30999999999995</fb>
    <v>13</v>
  </rv>
  <rv s="7">
    <fb>574.80999999999995</fb>
    <v>13</v>
  </rv>
  <rv s="7">
    <fb>581.85</fb>
    <v>13</v>
  </rv>
  <rv s="7">
    <fb>583.29999999999995</fb>
    <v>13</v>
  </rv>
  <rv s="7">
    <fb>592.30999999999995</fb>
    <v>13</v>
  </rv>
  <rv s="7">
    <fb>592.75</fb>
    <v>13</v>
  </rv>
  <rv s="7">
    <fb>591.20000000000005</fb>
    <v>13</v>
  </rv>
  <rv s="7">
    <fb>581.58000000000004</fb>
    <v>13</v>
  </rv>
  <rv s="7">
    <fb>591.22</fb>
    <v>13</v>
  </rv>
  <rv s="7">
    <fb>597.70000000000005</fb>
    <v>13</v>
  </rv>
  <rv s="7">
    <fb>598.04999999999995</fb>
    <v>13</v>
  </rv>
  <rv s="7">
    <fb>605.4</fb>
    <v>13</v>
  </rv>
  <rv s="7">
    <fb>556.29</fb>
    <v>13</v>
  </rv>
  <rv s="7">
    <fb>571.34</fb>
    <v>13</v>
  </rv>
  <rv s="7">
    <fb>566.03</fb>
    <v>13</v>
  </rv>
  <rv s="7">
    <fb>569.61</fb>
    <v>13</v>
  </rv>
  <rv s="7">
    <fb>571.47</fb>
    <v>13</v>
  </rv>
  <rv s="7">
    <fb>569.86</fb>
    <v>13</v>
  </rv>
  <rv s="7">
    <fb>560.80999999999995</fb>
    <v>13</v>
  </rv>
  <rv s="7">
    <fb>564.55999999999995</fb>
    <v>13</v>
  </rv>
  <rv s="7">
    <fb>565.24</fb>
    <v>13</v>
  </rv>
  <rv s="7">
    <fb>562.13</fb>
    <v>13</v>
  </rv>
  <rv s="7">
    <fb>562.96</fb>
    <v>13</v>
  </rv>
  <rv s="7">
    <fb>564.5</fb>
    <v>13</v>
  </rv>
  <rv s="7">
    <fb>567.55999999999995</fb>
    <v>13</v>
  </rv>
  <rv s="7">
    <fb>557.77</fb>
    <v>13</v>
  </rv>
  <rv s="7">
    <fb>567.03</fb>
    <v>13</v>
  </rv>
  <rv s="7">
    <fb>596.69000000000005</fb>
    <v>13</v>
  </rv>
  <rv s="7">
    <fb>605.45000000000005</fb>
    <v>13</v>
  </rv>
  <rv s="7">
    <fb>615.80999999999995</fb>
    <v>13</v>
  </rv>
  <rv s="7">
    <fb>625.25</fb>
    <v>13</v>
  </rv>
  <rv s="7">
    <fb>614.66999999999996</fb>
    <v>13</v>
  </rv>
  <rv s="7">
    <fb>605.87</fb>
    <v>13</v>
  </rv>
  <rv s="7">
    <fb>593.15</fb>
    <v>13</v>
  </rv>
  <rv s="7">
    <fb>592.23</fb>
    <v>13</v>
  </rv>
  <rv s="7">
    <fb>589.65</fb>
    <v>13</v>
  </rv>
  <rv s="7">
    <fb>577</fb>
    <v>13</v>
  </rv>
  <rv s="7">
    <fb>600.5</fb>
    <v>13</v>
  </rv>
  <rv s="7">
    <fb>590.87</fb>
    <v>13</v>
  </rv>
  <rv s="7">
    <fb>605.83000000000004</fb>
    <v>13</v>
  </rv>
  <rv s="7">
    <fb>606.79</fb>
    <v>13</v>
  </rv>
  <rv s="7">
    <fb>608.38</fb>
    <v>13</v>
  </rv>
  <rv s="7">
    <fb>610.20000000000005</fb>
    <v>13</v>
  </rv>
  <rv s="7">
    <fb>608.52</fb>
    <v>13</v>
  </rv>
  <rv s="7">
    <fb>605.23</fb>
    <v>13</v>
  </rv>
  <rv s="7">
    <fb>610.79</fb>
    <v>13</v>
  </rv>
  <rv s="7">
    <fb>578.97</fb>
    <v>13</v>
  </rv>
  <rv s="7">
    <fb>549.62</fb>
    <v>13</v>
  </rv>
  <rv s="7">
    <fb>560.62</fb>
    <v>13</v>
  </rv>
  <rv s="7">
    <fb>565.19000000000005</fb>
    <v>13</v>
  </rv>
  <rv s="7">
    <fb>36.99</fb>
    <v>13</v>
  </rv>
  <rv s="7">
    <fb>37.869999999999997</fb>
    <v>13</v>
  </rv>
  <rv s="7">
    <fb>37.369999999999997</fb>
    <v>13</v>
  </rv>
  <rv s="7">
    <fb>37.67</fb>
    <v>13</v>
  </rv>
  <rv s="7">
    <fb>37.57</fb>
    <v>13</v>
  </rv>
  <rv s="7">
    <fb>37.43</fb>
    <v>13</v>
  </rv>
  <rv s="7">
    <fb>37.49</fb>
    <v>13</v>
  </rv>
  <rv s="7">
    <fb>37.479999999999997</fb>
    <v>13</v>
  </rv>
  <rv s="7">
    <fb>37.31</fb>
    <v>13</v>
  </rv>
  <rv s="7">
    <fb>37.700000000000003</fb>
    <v>13</v>
  </rv>
  <rv s="7">
    <fb>38.880000000000003</fb>
    <v>13</v>
  </rv>
  <rv s="7">
    <fb>39.159999999999997</fb>
    <v>13</v>
  </rv>
  <rv s="7">
    <fb>39.369999999999997</fb>
    <v>13</v>
  </rv>
  <rv s="7">
    <fb>40.200000000000003</fb>
    <v>13</v>
  </rv>
  <rv s="7">
    <fb>37.9</fb>
    <v>13</v>
  </rv>
  <rv s="7">
    <fb>38.56</fb>
    <v>13</v>
  </rv>
  <rv s="7">
    <fb>38.869999999999997</fb>
    <v>13</v>
  </rv>
  <rv s="7">
    <fb>38.94</fb>
    <v>13</v>
  </rv>
  <rv s="7">
    <fb>39.33</fb>
    <v>13</v>
  </rv>
  <rv s="7">
    <fb>39.58</fb>
    <v>13</v>
  </rv>
  <rv s="7">
    <fb>42.23</fb>
    <v>13</v>
  </rv>
  <rv s="7">
    <fb>42.29</fb>
    <v>13</v>
  </rv>
  <rv s="7">
    <fb>42.13</fb>
    <v>13</v>
  </rv>
  <rv s="7">
    <fb>41.1</fb>
    <v>13</v>
  </rv>
  <rv s="7">
    <fb>40.42</fb>
    <v>13</v>
  </rv>
  <rv s="7">
    <fb>39.72</fb>
    <v>13</v>
  </rv>
  <rv s="7">
    <fb>40.130000000000003</fb>
    <v>13</v>
  </rv>
  <rv s="7">
    <fb>40.590000000000003</fb>
    <v>13</v>
  </rv>
  <rv s="7">
    <fb>40.49</fb>
    <v>13</v>
  </rv>
  <rv s="7">
    <fb>40.729999999999997</fb>
    <v>13</v>
  </rv>
  <rv s="7">
    <fb>40.659999999999997</fb>
    <v>13</v>
  </rv>
  <rv s="7">
    <fb>39.69</fb>
    <v>13</v>
  </rv>
  <rv s="7">
    <fb>40.35</fb>
    <v>13</v>
  </rv>
  <rv s="7">
    <fb>39.53</fb>
    <v>13</v>
  </rv>
  <rv s="7">
    <fb>40.26</fb>
    <v>13</v>
  </rv>
  <rv s="7">
    <fb>40.119999999999997</fb>
    <v>13</v>
  </rv>
  <rv s="7">
    <fb>40.54</fb>
    <v>13</v>
  </rv>
  <rv s="7">
    <fb>40.85</fb>
    <v>13</v>
  </rv>
  <rv s="7">
    <fb>42.28</fb>
    <v>13</v>
  </rv>
  <rv s="7">
    <fb>42.54</fb>
    <v>13</v>
  </rv>
  <rv s="7">
    <fb>42.84</fb>
    <v>13</v>
  </rv>
  <rv s="7">
    <fb>42.45</fb>
    <v>13</v>
  </rv>
  <rv s="7">
    <fb>42.12</fb>
    <v>13</v>
  </rv>
  <rv s="7">
    <fb>41.73</fb>
    <v>13</v>
  </rv>
  <rv s="7">
    <fb>40.520000000000003</fb>
    <v>13</v>
  </rv>
  <rv s="7">
    <fb>40.159999999999997</fb>
    <v>13</v>
  </rv>
  <rv s="7">
    <fb>38.6</fb>
    <v>13</v>
  </rv>
  <rv s="7">
    <fb>40.090000000000003</fb>
    <v>13</v>
  </rv>
  <rv s="7">
    <fb>39.200000000000003</fb>
    <v>13</v>
  </rv>
  <rv s="7">
    <fb>38.93</fb>
    <v>13</v>
  </rv>
  <rv s="7">
    <fb>38.89</fb>
    <v>13</v>
  </rv>
  <rv s="7">
    <fb>39.31</fb>
    <v>13</v>
  </rv>
  <rv s="7">
    <fb>39.479999999999997</fb>
    <v>13</v>
  </rv>
  <rv s="7">
    <fb>39.79</fb>
    <v>13</v>
  </rv>
  <rv s="7">
    <fb>40.4</fb>
    <v>13</v>
  </rv>
  <rv s="7">
    <fb>40.25</fb>
    <v>13</v>
  </rv>
  <rv s="7">
    <fb>40.06</fb>
    <v>13</v>
  </rv>
  <rv s="7">
    <fb>39.43</fb>
    <v>13</v>
  </rv>
  <rv s="7">
    <fb>39.74</fb>
    <v>13</v>
  </rv>
  <rv s="7">
    <fb>39.36</fb>
    <v>13</v>
  </rv>
  <rv s="7">
    <fb>41.15</fb>
    <v>13</v>
  </rv>
  <rv s="7">
    <fb>40.98</fb>
    <v>13</v>
  </rv>
  <rv s="7">
    <fb>41.56</fb>
    <v>13</v>
  </rv>
  <rv s="7">
    <fb>40.94</fb>
    <v>13</v>
  </rv>
  <rv s="7">
    <fb>40.08</fb>
    <v>13</v>
  </rv>
  <rv s="7">
    <fb>40.24</fb>
    <v>13</v>
  </rv>
  <rv s="7">
    <fb>41.17</fb>
    <v>13</v>
  </rv>
  <rv s="7">
    <fb>41.08</fb>
    <v>13</v>
  </rv>
  <rv s="7">
    <fb>41.02</fb>
    <v>13</v>
  </rv>
  <rv s="7">
    <fb>41.24</fb>
    <v>13</v>
  </rv>
  <rv s="7">
    <fb>41.27</fb>
    <v>13</v>
  </rv>
  <rv s="7">
    <fb>41.53</fb>
    <v>13</v>
  </rv>
  <rv s="7">
    <fb>41.3</fb>
    <v>13</v>
  </rv>
  <rv s="7">
    <fb>40.79</fb>
    <v>13</v>
  </rv>
  <rv s="7">
    <fb>41.45</fb>
    <v>13</v>
  </rv>
  <rv s="7">
    <fb>41.62</fb>
    <v>13</v>
  </rv>
  <rv s="7">
    <fb>40.03</fb>
    <v>13</v>
  </rv>
  <rv s="7">
    <fb>40.04</fb>
    <v>13</v>
  </rv>
  <rv s="7">
    <fb>39.799999999999997</fb>
    <v>13</v>
  </rv>
  <rv s="7">
    <fb>40.28</fb>
    <v>13</v>
  </rv>
  <rv s="7">
    <fb>40.78</fb>
    <v>13</v>
  </rv>
  <rv s="7">
    <fb>40.61</fb>
    <v>13</v>
  </rv>
  <rv s="7">
    <fb>40.74</fb>
    <v>13</v>
  </rv>
  <rv s="7">
    <fb>41.21</fb>
    <v>13</v>
  </rv>
  <rv s="7">
    <fb>41.25</fb>
    <v>13</v>
  </rv>
  <rv s="7">
    <fb>42.93</fb>
    <v>13</v>
  </rv>
  <rv s="7">
    <fb>41.48</fb>
    <v>13</v>
  </rv>
  <rv s="7">
    <fb>41.31</fb>
    <v>13</v>
  </rv>
  <rv s="7">
    <fb>43.8</fb>
    <v>13</v>
  </rv>
  <rv s="7">
    <fb>43.86</fb>
    <v>13</v>
  </rv>
  <rv s="7">
    <fb>44.43</fb>
    <v>13</v>
  </rv>
  <rv s="7">
    <fb>45</fb>
    <v>13</v>
  </rv>
  <rv s="7">
    <fb>44.08</fb>
    <v>13</v>
  </rv>
  <rv s="7">
    <fb>43.88</fb>
    <v>13</v>
  </rv>
  <rv s="7">
    <fb>44.33</fb>
    <v>13</v>
  </rv>
  <rv s="7">
    <fb>44.66</fb>
    <v>13</v>
  </rv>
  <rv s="7">
    <fb>44.55</fb>
    <v>13</v>
  </rv>
  <rv s="7">
    <fb>44.89</fb>
    <v>13</v>
  </rv>
  <rv s="7">
    <fb>44.91</fb>
    <v>13</v>
  </rv>
  <rv s="7">
    <fb>45.21</fb>
    <v>13</v>
  </rv>
  <rv s="7">
    <fb>45.05</fb>
    <v>13</v>
  </rv>
  <rv s="7">
    <fb>44.18</fb>
    <v>13</v>
  </rv>
  <rv s="7">
    <fb>44.01</fb>
    <v>13</v>
  </rv>
  <rv s="7">
    <fb>44.11</fb>
    <v>13</v>
  </rv>
  <rv s="7">
    <fb>43</fb>
    <v>13</v>
  </rv>
  <rv s="7">
    <fb>43.99</fb>
    <v>13</v>
  </rv>
  <rv s="7">
    <fb>41.5</fb>
    <v>13</v>
  </rv>
  <rv s="7">
    <fb>42.86</fb>
    <v>13</v>
  </rv>
  <rv s="7">
    <fb>41.86</fb>
    <v>13</v>
  </rv>
  <rv s="7">
    <fb>41.06</fb>
    <v>13</v>
  </rv>
  <rv s="7">
    <fb>41.26</fb>
    <v>13</v>
  </rv>
  <rv s="7">
    <fb>41.16</fb>
    <v>13</v>
  </rv>
  <rv s="7">
    <fb>40.57</fb>
    <v>13</v>
  </rv>
  <rv s="7">
    <fb>40.479999999999997</fb>
    <v>13</v>
  </rv>
  <rv s="7">
    <fb>40.44</fb>
    <v>13</v>
  </rv>
  <rv s="7">
    <fb>42.25</fb>
    <v>13</v>
  </rv>
  <rv s="7">
    <fb>43.15</fb>
    <v>13</v>
  </rv>
  <rv s="7">
    <fb>44.37</fb>
    <v>13</v>
  </rv>
  <rv s="7">
    <fb>44.38</fb>
    <v>13</v>
  </rv>
  <rv s="7">
    <fb>44.34</fb>
    <v>13</v>
  </rv>
  <rv s="7">
    <fb>43.83</fb>
    <v>13</v>
  </rv>
  <rv s="7">
    <fb>42.52</fb>
    <v>13</v>
  </rv>
  <rv s="7">
    <fb>42.55</fb>
    <v>13</v>
  </rv>
  <rv s="7">
    <fb>42.37</fb>
    <v>13</v>
  </rv>
  <rv s="7">
    <fb>42.36</fb>
    <v>13</v>
  </rv>
  <rv s="7">
    <fb>259.56</fb>
    <v>13</v>
  </rv>
  <rv s="7">
    <fb>262.38</fb>
    <v>13</v>
  </rv>
  <rv s="7">
    <fb>258.73</fb>
    <v>13</v>
  </rv>
  <rv s="7">
    <fb>258.02999999999997</fb>
    <v>13</v>
  </rv>
  <rv s="7">
    <fb>258.37</fb>
    <v>13</v>
  </rv>
  <rv s="7">
    <fb>257.11</fb>
    <v>13</v>
  </rv>
  <rv s="7">
    <fb>258.43</fb>
    <v>13</v>
  </rv>
  <rv s="7">
    <fb>259.16000000000003</fb>
    <v>13</v>
  </rv>
  <rv s="7">
    <fb>258.93</fb>
    <v>13</v>
  </rv>
  <rv s="7">
    <fb>260.39999999999998</fb>
    <v>13</v>
  </rv>
  <rv s="7">
    <fb>258.87</fb>
    <v>13</v>
  </rv>
  <rv s="7">
    <fb>257.98</fb>
    <v>13</v>
  </rv>
  <rv s="7">
    <fb>259.61</fb>
    <v>13</v>
  </rv>
  <rv s="7">
    <fb>259.69</fb>
    <v>13</v>
  </rv>
  <rv s="7">
    <fb>262.54000000000002</fb>
    <v>13</v>
  </rv>
  <rv s="7">
    <fb>263.33</fb>
    <v>13</v>
  </rv>
  <rv s="7">
    <fb>264.56</fb>
    <v>13</v>
  </rv>
  <rv s="7">
    <fb>264.02999999999997</fb>
    <v>13</v>
  </rv>
  <rv s="7">
    <fb>264.17</fb>
    <v>13</v>
  </rv>
  <rv s="7">
    <fb>265.24</fb>
    <v>13</v>
  </rv>
  <rv s="7">
    <fb>266.63</fb>
    <v>13</v>
  </rv>
  <rv s="7">
    <fb>268.14</fb>
    <v>13</v>
  </rv>
  <rv s="7">
    <fb>270.89999999999998</fb>
    <v>13</v>
  </rv>
  <rv s="7">
    <fb>271.2</fb>
    <v>13</v>
  </rv>
  <rv s="7">
    <fb>271.26</fb>
    <v>13</v>
  </rv>
  <rv s="7">
    <fb>271.64999999999998</fb>
    <v>13</v>
  </rv>
  <rv s="7">
    <fb>272.61</fb>
    <v>13</v>
  </rv>
  <rv s="7">
    <fb>267.94</fb>
    <v>13</v>
  </rv>
  <rv s="7">
    <fb>277.14999999999998</fb>
    <v>13</v>
  </rv>
  <rv s="7">
    <fb>273.26</fb>
    <v>13</v>
  </rv>
  <rv s="7">
    <fb>277.05</fb>
    <v>13</v>
  </rv>
  <rv s="7">
    <fb>276.76</fb>
    <v>13</v>
  </rv>
  <rv s="7">
    <fb>279.39</fb>
    <v>13</v>
  </rv>
  <rv s="7">
    <fb>275.77999999999997</fb>
    <v>13</v>
  </rv>
  <rv s="7">
    <fb>276.43</fb>
    <v>13</v>
  </rv>
  <rv s="7">
    <fb>275.07</fb>
    <v>13</v>
  </rv>
  <rv s="7">
    <fb>275.81</fb>
    <v>13</v>
  </rv>
  <rv s="7">
    <fb>277.56</fb>
    <v>13</v>
  </rv>
  <rv s="7">
    <fb>280.98</fb>
    <v>13</v>
  </rv>
  <rv s="7">
    <fb>278.56</fb>
    <v>13</v>
  </rv>
  <rv s="7">
    <fb>275.14999999999998</fb>
    <v>13</v>
  </rv>
  <rv s="7">
    <fb>283.75</fb>
    <v>13</v>
  </rv>
  <rv s="7">
    <fb>283.60000000000002</fb>
    <v>13</v>
  </rv>
  <rv s="7">
    <fb>284.14999999999998</fb>
    <v>13</v>
  </rv>
  <rv s="7">
    <fb>283.17</fb>
    <v>13</v>
  </rv>
  <rv s="7">
    <fb>282.64</fb>
    <v>13</v>
  </rv>
  <rv s="7">
    <fb>283.16000000000003</fb>
    <v>13</v>
  </rv>
  <rv s="7">
    <fb>280.52999999999997</fb>
    <v>13</v>
  </rv>
  <rv s="7">
    <fb>279.38</fb>
    <v>13</v>
  </rv>
  <rv s="7">
    <fb>280.43</fb>
    <v>13</v>
  </rv>
  <rv s="7">
    <fb>278.26</fb>
    <v>13</v>
  </rv>
  <rv s="7">
    <fb>280.04000000000002</fb>
    <v>13</v>
  </rv>
  <rv s="7">
    <fb>280.56</fb>
    <v>13</v>
  </rv>
  <rv s="7">
    <fb>283.92</fb>
    <v>13</v>
  </rv>
  <rv s="7">
    <fb>285.14</fb>
    <v>13</v>
  </rv>
  <rv s="7">
    <fb>286.41000000000003</fb>
    <v>13</v>
  </rv>
  <rv s="7">
    <fb>283.04000000000002</fb>
    <v>13</v>
  </rv>
  <rv s="7">
    <fb>285.05</fb>
    <v>13</v>
  </rv>
  <rv s="7">
    <fb>287.35000000000002</fb>
    <v>13</v>
  </rv>
  <rv s="7">
    <fb>289.27999999999997</fb>
    <v>13</v>
  </rv>
  <rv s="7">
    <fb>290.37</fb>
    <v>13</v>
  </rv>
  <rv s="7">
    <fb>283.26</fb>
    <v>13</v>
  </rv>
  <rv s="7">
    <fb>281.20999999999998</fb>
    <v>13</v>
  </rv>
  <rv s="7">
    <fb>280.60000000000002</fb>
    <v>13</v>
  </rv>
  <rv s="7">
    <fb>279.02</fb>
    <v>13</v>
  </rv>
  <rv s="7">
    <fb>279.08</fb>
    <v>13</v>
  </rv>
  <rv s="7">
    <fb>278.27999999999997</fb>
    <v>13</v>
  </rv>
  <rv s="7">
    <fb>278.44</fb>
    <v>13</v>
  </rv>
  <rv s="7">
    <fb>276.95999999999998</fb>
    <v>13</v>
  </rv>
  <rv s="7">
    <fb>274</fb>
    <v>13</v>
  </rv>
  <rv s="7">
    <fb>277.14</fb>
    <v>13</v>
  </rv>
  <rv s="7">
    <fb>277.76</fb>
    <v>13</v>
  </rv>
  <rv s="7">
    <fb>276.72000000000003</fb>
    <v>13</v>
  </rv>
  <rv s="7">
    <fb>274.48</fb>
    <v>13</v>
  </rv>
  <rv s="7">
    <fb>275.68</fb>
    <v>13</v>
  </rv>
  <rv s="7">
    <fb>275.95999999999998</fb>
    <v>13</v>
  </rv>
  <rv s="7">
    <fb>271.27999999999997</fb>
    <v>13</v>
  </rv>
  <rv s="7">
    <fb>271.35000000000002</fb>
    <v>13</v>
  </rv>
  <rv s="7">
    <fb>272.69</fb>
    <v>13</v>
  </rv>
  <rv s="7">
    <fb>271.37</fb>
    <v>13</v>
  </rv>
  <rv s="7">
    <fb>269.77999999999997</fb>
    <v>13</v>
  </rv>
  <rv s="7">
    <fb>272.33</fb>
    <v>13</v>
  </rv>
  <rv s="7">
    <fb>274.11</fb>
    <v>13</v>
  </rv>
  <rv s="7">
    <fb>275.02</fb>
    <v>13</v>
  </rv>
  <rv s="7">
    <fb>275.16000000000003</fb>
    <v>13</v>
  </rv>
  <rv s="7">
    <fb>274.52</fb>
    <v>13</v>
  </rv>
  <rv s="7">
    <fb>271.83999999999997</fb>
    <v>13</v>
  </rv>
  <rv s="7">
    <fb>268.61</fb>
    <v>13</v>
  </rv>
  <rv s="7">
    <fb>267.32</fb>
    <v>13</v>
  </rv>
  <rv s="7">
    <fb>267.61</fb>
    <v>13</v>
  </rv>
  <rv s="7">
    <fb>272.67</fb>
    <v>13</v>
  </rv>
  <rv s="7">
    <fb>276.45999999999998</fb>
    <v>13</v>
  </rv>
  <rv s="7">
    <fb>277.19</fb>
    <v>13</v>
  </rv>
  <rv s="7">
    <fb>278.54000000000002</fb>
    <v>13</v>
  </rv>
  <rv s="7">
    <fb>280.74</fb>
    <v>13</v>
  </rv>
  <rv s="7">
    <fb>281.5</fb>
    <v>13</v>
  </rv>
  <rv s="7">
    <fb>279.83999999999997</fb>
    <v>13</v>
  </rv>
  <rv s="7">
    <fb>280.10000000000002</fb>
    <v>13</v>
  </rv>
  <rv s="7">
    <fb>275.95</fb>
    <v>13</v>
  </rv>
  <rv s="7">
    <fb>274.23</fb>
    <v>13</v>
  </rv>
  <rv s="7">
    <fb>274.49</fb>
    <v>13</v>
  </rv>
  <rv s="7">
    <fb>268.86</fb>
    <v>13</v>
  </rv>
  <rv s="7">
    <fb>271.3</fb>
    <v>13</v>
  </rv>
  <rv s="7">
    <fb>272.45999999999998</fb>
    <v>13</v>
  </rv>
  <rv s="7">
    <fb>270.38</fb>
    <v>13</v>
  </rv>
  <rv s="7">
    <fb>272.42</fb>
    <v>13</v>
  </rv>
  <rv s="7">
    <fb>274.5</fb>
    <v>13</v>
  </rv>
  <rv s="7">
    <fb>277.04000000000002</fb>
    <v>13</v>
  </rv>
  <rv s="7">
    <fb>278.67</fb>
    <v>13</v>
  </rv>
  <rv s="7">
    <fb>275.04000000000002</fb>
    <v>13</v>
  </rv>
  <rv s="7">
    <fb>274.67</fb>
    <v>13</v>
  </rv>
  <rv s="7">
    <fb>271.17</fb>
    <v>13</v>
  </rv>
  <rv s="7">
    <fb>273.62</fb>
    <v>13</v>
  </rv>
  <rv s="7">
    <fb>276.82</fb>
    <v>13</v>
  </rv>
  <rv s="7">
    <fb>275.22000000000003</fb>
    <v>13</v>
  </rv>
  <rv s="7">
    <fb>276.3</fb>
    <v>13</v>
  </rv>
  <rv s="7">
    <fb>273.52999999999997</fb>
    <v>13</v>
  </rv>
  <rv s="7">
    <fb>273.60000000000002</fb>
    <v>13</v>
  </rv>
  <rv s="7">
    <fb>266.58999999999997</fb>
    <v>13</v>
  </rv>
  <rv s="7">
    <fb>262.47000000000003</fb>
    <v>13</v>
  </rv>
  <rv s="7">
    <fb>263.24</fb>
    <v>13</v>
  </rv>
  <rv s="7">
    <fb>268.23</fb>
    <v>13</v>
  </rv>
  <rv s="7">
    <fb>268.99</fb>
    <v>13</v>
  </rv>
  <rv s="7">
    <fb>270.36</fb>
    <v>13</v>
  </rv>
  <rv s="7">
    <fb>266.39999999999998</fb>
    <v>13</v>
  </rv>
  <rv s="7">
    <fb>265.44</fb>
    <v>13</v>
  </rv>
  <rv s="7">
    <fb>263</fb>
    <v>13</v>
  </rv>
  <rv s="7">
    <fb>262.55</fb>
    <v>13</v>
  </rv>
  <rv s="7">
    <fb>265.74</fb>
    <v>13</v>
  </rv>
  <rv s="7">
    <fb>269.25</fb>
    <v>13</v>
  </rv>
  <rv s="7">
    <fb>272.7</fb>
    <v>13</v>
  </rv>
  <rv s="7">
    <fb>269.14999999999998</fb>
    <v>13</v>
  </rv>
  <rv s="7">
    <fb>265.45999999999998</fb>
    <v>13</v>
  </rv>
  <rv s="7">
    <fb>267.70999999999998</fb>
    <v>13</v>
  </rv>
  <rv s="7">
    <fb>264.79000000000002</fb>
    <v>13</v>
  </rv>
  <rv s="7">
    <fb>254.17</fb>
    <v>13</v>
  </rv>
  <rv s="7">
    <fb>253.74</fb>
    <v>13</v>
  </rv>
  <rv s="7">
    <fb>259.45999999999998</fb>
    <v>13</v>
  </rv>
  <rv s="7">
    <fb>263.10000000000002</fb>
    <v>13</v>
  </rv>
  <rv s="7">
    <fb>265.67</fb>
    <v>13</v>
  </rv>
  <rv s="7">
    <fb>265.93</fb>
    <v>13</v>
  </rv>
  <rv s="7">
    <fb>266.58</fb>
    <v>13</v>
  </rv>
  <rv s="7">
    <fb>256.44</fb>
    <v>13</v>
  </rv>
  <rv s="7">
    <fb>258.26</fb>
    <v>13</v>
  </rv>
  <rv s="7">
    <fb>259.83</fb>
    <v>13</v>
  </rv>
  <rv s="7">
    <fb>259.76</fb>
    <v>13</v>
  </rv>
  <rv s="7">
    <fb>259.89</fb>
    <v>13</v>
  </rv>
  <rv s="7">
    <fb>260.13</fb>
    <v>13</v>
  </rv>
  <rv s="7">
    <fb>261.14</fb>
    <v>13</v>
  </rv>
  <rv s="7">
    <fb>267.38</fb>
    <v>13</v>
  </rv>
  <rv s="7">
    <fb>266.47000000000003</fb>
    <v>13</v>
  </rv>
  <rv s="7">
    <fb>268.04000000000002</fb>
    <v>13</v>
  </rv>
  <rv s="7">
    <fb>268.2</fb>
    <v>13</v>
  </rv>
  <rv s="7">
    <fb>267.44</fb>
    <v>13</v>
  </rv>
  <rv s="7">
    <fb>268.20999999999998</fb>
    <v>13</v>
  </rv>
  <rv s="7">
    <fb>270.72000000000003</fb>
    <v>13</v>
  </rv>
  <rv s="7">
    <fb>274.32</fb>
    <v>13</v>
  </rv>
  <rv s="7">
    <fb>276.37</fb>
    <v>13</v>
  </rv>
  <rv s="7">
    <fb>280.49</fb>
    <v>13</v>
  </rv>
  <rv s="7">
    <fb>279.37</fb>
    <v>13</v>
  </rv>
  <rv s="7">
    <fb>285.33999999999997</fb>
    <v>13</v>
  </rv>
  <rv s="7">
    <fb>283.95999999999998</fb>
    <v>13</v>
  </rv>
  <rv s="7">
    <fb>285.37</fb>
    <v>13</v>
  </rv>
  <rv s="7">
    <fb>290.48</fb>
    <v>13</v>
  </rv>
  <rv s="7">
    <fb>291.56</fb>
    <v>13</v>
  </rv>
  <rv s="7">
    <fb>288.48</fb>
    <v>13</v>
  </rv>
  <rv s="7">
    <fb>285.24</fb>
    <v>13</v>
  </rv>
  <rv s="7">
    <fb>284.77</fb>
    <v>13</v>
  </rv>
  <rv s="7">
    <fb>288.63</fb>
    <v>13</v>
  </rv>
  <rv s="7">
    <fb>272.77999999999997</fb>
    <v>13</v>
  </rv>
  <rv s="7">
    <fb>269.63</fb>
    <v>13</v>
  </rv>
  <rv s="7">
    <fb>271.69</fb>
    <v>13</v>
  </rv>
  <rv s="7">
    <fb>274.95</fb>
    <v>13</v>
  </rv>
  <rv s="7">
    <fb>277.60000000000002</fb>
    <v>13</v>
  </rv>
  <rv s="7">
    <fb>277</fb>
    <v>13</v>
  </rv>
  <rv s="7">
    <fb>276.86</fb>
    <v>13</v>
  </rv>
  <rv s="7">
    <fb>277.93</fb>
    <v>13</v>
  </rv>
  <rv s="7">
    <fb>273.79000000000002</fb>
    <v>13</v>
  </rv>
  <rv s="7">
    <fb>274.95999999999998</fb>
    <v>13</v>
  </rv>
  <rv s="7">
    <fb>276.93</fb>
    <v>13</v>
  </rv>
  <rv s="7">
    <fb>277.47000000000003</fb>
    <v>13</v>
  </rv>
  <rv s="7">
    <fb>277.83999999999997</fb>
    <v>13</v>
  </rv>
  <rv s="7">
    <fb>280.68</fb>
    <v>13</v>
  </rv>
  <rv s="7">
    <fb>279.29000000000002</fb>
    <v>13</v>
  </rv>
  <rv s="7">
    <fb>287.52</fb>
    <v>13</v>
  </rv>
  <rv s="7">
    <fb>290.39</fb>
    <v>13</v>
  </rv>
  <rv s="7">
    <fb>290.62</fb>
    <v>13</v>
  </rv>
  <rv s="7">
    <fb>286.85000000000002</fb>
    <v>13</v>
  </rv>
  <rv s="7">
    <fb>284.79000000000002</fb>
    <v>13</v>
  </rv>
  <rv s="7">
    <fb>283.22000000000003</fb>
    <v>13</v>
  </rv>
  <rv s="7">
    <fb>284.19</fb>
    <v>13</v>
  </rv>
  <rv s="7">
    <fb>281.88</fb>
    <v>13</v>
  </rv>
  <rv s="7">
    <fb>290.16000000000003</fb>
    <v>13</v>
  </rv>
  <rv s="7">
    <fb>289.85000000000002</fb>
    <v>13</v>
  </rv>
  <rv s="7">
    <fb>290.74</fb>
    <v>13</v>
  </rv>
  <rv s="7">
    <fb>291.85000000000002</fb>
    <v>13</v>
  </rv>
  <rv s="7">
    <fb>293.29000000000002</fb>
    <v>13</v>
  </rv>
  <rv s="7">
    <fb>307.39999999999998</fb>
    <v>13</v>
  </rv>
  <rv s="7">
    <fb>305.8</fb>
    <v>13</v>
  </rv>
  <rv s="7">
    <fb>307.87</fb>
    <v>13</v>
  </rv>
  <rv s="7">
    <fb>310.92</fb>
    <v>13</v>
  </rv>
  <rv s="7">
    <fb>309.85000000000002</fb>
    <v>13</v>
  </rv>
  <rv s="7">
    <fb>309.48</fb>
    <v>13</v>
  </rv>
  <rv s="7">
    <fb>308.25</fb>
    <v>13</v>
  </rv>
  <rv s="7">
    <fb>309.64</fb>
    <v>13</v>
  </rv>
  <rv s="7">
    <fb>312.16000000000003</fb>
    <v>13</v>
  </rv>
  <rv s="7">
    <fb>311.85000000000002</fb>
    <v>13</v>
  </rv>
  <rv s="7">
    <fb>307.39</fb>
    <v>13</v>
  </rv>
  <rv s="7">
    <fb>309.89999999999998</fb>
    <v>13</v>
  </rv>
  <rv s="7">
    <fb>309.92</fb>
    <v>13</v>
  </rv>
  <rv s="7">
    <fb>313.19</fb>
    <v>13</v>
  </rv>
  <rv s="7">
    <fb>311.82</fb>
    <v>13</v>
  </rv>
  <rv s="7">
    <fb>315.08</fb>
    <v>13</v>
  </rv>
  <rv s="7">
    <fb>316.64999999999998</fb>
    <v>13</v>
  </rv>
  <rv s="7">
    <fb>313.01</fb>
    <v>13</v>
  </rv>
  <rv s="7">
    <fb>309.08</fb>
    <v>13</v>
  </rv>
  <rv s="7">
    <fb>311.01</fb>
    <v>13</v>
  </rv>
  <rv s="7">
    <fb>308.3</fb>
    <v>13</v>
  </rv>
  <rv s="7">
    <fb>312.38</fb>
    <v>13</v>
  </rv>
  <rv s="7">
    <fb>50.452800000000003</fb>
    <v>13</v>
  </rv>
  <rv s="7">
    <fb>51.349499999999999</fb>
    <v>13</v>
  </rv>
  <rv s="7">
    <fb>50.722799999999999</fb>
    <v>13</v>
  </rv>
  <rv s="7">
    <fb>50.912799999999997</fb>
    <v>13</v>
  </rv>
  <rv s="7">
    <fb>51.656199999999998</fb>
    <v>13</v>
  </rv>
  <rv s="7">
    <fb>51.842799999999997</fb>
    <v>13</v>
  </rv>
  <rv s="7">
    <fb>51.236199999999997</fb>
    <v>13</v>
  </rv>
  <rv s="7">
    <fb>51.599499999999999</fb>
    <v>13</v>
  </rv>
  <rv s="7">
    <fb>52.216099999999997</fb>
    <v>13</v>
  </rv>
  <rv s="7">
    <fb>52.136099999999999</fb>
    <v>13</v>
  </rv>
  <rv s="7">
    <fb>52.626100000000001</fb>
    <v>13</v>
  </rv>
  <rv s="7">
    <fb>52.522799999999997</fb>
    <v>13</v>
  </rv>
  <rv s="7">
    <fb>52.549500000000002</fb>
    <v>13</v>
  </rv>
  <rv s="7">
    <fb>53.0961</fb>
    <v>13</v>
  </rv>
  <rv s="7">
    <fb>53.099499999999999</fb>
    <v>13</v>
  </rv>
  <rv s="7">
    <fb>52.586100000000002</fb>
    <v>13</v>
  </rv>
  <rv s="7">
    <fb>52.2361</fb>
    <v>13</v>
  </rv>
  <rv s="7">
    <fb>52.749499999999998</fb>
    <v>13</v>
  </rv>
  <rv s="7">
    <fb>53.102800000000002</fb>
    <v>13</v>
  </rv>
  <rv s="7">
    <fb>53.762799999999999</fb>
    <v>13</v>
  </rv>
  <rv s="7">
    <fb>53.702800000000003</fb>
    <v>13</v>
  </rv>
  <rv s="7">
    <fb>53.772799999999997</fb>
    <v>13</v>
  </rv>
  <rv s="7">
    <fb>53.942799999999998</fb>
    <v>13</v>
  </rv>
  <rv s="7">
    <fb>53.689500000000002</fb>
    <v>13</v>
  </rv>
  <rv s="7">
    <fb>54.412799999999997</fb>
    <v>13</v>
  </rv>
  <rv s="7">
    <fb>54.126100000000001</fb>
    <v>13</v>
  </rv>
  <rv s="7">
    <fb>54.1295</fb>
    <v>13</v>
  </rv>
  <rv s="7">
    <fb>54.266100000000002</fb>
    <v>13</v>
  </rv>
  <rv s="7">
    <fb>53.499499999999998</fb>
    <v>13</v>
  </rv>
  <rv s="7">
    <fb>54.279499999999999</fb>
    <v>13</v>
  </rv>
  <rv s="7">
    <fb>54.756100000000004</fb>
    <v>13</v>
  </rv>
  <rv s="7">
    <fb>55.012799999999999</fb>
    <v>13</v>
  </rv>
  <rv s="7">
    <fb>55.196100000000001</fb>
    <v>13</v>
  </rv>
  <rv s="7">
    <fb>55.082799999999999</fb>
    <v>13</v>
  </rv>
  <rv s="7">
    <fb>56.102800000000002</fb>
    <v>13</v>
  </rv>
  <rv s="7">
    <fb>56.522799999999997</fb>
    <v>13</v>
  </rv>
  <rv s="7">
    <fb>56.2194</fb>
    <v>13</v>
  </rv>
  <rv s="7">
    <fb>56.602800000000002</fb>
    <v>13</v>
  </rv>
  <rv s="7">
    <fb>56.459400000000002</fb>
    <v>13</v>
  </rv>
  <rv s="7">
    <fb>56.456099999999999</fb>
    <v>13</v>
  </rv>
  <rv s="7">
    <fb>56.426099999999998</fb>
    <v>13</v>
  </rv>
  <rv s="7">
    <fb>56.766100000000002</fb>
    <v>13</v>
  </rv>
  <rv s="7">
    <fb>56.379399999999997</fb>
    <v>13</v>
  </rv>
  <rv s="7">
    <fb>56.199399999999997</fb>
    <v>13</v>
  </rv>
  <rv s="7">
    <fb>56.429400000000001</fb>
    <v>13</v>
  </rv>
  <rv s="7">
    <fb>56.786099999999998</fb>
    <v>13</v>
  </rv>
  <rv s="7">
    <fb>58.619399999999999</fb>
    <v>13</v>
  </rv>
  <rv s="7">
    <fb>57.8994</fb>
    <v>13</v>
  </rv>
  <rv s="7">
    <fb>58.4694</fb>
    <v>13</v>
  </rv>
  <rv s="7">
    <fb>58.519399999999997</fb>
    <v>13</v>
  </rv>
  <rv s="7">
    <fb>59.6</fb>
    <v>13</v>
  </rv>
  <rv s="7">
    <fb>58.61</fb>
    <v>13</v>
  </rv>
  <rv s="7">
    <fb>60.57</fb>
    <v>13</v>
  </rv>
  <rv s="7">
    <fb>60.36</fb>
    <v>13</v>
  </rv>
  <rv s="7">
    <fb>60.66</fb>
    <v>13</v>
  </rv>
  <rv s="7">
    <fb>61.28</fb>
    <v>13</v>
  </rv>
  <rv s="7">
    <fb>61.02</fb>
    <v>13</v>
  </rv>
  <rv s="7">
    <fb>60.86</fb>
    <v>13</v>
  </rv>
  <rv s="7">
    <fb>60.87</fb>
    <v>13</v>
  </rv>
  <rv s="7">
    <fb>61.45</fb>
    <v>13</v>
  </rv>
  <rv s="7">
    <fb>60.51</fb>
    <v>13</v>
  </rv>
  <rv s="7">
    <fb>60.72</fb>
    <v>13</v>
  </rv>
  <rv s="7">
    <fb>59.5</fb>
    <v>13</v>
  </rv>
  <rv s="7">
    <fb>59.78</fb>
    <v>13</v>
  </rv>
  <rv s="7">
    <fb>59.79</fb>
    <v>13</v>
  </rv>
  <rv s="7">
    <fb>60.14</fb>
    <v>13</v>
  </rv>
  <rv s="7">
    <fb>59.84</fb>
    <v>13</v>
  </rv>
  <rv s="7">
    <fb>59.65</fb>
    <v>13</v>
  </rv>
  <rv s="7">
    <fb>59.26</fb>
    <v>13</v>
  </rv>
  <rv s="7">
    <fb>59.87</fb>
    <v>13</v>
  </rv>
  <rv s="7">
    <fb>60.21</fb>
    <v>13</v>
  </rv>
  <rv s="7">
    <fb>58.85</fb>
    <v>13</v>
  </rv>
  <rv s="7">
    <fb>60.3</fb>
    <v>13</v>
  </rv>
  <rv s="7">
    <fb>60.44</fb>
    <v>13</v>
  </rv>
  <rv s="7">
    <fb>60.48</fb>
    <v>13</v>
  </rv>
  <rv s="7">
    <fb>60.41</fb>
    <v>13</v>
  </rv>
  <rv s="7">
    <fb>59.86</fb>
    <v>13</v>
  </rv>
  <rv s="7">
    <fb>64.010000000000005</fb>
    <v>13</v>
  </rv>
  <rv s="7">
    <fb>64.650000000000006</fb>
    <v>13</v>
  </rv>
  <rv s="7">
    <fb>64.180000000000007</fb>
    <v>13</v>
  </rv>
  <rv s="7">
    <fb>65.25</fb>
    <v>13</v>
  </rv>
  <rv s="7">
    <fb>65.38</fb>
    <v>13</v>
  </rv>
  <rv s="7">
    <fb>65.040000000000006</fb>
    <v>13</v>
  </rv>
  <rv s="7">
    <fb>64.92</fb>
    <v>13</v>
  </rv>
  <rv s="7">
    <fb>65.760000000000005</fb>
    <v>13</v>
  </rv>
  <rv s="7">
    <fb>66.599999999999994</fb>
    <v>13</v>
  </rv>
  <rv s="7">
    <fb>67.150000000000006</fb>
    <v>13</v>
  </rv>
  <rv s="7">
    <fb>66.73</fb>
    <v>13</v>
  </rv>
  <rv s="7">
    <fb>66.31</fb>
    <v>13</v>
  </rv>
  <rv s="7">
    <fb>66.7</fb>
    <v>13</v>
  </rv>
  <rv s="7">
    <fb>67.42</fb>
    <v>13</v>
  </rv>
  <rv s="7">
    <fb>67.599999999999994</fb>
    <v>13</v>
  </rv>
  <rv s="7">
    <fb>67.91</fb>
    <v>13</v>
  </rv>
  <rv s="7">
    <fb>68.900000000000006</fb>
    <v>13</v>
  </rv>
  <rv s="7">
    <fb>68.290000000000006</fb>
    <v>13</v>
  </rv>
  <rv s="7">
    <fb>67.709999999999994</fb>
    <v>13</v>
  </rv>
  <rv s="7">
    <fb>67.48</fb>
    <v>13</v>
  </rv>
  <rv s="7">
    <fb>68.069999999999993</fb>
    <v>13</v>
  </rv>
  <rv s="7">
    <fb>68.239999999999995</fb>
    <v>13</v>
  </rv>
  <rv s="7">
    <fb>70.040000000000006</fb>
    <v>13</v>
  </rv>
  <rv s="7">
    <fb>69.680000000000007</fb>
    <v>13</v>
  </rv>
  <rv s="7">
    <fb>70.41</fb>
    <v>13</v>
  </rv>
  <rv s="7">
    <fb>69.239999999999995</fb>
    <v>13</v>
  </rv>
  <rv s="7">
    <fb>69.61</fb>
    <v>13</v>
  </rv>
  <rv s="7">
    <fb>69.989999999999995</fb>
    <v>13</v>
  </rv>
  <rv s="7">
    <fb>71.03</fb>
    <v>13</v>
  </rv>
  <rv s="7">
    <fb>70.819999999999993</fb>
    <v>13</v>
  </rv>
  <rv s="7">
    <fb>70.38</fb>
    <v>13</v>
  </rv>
  <rv s="7">
    <fb>70.650000000000006</fb>
    <v>13</v>
  </rv>
  <rv s="7">
    <fb>70.599999999999994</fb>
    <v>13</v>
  </rv>
  <rv s="7">
    <fb>69.78</fb>
    <v>13</v>
  </rv>
  <rv s="7">
    <fb>69.62</fb>
    <v>13</v>
  </rv>
  <rv s="7">
    <fb>69.19</fb>
    <v>13</v>
  </rv>
  <rv s="7">
    <fb>67.59</fb>
    <v>13</v>
  </rv>
  <rv s="7">
    <fb>67.739999999999995</fb>
    <v>13</v>
  </rv>
  <rv s="7">
    <fb>66.91</fb>
    <v>13</v>
  </rv>
  <rv s="7">
    <fb>67.66</fb>
    <v>13</v>
  </rv>
  <rv s="7">
    <fb>67.95</fb>
    <v>13</v>
  </rv>
  <rv s="7">
    <fb>68.7</fb>
    <v>13</v>
  </rv>
  <rv s="7">
    <fb>68.13</fb>
    <v>13</v>
  </rv>
  <rv s="7">
    <fb>68.66</fb>
    <v>13</v>
  </rv>
  <rv s="7">
    <fb>73.180000000000007</fb>
    <v>13</v>
  </rv>
  <rv s="7">
    <fb>73.45</fb>
    <v>13</v>
  </rv>
  <rv s="7">
    <fb>73.72</fb>
    <v>13</v>
  </rv>
  <rv s="7">
    <fb>74.540000000000006</fb>
    <v>13</v>
  </rv>
  <rv s="7">
    <fb>75.58</fb>
    <v>13</v>
  </rv>
  <rv s="7">
    <fb>76.03</fb>
    <v>13</v>
  </rv>
  <rv s="7">
    <fb>76.13</fb>
    <v>13</v>
  </rv>
  <rv s="7">
    <fb>76.08</fb>
    <v>13</v>
  </rv>
  <rv s="7">
    <fb>76.42</fb>
    <v>13</v>
  </rv>
  <rv s="7">
    <fb>77.23</fb>
    <v>13</v>
  </rv>
  <rv s="7">
    <fb>77.239999999999995</fb>
    <v>13</v>
  </rv>
  <rv s="7">
    <fb>76.959999999999994</fb>
    <v>13</v>
  </rv>
  <rv s="7">
    <fb>76.64</fb>
    <v>13</v>
  </rv>
  <rv s="7">
    <fb>77.34</fb>
    <v>13</v>
  </rv>
  <rv s="7">
    <fb>78.81</fb>
    <v>13</v>
  </rv>
  <rv s="7">
    <fb>78.84</fb>
    <v>13</v>
  </rv>
  <rv s="7">
    <fb>79.66</fb>
    <v>13</v>
  </rv>
  <rv s="7">
    <fb>80.599999999999994</fb>
    <v>13</v>
  </rv>
  <rv s="7">
    <fb>78.599999999999994</fb>
    <v>13</v>
  </rv>
  <rv s="7">
    <fb>79.03</fb>
    <v>13</v>
  </rv>
  <rv s="7">
    <fb>78.040000000000006</fb>
    <v>13</v>
  </rv>
  <rv s="7">
    <fb>79.06</fb>
    <v>13</v>
  </rv>
  <rv s="7">
    <fb>80.33</fb>
    <v>13</v>
  </rv>
  <rv s="7">
    <fb>81.400000000000006</fb>
    <v>13</v>
  </rv>
  <rv s="7">
    <fb>79.92</fb>
    <v>13</v>
  </rv>
  <rv s="7">
    <fb>79.78</fb>
    <v>13</v>
  </rv>
  <rv s="7">
    <fb>80.75</fb>
    <v>13</v>
  </rv>
  <rv s="7">
    <fb>81.27</fb>
    <v>13</v>
  </rv>
  <rv s="7">
    <fb>80.430000000000007</fb>
    <v>13</v>
  </rv>
  <rv s="7">
    <fb>79.099999999999994</fb>
    <v>13</v>
  </rv>
  <rv s="7">
    <fb>79.709999999999994</fb>
    <v>13</v>
  </rv>
  <rv s="7">
    <fb>80.400000000000006</fb>
    <v>13</v>
  </rv>
  <rv s="7">
    <fb>79.61</fb>
    <v>13</v>
  </rv>
  <rv s="7">
    <fb>80.099999999999994</fb>
    <v>13</v>
  </rv>
  <rv s="7">
    <fb>80.290000000000006</fb>
    <v>13</v>
  </rv>
  <rv s="7">
    <fb>81.22</fb>
    <v>13</v>
  </rv>
  <rv s="7">
    <fb>80.89</fb>
    <v>13</v>
  </rv>
  <rv s="7">
    <fb>81.31</fb>
    <v>13</v>
  </rv>
  <rv s="7">
    <fb>80.81</fb>
    <v>13</v>
  </rv>
  <rv s="7">
    <fb>82.02</fb>
    <v>13</v>
  </rv>
  <rv s="7">
    <fb>83.27</fb>
    <v>13</v>
  </rv>
  <rv s="7">
    <fb>83.04</fb>
    <v>13</v>
  </rv>
  <rv s="7">
    <fb>82.51</fb>
    <v>13</v>
  </rv>
  <rv s="7">
    <fb>82.75</fb>
    <v>13</v>
  </rv>
  <rv s="7">
    <fb>81.95</fb>
    <v>13</v>
  </rv>
  <rv s="7">
    <fb>82.19</fb>
    <v>13</v>
  </rv>
  <rv s="7">
    <fb>83.68</fb>
    <v>13</v>
  </rv>
  <rv s="7">
    <fb>83.44</fb>
    <v>13</v>
  </rv>
  <rv s="7">
    <fb>83.85</fb>
    <v>13</v>
  </rv>
  <rv s="7">
    <fb>84.83</fb>
    <v>13</v>
  </rv>
  <rv s="7">
    <fb>84.21</fb>
    <v>13</v>
  </rv>
  <rv s="7">
    <fb>84.99</fb>
    <v>13</v>
  </rv>
  <rv s="7">
    <fb>85.5</fb>
    <v>13</v>
  </rv>
  <rv s="7">
    <fb>84.47</fb>
    <v>13</v>
  </rv>
  <rv s="7">
    <fb>84.25</fb>
    <v>13</v>
  </rv>
  <rv s="7">
    <fb>84.08</fb>
    <v>13</v>
  </rv>
  <rv s="7">
    <fb>86.6</fb>
    <v>13</v>
  </rv>
  <rv s="7">
    <fb>87.18</fb>
    <v>13</v>
  </rv>
  <rv s="7">
    <fb>88.39</fb>
    <v>13</v>
  </rv>
  <rv s="7">
    <fb>90.44</fb>
    <v>13</v>
  </rv>
  <rv s="7">
    <fb>89.5</fb>
    <v>13</v>
  </rv>
  <rv s="7">
    <fb>91.31</fb>
    <v>13</v>
  </rv>
  <rv s="7">
    <fb>91.88</fb>
    <v>13</v>
  </rv>
  <rv s="7">
    <fb>92.64</fb>
    <v>13</v>
  </rv>
  <rv s="7">
    <fb>95.7</fb>
    <v>13</v>
  </rv>
  <rv s="7">
    <fb>93.83</fb>
    <v>13</v>
  </rv>
  <rv s="7">
    <fb>94.55</fb>
    <v>13</v>
  </rv>
  <rv s="7">
    <fb>47.76</fb>
    <v>13</v>
  </rv>
  <rv s="7">
    <fb>49.45</fb>
    <v>13</v>
  </rv>
  <rv s="7">
    <fb>49.18</fb>
    <v>13</v>
  </rv>
  <rv s="7">
    <fb>49.48</fb>
    <v>13</v>
  </rv>
  <rv s="7">
    <fb>49.22</fb>
    <v>13</v>
  </rv>
  <rv s="7">
    <fb>49.28</fb>
    <v>13</v>
  </rv>
  <rv s="7">
    <fb>49.92</fb>
    <v>13</v>
  </rv>
  <rv s="7">
    <fb>49.29</fb>
    <v>13</v>
  </rv>
  <rv s="7">
    <fb>49.08</fb>
    <v>13</v>
  </rv>
  <rv s="7">
    <fb>49.04</fb>
    <v>13</v>
  </rv>
  <rv s="7">
    <fb>46.67</fb>
    <v>13</v>
  </rv>
  <rv s="7">
    <fb>46.44</fb>
    <v>13</v>
  </rv>
  <rv s="7">
    <fb>48.12</fb>
    <v>13</v>
  </rv>
  <rv s="7">
    <fb>49.12</fb>
    <v>13</v>
  </rv>
  <rv s="7">
    <fb>49.49</fb>
    <v>13</v>
  </rv>
  <rv s="7">
    <fb>50.32</fb>
    <v>13</v>
  </rv>
  <rv s="7">
    <fb>50.35</fb>
    <v>13</v>
  </rv>
  <rv s="7">
    <fb>51.19</fb>
    <v>13</v>
  </rv>
  <rv s="7">
    <fb>48.73</fb>
    <v>13</v>
  </rv>
  <rv s="7">
    <fb>48.29</fb>
    <v>13</v>
  </rv>
  <rv s="7">
    <fb>48.92</fb>
    <v>13</v>
  </rv>
  <rv s="7">
    <fb>52.04</fb>
    <v>13</v>
  </rv>
  <rv s="7">
    <fb>51.91</fb>
    <v>13</v>
  </rv>
  <rv s="7">
    <fb>51.77</fb>
    <v>13</v>
  </rv>
  <rv s="7">
    <fb>52.66</fb>
    <v>13</v>
  </rv>
  <rv s="7">
    <fb>53.37</fb>
    <v>13</v>
  </rv>
  <rv s="7">
    <fb>53.86</fb>
    <v>13</v>
  </rv>
  <rv s="7">
    <fb>54.13</fb>
    <v>13</v>
  </rv>
  <rv s="7">
    <fb>54.81</fb>
    <v>13</v>
  </rv>
  <rv s="7">
    <fb>54.72</fb>
    <v>13</v>
  </rv>
  <rv s="7">
    <fb>55.06</fb>
    <v>13</v>
  </rv>
  <rv s="7">
    <fb>55.81</fb>
    <v>13</v>
  </rv>
  <rv s="7">
    <fb>57.11</fb>
    <v>13</v>
  </rv>
  <rv s="7">
    <fb>57</fb>
    <v>13</v>
  </rv>
  <rv s="7">
    <fb>57.07</fb>
    <v>13</v>
  </rv>
  <rv s="7">
    <fb>57.82</fb>
    <v>13</v>
  </rv>
  <rv s="7">
    <fb>57.37</fb>
    <v>13</v>
  </rv>
  <rv s="7">
    <fb>57.77</fb>
    <v>13</v>
  </rv>
  <rv s="7">
    <fb>57.85</fb>
    <v>13</v>
  </rv>
  <rv s="7">
    <fb>57.13</fb>
    <v>13</v>
  </rv>
  <rv s="7">
    <fb>56.73</fb>
    <v>13</v>
  </rv>
  <rv s="7">
    <fb>56.68</fb>
    <v>13</v>
  </rv>
  <rv s="7">
    <fb>57.96</fb>
    <v>13</v>
  </rv>
  <rv s="7">
    <fb>57.35</fb>
    <v>13</v>
  </rv>
  <rv s="7">
    <fb>57.4</fb>
    <v>13</v>
  </rv>
  <rv s="7">
    <fb>57.79</fb>
    <v>13</v>
  </rv>
  <rv s="7">
    <fb>57.58</fb>
    <v>13</v>
  </rv>
  <rv s="7">
    <fb>56.94</fb>
    <v>13</v>
  </rv>
  <rv s="7">
    <fb>56.69</fb>
    <v>13</v>
  </rv>
  <rv s="7">
    <fb>56.47</fb>
    <v>13</v>
  </rv>
  <rv s="7">
    <fb>56.97</fb>
    <v>13</v>
  </rv>
  <rv s="7">
    <fb>56.41</fb>
    <v>13</v>
  </rv>
  <rv s="7">
    <fb>57.18</fb>
    <v>13</v>
  </rv>
  <rv s="7">
    <fb>60.35</fb>
    <v>13</v>
  </rv>
  <rv s="7">
    <fb>61.1</fb>
    <v>13</v>
  </rv>
  <rv s="7">
    <fb>60.94</fb>
    <v>13</v>
  </rv>
  <rv s="7">
    <fb>60.6</fb>
    <v>13</v>
  </rv>
  <rv s="7">
    <fb>59.91</fb>
    <v>13</v>
  </rv>
  <rv s="7">
    <fb>59.32</fb>
    <v>13</v>
  </rv>
  <rv s="7">
    <fb>60.19</fb>
    <v>13</v>
  </rv>
  <rv s="7">
    <fb>60.26</fb>
    <v>13</v>
  </rv>
  <rv s="7">
    <fb>61.23</fb>
    <v>13</v>
  </rv>
  <rv s="7">
    <fb>61.89</fb>
    <v>13</v>
  </rv>
  <rv s="7">
    <fb>62.34</fb>
    <v>13</v>
  </rv>
  <rv s="7">
    <fb>61.06</fb>
    <v>13</v>
  </rv>
  <rv s="7">
    <fb>61.08</fb>
    <v>13</v>
  </rv>
  <rv s="7">
    <fb>60.93</fb>
    <v>13</v>
  </rv>
  <rv s="7">
    <fb>59.92</fb>
    <v>13</v>
  </rv>
  <rv s="7">
    <fb>59.34</fb>
    <v>13</v>
  </rv>
  <rv s="7">
    <fb>58.7</fb>
    <v>13</v>
  </rv>
  <rv s="7">
    <fb>58.68</fb>
    <v>13</v>
  </rv>
  <rv s="7">
    <fb>57.73</fb>
    <v>13</v>
  </rv>
  <rv s="7">
    <fb>58.36</fb>
    <v>13</v>
  </rv>
  <rv s="7">
    <fb>57.93</fb>
    <v>13</v>
  </rv>
  <rv s="7">
    <fb>57.27</fb>
    <v>13</v>
  </rv>
  <rv s="7">
    <fb>58.24</fb>
    <v>13</v>
  </rv>
  <rv s="7">
    <fb>58.96</fb>
    <v>13</v>
  </rv>
  <rv s="7">
    <fb>58.1</fb>
    <v>13</v>
  </rv>
  <rv s="7">
    <fb>57.2</fb>
    <v>13</v>
  </rv>
  <rv s="7">
    <fb>57.42</fb>
    <v>13</v>
  </rv>
  <rv s="7">
    <fb>60.59</fb>
    <v>13</v>
  </rv>
  <rv s="7">
    <fb>60.97</fb>
    <v>13</v>
  </rv>
  <rv s="7">
    <fb>56.54</fb>
    <v>13</v>
  </rv>
  <rv s="7">
    <fb>59.24</fb>
    <v>13</v>
  </rv>
  <rv s="7">
    <fb>59.23</fb>
    <v>13</v>
  </rv>
  <rv s="7">
    <fb>56.88</fb>
    <v>13</v>
  </rv>
  <rv s="7">
    <fb>52.36</fb>
    <v>13</v>
  </rv>
  <rv s="7">
    <fb>52.06</fb>
    <v>13</v>
  </rv>
  <rv s="7">
    <fb>52.87</fb>
    <v>13</v>
  </rv>
  <rv s="7">
    <fb>54.57</fb>
    <v>13</v>
  </rv>
  <rv s="7">
    <fb>56.45</fb>
    <v>13</v>
  </rv>
  <rv s="7">
    <fb>56.15</fb>
    <v>13</v>
  </rv>
  <rv s="7">
    <fb>55.46</fb>
    <v>13</v>
  </rv>
  <rv s="7">
    <fb>56.7</fb>
    <v>13</v>
  </rv>
  <rv s="7">
    <fb>56.72</fb>
    <v>13</v>
  </rv>
  <rv s="7">
    <fb>58.47</fb>
    <v>13</v>
  </rv>
  <rv s="7">
    <fb>56.86</fb>
    <v>13</v>
  </rv>
  <rv s="7">
    <fb>54</fb>
    <v>13</v>
  </rv>
  <rv s="7">
    <fb>54.59</fb>
    <v>13</v>
  </rv>
  <rv s="7">
    <fb>53.95</fb>
    <v>13</v>
  </rv>
  <rv s="7">
    <fb>52.78</fb>
    <v>13</v>
  </rv>
  <rv s="7">
    <fb>53.79</fb>
    <v>13</v>
  </rv>
  <rv s="7">
    <fb>54.51</fb>
    <v>13</v>
  </rv>
  <rv s="7">
    <fb>54.26</fb>
    <v>13</v>
  </rv>
  <rv s="7">
    <fb>55.8</fb>
    <v>13</v>
  </rv>
  <rv s="7">
    <fb>56.29</fb>
    <v>13</v>
  </rv>
  <rv s="7">
    <fb>55.11</fb>
    <v>13</v>
  </rv>
  <rv s="7">
    <fb>54.16</fb>
    <v>13</v>
  </rv>
  <rv s="7">
    <fb>53.61</fb>
    <v>13</v>
  </rv>
  <rv s="7">
    <fb>56.39</fb>
    <v>13</v>
  </rv>
  <rv s="7">
    <fb>56.49</fb>
    <v>13</v>
  </rv>
  <rv s="7">
    <fb>55.39</fb>
    <v>13</v>
  </rv>
  <rv s="7">
    <fb>55.3</fb>
    <v>13</v>
  </rv>
  <rv s="7">
    <fb>54.98</fb>
    <v>13</v>
  </rv>
  <rv s="7">
    <fb>56.96</fb>
    <v>13</v>
  </rv>
  <rv s="7">
    <fb>57.16</fb>
    <v>13</v>
  </rv>
  <rv s="7">
    <fb>57.54</fb>
    <v>13</v>
  </rv>
  <rv s="7">
    <fb>57.75</fb>
    <v>13</v>
  </rv>
  <rv s="7">
    <fb>60.99</fb>
    <v>13</v>
  </rv>
  <rv s="7">
    <fb>62.16</fb>
    <v>13</v>
  </rv>
  <rv s="7">
    <fb>63.89</fb>
    <v>13</v>
  </rv>
  <rv s="7">
    <fb>64.36</fb>
    <v>13</v>
  </rv>
  <rv s="7">
    <fb>64.81</fb>
    <v>13</v>
  </rv>
  <rv s="7">
    <fb>64.56</fb>
    <v>13</v>
  </rv>
  <rv s="7">
    <fb>65.430000000000007</fb>
    <v>13</v>
  </rv>
  <rv s="7">
    <fb>64.53</fb>
    <v>13</v>
  </rv>
  <rv s="7">
    <fb>65.3</fb>
    <v>13</v>
  </rv>
  <rv s="7">
    <fb>65.41</fb>
    <v>13</v>
  </rv>
  <rv s="7">
    <fb>69.819999999999993</fb>
    <v>13</v>
  </rv>
  <rv s="7">
    <fb>72.599999999999994</fb>
    <v>13</v>
  </rv>
  <rv s="7">
    <fb>72.77</fb>
    <v>13</v>
  </rv>
  <rv s="7">
    <fb>72.8</fb>
    <v>13</v>
  </rv>
  <rv s="7">
    <fb>74.09</fb>
    <v>13</v>
  </rv>
  <rv s="7">
    <fb>73.430000000000007</fb>
    <v>13</v>
  </rv>
  <rv s="7">
    <fb>73.58</fb>
    <v>13</v>
  </rv>
  <rv s="7">
    <fb>75.959999999999994</fb>
    <v>13</v>
  </rv>
  <rv s="7">
    <fb>77.209999999999994</fb>
    <v>13</v>
  </rv>
  <rv s="7">
    <fb>76.17</fb>
    <v>13</v>
  </rv>
  <rv s="7">
    <fb>74.14</fb>
    <v>13</v>
  </rv>
  <rv s="7">
    <fb>73.06</fb>
    <v>13</v>
  </rv>
  <rv s="7">
    <fb>73.66</fb>
    <v>13</v>
  </rv>
  <rv s="7">
    <fb>74.33</fb>
    <v>13</v>
  </rv>
  <rv s="7">
    <fb>43831</fb>
    <v>12</v>
  </rv>
  <rv s="7">
    <fb>43.370899999999999</fb>
    <v>13</v>
  </rv>
  <rv s="7">
    <fb>77.377499999999998</fb>
    <v>13</v>
  </rv>
  <rv s="7">
    <fb>71.711500000000001</fb>
    <v>13</v>
  </rv>
  <rv s="7">
    <fb>100.43600000000001</fb>
    <v>13</v>
  </rv>
  <rv s="7">
    <fb>71.638999999999996</fb>
    <v>13</v>
  </rv>
  <rv s="7">
    <fb>201.91</fb>
    <v>13</v>
  </rv>
  <rv s="7">
    <fb>224.43</fb>
    <v>13</v>
  </rv>
  <rv s="7">
    <fb>5.9108000000000001</fb>
    <v>13</v>
  </rv>
  <rv s="7">
    <fb>148.87</fb>
    <v>13</v>
  </rv>
  <rv s="7">
    <fb>198.97</fb>
    <v>13</v>
  </rv>
  <rv s="7">
    <fb>124.62</fb>
    <v>13</v>
  </rv>
  <rv s="7">
    <fb>272.45</fb>
    <v>13</v>
  </rv>
  <rv s="7">
    <fb>228.1</fb>
    <v>13</v>
  </rv>
  <rv s="7">
    <fb>315.94</fb>
    <v>13</v>
  </rv>
  <rv s="7">
    <fb>35.301699999999997</fb>
    <v>13</v>
  </rv>
  <rv s="7">
    <fb>58.4</fb>
    <v>13</v>
  </rv>
  <rv s="7">
    <fb>345.09</fb>
    <v>13</v>
  </rv>
  <rv s="7">
    <fb>63.93</fb>
    <v>13</v>
  </rv>
  <rv s="7">
    <fb>62.12</fb>
    <v>13</v>
  </rv>
  <rv s="7">
    <fb>107.14</fb>
    <v>13</v>
  </rv>
  <rv s="7">
    <fb>38.162999999999997</fb>
    <v>13</v>
  </rv>
  <rv s="7">
    <fb>28.4099</fb>
    <v>13</v>
  </rv>
  <rv s="7">
    <fb>96.3</fb>
    <v>13</v>
  </rv>
  <rv s="7">
    <fb>318.27</fb>
    <v>13</v>
  </rv>
  <rv s="7">
    <fb>143.72999999999999</fb>
    <v>13</v>
  </rv>
  <rv s="7">
    <fb>52.45</fb>
    <v>13</v>
  </rv>
  <rv s="7">
    <fb>351.14</fb>
    <v>13</v>
  </rv>
  <rv s="7">
    <fb>113.89</fb>
    <v>13</v>
  </rv>
  <rv s="7">
    <fb>74.69</fb>
    <v>13</v>
  </rv>
  <rv s="7">
    <fb>92.88</fb>
    <v>13</v>
  </rv>
  <rv s="7">
    <fb>74.41</fb>
    <v>13</v>
  </rv>
  <rv s="7">
    <fb>32.83</fb>
    <v>13</v>
  </rv>
  <rv s="7">
    <fb>132.36000000000001</fb>
    <v>13</v>
  </rv>
  <rv s="7">
    <fb>237.75</fb>
    <v>13</v>
  </rv>
  <rv s="7">
    <fb>52.26</fb>
    <v>13</v>
  </rv>
  <rv s="7">
    <fb>110.74</fb>
    <v>13</v>
  </rv>
  <rv s="7">
    <fb>305.52</fb>
    <v>13</v>
  </rv>
  <rv s="7">
    <fb>43862</fb>
    <v>12</v>
  </rv>
  <rv s="7">
    <fb>44.532200000000003</fb>
    <v>13</v>
  </rv>
  <rv s="7">
    <fb>68.34</fb>
    <v>13</v>
  </rv>
  <rv s="7">
    <fb>66.966499999999996</fb>
    <v>13</v>
  </rv>
  <rv s="7">
    <fb>162.01</fb>
    <v>13</v>
  </rv>
  <rv s="7">
    <fb>94.1875</fb>
    <v>13</v>
  </rv>
  <rv s="7">
    <fb>66.962500000000006</fb>
    <v>13</v>
  </rv>
  <rv s="7">
    <fb>192.47</fb>
    <v>13</v>
  </rv>
  <rv s="7">
    <fb>206.34</fb>
    <v>13</v>
  </rv>
  <rv s="7">
    <fb>6.7518000000000002</fb>
    <v>13</v>
  </rv>
  <rv s="7">
    <fb>134.47999999999999</fb>
    <v>13</v>
  </rv>
  <rv s="7">
    <fb>181.76</fb>
    <v>13</v>
  </rv>
  <rv s="7">
    <fb>113.23</fb>
    <v>13</v>
  </rv>
  <rv s="7">
    <fb>254.96</fb>
    <v>13</v>
  </rv>
  <rv s="7">
    <fb>217.84</fb>
    <v>13</v>
  </rv>
  <rv s="7">
    <fb>290.25</fb>
    <v>13</v>
  </rv>
  <rv s="7">
    <fb>31.680499999999999</fb>
    <v>13</v>
  </rv>
  <rv s="7">
    <fb>53.49</fb>
    <v>13</v>
  </rv>
  <rv s="7">
    <fb>117.65</fb>
    <v>13</v>
  </rv>
  <rv s="7">
    <fb>369.03</fb>
    <v>13</v>
  </rv>
  <rv s="7">
    <fb>55.52</fb>
    <v>13</v>
  </rv>
  <rv s="7">
    <fb>35.893000000000001</fb>
    <v>13</v>
  </rv>
  <rv s="7">
    <fb>26.5974</fb>
    <v>13</v>
  </rv>
  <rv s="7">
    <fb>89.38</fb>
    <v>13</v>
  </rv>
  <rv s="7">
    <fb>78.430000000000007</fb>
    <v>13</v>
  </rv>
  <rv s="7">
    <fb>275.11</fb>
    <v>13</v>
  </rv>
  <rv s="7">
    <fb>130.15</fb>
    <v>13</v>
  </rv>
  <rv s="7">
    <fb>345.12</fb>
    <v>13</v>
  </rv>
  <rv s="7">
    <fb>107.99</fb>
    <v>13</v>
  </rv>
  <rv s="7">
    <fb>83.33</fb>
    <v>13</v>
  </rv>
  <rv s="7">
    <fb>28.5</fb>
    <v>13</v>
  </rv>
  <rv s="7">
    <fb>116.11</fb>
    <v>13</v>
  </rv>
  <rv s="7">
    <fb>200.77</fb>
    <v>13</v>
  </rv>
  <rv s="7">
    <fb>281.14</fb>
    <v>13</v>
  </rv>
  <rv s="7">
    <fb>43891</fb>
    <v>12</v>
  </rv>
  <rv s="7">
    <fb>34.933</fb>
    <v>13</v>
  </rv>
  <rv s="7">
    <fb>63.572499999999998</fb>
    <v>13</v>
  </rv>
  <rv s="7">
    <fb>58.140500000000003</fb>
    <v>13</v>
  </rv>
  <rv s="7">
    <fb>157.71</fb>
    <v>13</v>
  </rv>
  <rv s="7">
    <fb>97.486000000000004</fb>
    <v>13</v>
  </rv>
  <rv s="7">
    <fb>58.097499999999997</fb>
    <v>13</v>
  </rv>
  <rv s="7">
    <fb>6.59</fb>
    <v>13</v>
  </rv>
  <rv s="7">
    <fb>131.13</fb>
    <v>13</v>
  </rv>
  <rv s="7">
    <fb>161.12</fb>
    <v>13</v>
  </rv>
  <rv s="7">
    <fb>110</fb>
    <v>13</v>
  </rv>
  <rv s="7">
    <fb>249.38</fb>
    <v>13</v>
  </rv>
  <rv s="7">
    <fb>186.71</fb>
    <v>13</v>
  </rv>
  <rv s="7">
    <fb>241.56</fb>
    <v>13</v>
  </rv>
  <rv s="7">
    <fb>30.941099999999999</fb>
    <v>13</v>
  </rv>
  <rv s="7">
    <fb>375.5</fb>
    <v>13</v>
  </rv>
  <rv s="7">
    <fb>54.12</fb>
    <v>13</v>
  </rv>
  <rv s="7">
    <fb>37.97</fb>
    <v>13</v>
  </rv>
  <rv s="7">
    <fb>37.872999999999998</fb>
    <v>13</v>
  </rv>
  <rv s="7">
    <fb>22.013500000000001</fb>
    <v>13</v>
  </rv>
  <rv s="7">
    <fb>82.74</fb>
    <v>13</v>
  </rv>
  <rv s="7">
    <fb>165.35</fb>
    <v>13</v>
  </rv>
  <rv s="7">
    <fb>48.33</fb>
    <v>13</v>
  </rv>
  <rv s="7">
    <fb>143.97999999999999</fb>
    <v>13</v>
  </rv>
  <rv s="7">
    <fb>318.24</fb>
    <v>13</v>
  </rv>
  <rv s="7">
    <fb>52.38</fb>
    <v>13</v>
  </rv>
  <rv s="7">
    <fb>80.37</fb>
    <v>13</v>
  </rv>
  <rv s="7">
    <fb>21.23</fb>
    <v>13</v>
  </rv>
  <rv s="7">
    <fb>90.03</fb>
    <v>13</v>
  </rv>
  <rv s="7">
    <fb>34</fb>
    <v>13</v>
  </rv>
  <rv s="7">
    <fb>34.450000000000003</fb>
    <v>13</v>
  </rv>
  <rv s="7">
    <fb>285.13</fb>
    <v>13</v>
  </rv>
  <rv s="7">
    <fb>43922</fb>
    <v>12</v>
  </rv>
  <rv s="7">
    <fb>52.1248</fb>
    <v>13</v>
  </rv>
  <rv s="7">
    <fb>67.433000000000007</fb>
    <v>13</v>
  </rv>
  <rv s="7">
    <fb>179.21</fb>
    <v>13</v>
  </rv>
  <rv s="7">
    <fb>123.7</fb>
    <v>13</v>
  </rv>
  <rv s="7">
    <fb>67.334999999999994</fb>
    <v>13</v>
  </rv>
  <rv s="7">
    <fb>204.71</fb>
    <v>13</v>
  </rv>
  <rv s="7">
    <fb>187.36</fb>
    <v>13</v>
  </rv>
  <rv s="7">
    <fb>7.3070000000000004</fb>
    <v>13</v>
  </rv>
  <rv s="7">
    <fb>178.72</fb>
    <v>13</v>
  </rv>
  <rv s="7">
    <fb>292.47000000000003</fb>
    <v>13</v>
  </rv>
  <rv s="7">
    <fb>219.83</fb>
    <v>13</v>
  </rv>
  <rv s="7">
    <fb>274.97000000000003</fb>
    <v>13</v>
  </rv>
  <rv s="7">
    <fb>36.363399999999999</fb>
    <v>13</v>
  </rv>
  <rv s="7">
    <fb>45.89</fb>
    <v>13</v>
  </rv>
  <rv s="7">
    <fb>419.85</fb>
    <v>13</v>
  </rv>
  <rv s="7">
    <fb>42.38</fb>
    <v>13</v>
  </rv>
  <rv s="7">
    <fb>40.516300000000001</fb>
    <v>13</v>
  </rv>
  <rv s="7">
    <fb>23.010300000000001</fb>
    <v>13</v>
  </rv>
  <rv s="7">
    <fb>187.56</fb>
    <v>13</v>
  </rv>
  <rv s="7">
    <fb>76.73</fb>
    <v>13</v>
  </rv>
  <rv s="7">
    <fb>141.02000000000001</fb>
    <v>13</v>
  </rv>
  <rv s="7">
    <fb>125.56</fb>
    <v>13</v>
  </rv>
  <rv s="7">
    <fb>52.97</fb>
    <v>13</v>
  </rv>
  <rv s="7">
    <fb>161.94999999999999</fb>
    <v>13</v>
  </rv>
  <rv s="7">
    <fb>353.64</fb>
    <v>13</v>
  </rv>
  <rv s="7">
    <fb>52.39</fb>
    <v>13</v>
  </rv>
  <rv s="7">
    <fb>123</fb>
    <v>13</v>
  </rv>
  <rv s="7">
    <fb>89.23</fb>
    <v>13</v>
  </rv>
  <rv s="7">
    <fb>48.56</fb>
    <v>13</v>
  </rv>
  <rv s="7">
    <fb>95.76</fb>
    <v>13</v>
  </rv>
  <rv s="7">
    <fb>36.5</fb>
    <v>13</v>
  </rv>
  <rv s="7">
    <fb>109.74</fb>
    <v>13</v>
  </rv>
  <rv s="7">
    <fb>303</fb>
    <v>13</v>
  </rv>
  <rv s="7">
    <fb>43952</fb>
    <v>12</v>
  </rv>
  <rv s="7">
    <fb>55.6661</fb>
    <v>13</v>
  </rv>
  <rv s="7">
    <fb>79.484999999999999</fb>
    <v>13</v>
  </rv>
  <rv s="7">
    <fb>71.445999999999998</fb>
    <v>13</v>
  </rv>
  <rv s="7">
    <fb>122.1185</fb>
    <v>13</v>
  </rv>
  <rv s="7">
    <fb>71.676000000000002</fb>
    <v>13</v>
  </rv>
  <rv s="7">
    <fb>225.09</fb>
    <v>13</v>
  </rv>
  <rv s="7">
    <fb>8.8755000000000006</fb>
    <v>13</v>
  </rv>
  <rv s="7">
    <fb>195.24</fb>
    <v>13</v>
  </rv>
  <rv s="7">
    <fb>115.92</fb>
    <v>13</v>
  </rv>
  <rv s="7">
    <fb>304.85000000000002</fb>
    <v>13</v>
  </rv>
  <rv s="7">
    <fb>248.48</fb>
    <v>13</v>
  </rv>
  <rv s="7">
    <fb>300.89</fb>
    <v>13</v>
  </rv>
  <rv s="7">
    <fb>36.202199999999998</fb>
    <v>13</v>
  </rv>
  <rv s="7">
    <fb>46.68</fb>
    <v>13</v>
  </rv>
  <rv s="7">
    <fb>117.3</fb>
    <v>13</v>
  </rv>
  <rv s="7">
    <fb>419.73</fb>
    <v>13</v>
  </rv>
  <rv s="7">
    <fb>47.82</fb>
    <v>13</v>
  </rv>
  <rv s="7">
    <fb>91.7</fb>
    <v>13</v>
  </rv>
  <rv s="7">
    <fb>41.352899999999998</fb>
    <v>13</v>
  </rv>
  <rv s="7">
    <fb>23.3049</fb>
    <v>13</v>
  </rv>
  <rv s="7">
    <fb>57.38</fb>
    <v>13</v>
  </rv>
  <rv s="7">
    <fb>98.58</fb>
    <v>13</v>
  </rv>
  <rv s="7">
    <fb>186.32</fb>
    <v>13</v>
  </rv>
  <rv s="7">
    <fb>77.989999999999995</fb>
    <v>13</v>
  </rv>
  <rv s="7">
    <fb>145.85</fb>
    <v>13</v>
  </rv>
  <rv s="7">
    <fb>174.79</fb>
    <v>13</v>
  </rv>
  <rv s="7">
    <fb>386.6</fb>
    <v>13</v>
  </rv>
  <rv s="7">
    <fb>53.8</fb>
    <v>13</v>
  </rv>
  <rv s="7">
    <fb>81.08</fb>
    <v>13</v>
  </rv>
  <rv s="7">
    <fb>47.91</fb>
    <v>13</v>
  </rv>
  <rv s="7">
    <fb>24.12</fb>
    <v>13</v>
  </rv>
  <rv s="7">
    <fb>196.49</fb>
    <v>13</v>
  </rv>
  <rv s="7">
    <fb>44.2</fb>
    <v>13</v>
  </rv>
  <rv s="7">
    <fb>26.47</fb>
    <v>13</v>
  </rv>
  <rv s="7">
    <fb>35.56</fb>
    <v>13</v>
  </rv>
  <rv s="7">
    <fb>122.33</fb>
    <v>13</v>
  </rv>
  <rv s="7">
    <fb>308.47000000000003</fb>
    <v>13</v>
  </rv>
  <rv s="7">
    <fb>130.35</fb>
    <v>13</v>
  </rv>
  <rv s="7">
    <fb>43983</fb>
    <v>12</v>
  </rv>
  <rv s="7">
    <fb>71.986599999999996</fb>
    <v>13</v>
  </rv>
  <rv s="7">
    <fb>91.2</fb>
    <v>13</v>
  </rv>
  <rv s="7">
    <fb>70.680499999999995</fb>
    <v>13</v>
  </rv>
  <rv s="7">
    <fb>203.51</fb>
    <v>13</v>
  </rv>
  <rv s="7">
    <fb>137.941</fb>
    <v>13</v>
  </rv>
  <rv s="7">
    <fb>70.902500000000003</fb>
    <v>13</v>
  </rv>
  <rv s="7">
    <fb>227.07</fb>
    <v>13</v>
  </rv>
  <rv s="7">
    <fb>9.4977999999999998</fb>
    <v>13</v>
  </rv>
  <rv s="7">
    <fb>140.63</fb>
    <v>13</v>
  </rv>
  <rv s="7">
    <fb>193.17</fb>
    <v>13</v>
  </rv>
  <rv s="7">
    <fb>119.57</fb>
    <v>13</v>
  </rv>
  <rv s="7">
    <fb>294.95</fb>
    <v>13</v>
  </rv>
  <rv s="7">
    <fb>250.51</fb>
    <v>13</v>
  </rv>
  <rv s="7">
    <fb>295.7</fb>
    <v>13</v>
  </rv>
  <rv s="7">
    <fb>30.998000000000001</fb>
    <v>13</v>
  </rv>
  <rv s="7">
    <fb>111.51</fb>
    <v>13</v>
  </rv>
  <rv s="7">
    <fb>455.04</fb>
    <v>13</v>
  </rv>
  <rv s="7">
    <fb>46.64</fb>
    <v>13</v>
  </rv>
  <rv s="7">
    <fb>44.72</fb>
    <v>13</v>
  </rv>
  <rv s="7">
    <fb>39.926299999999998</fb>
    <v>13</v>
  </rv>
  <rv s="7">
    <fb>22.8291</fb>
    <v>13</v>
  </rv>
  <rv s="7">
    <fb>55.13</fb>
    <v>13</v>
  </rv>
  <rv s="7">
    <fb>184.47</fb>
    <v>13</v>
  </rv>
  <rv s="7">
    <fb>73.59</fb>
    <v>13</v>
  </rv>
  <rv s="7">
    <fb>183.3</fb>
    <v>13</v>
  </rv>
  <rv s="7">
    <fb>120.77</fb>
    <v>13</v>
  </rv>
  <rv s="7">
    <fb>55.27</fb>
    <v>13</v>
  </rv>
  <rv s="7">
    <fb>187.33</fb>
    <v>13</v>
  </rv>
  <rv s="7">
    <fb>435.31</fb>
    <v>13</v>
  </rv>
  <rv s="7">
    <fb>52.61</fb>
    <v>13</v>
  </rv>
  <rv s="7">
    <fb>104.94</fb>
    <v>13</v>
  </rv>
  <rv s="7">
    <fb>93.33</fb>
    <v>13</v>
  </rv>
  <rv s="7">
    <fb>51.1</fb>
    <v>13</v>
  </rv>
  <rv s="7">
    <fb>23.75</fb>
    <v>13</v>
  </rv>
  <rv s="7">
    <fb>197.62</fb>
    <v>13</v>
  </rv>
  <rv s="7">
    <fb>48.3</fb>
    <v>13</v>
  </rv>
  <rv s="7">
    <fb>25.6</fb>
    <v>13</v>
  </rv>
  <rv s="7">
    <fb>36.82</fb>
    <v>13</v>
  </rv>
  <rv s="7">
    <fb>303.20999999999998</fb>
    <v>13</v>
  </rv>
  <rv s="7">
    <fb>135.12</fb>
    <v>13</v>
  </rv>
  <rv s="7">
    <fb>44013</fb>
    <v>12</v>
  </rv>
  <rv s="7">
    <fb>95.382999999999996</fb>
    <v>13</v>
  </rv>
  <rv s="7">
    <fb>106.26</fb>
    <v>13</v>
  </rv>
  <rv s="7">
    <fb>74.147999999999996</fb>
    <v>13</v>
  </rv>
  <rv s="7">
    <fb>205.01</fb>
    <v>13</v>
  </rv>
  <rv s="7">
    <fb>158.23400000000001</fb>
    <v>13</v>
  </rv>
  <rv s="7">
    <fb>74.397499999999994</fb>
    <v>13</v>
  </rv>
  <rv s="7">
    <fb>253.67</fb>
    <v>13</v>
  </rv>
  <rv s="7">
    <fb>10.614800000000001</fb>
    <v>13</v>
  </rv>
  <rv s="7">
    <fb>145.76</fb>
    <v>13</v>
  </rv>
  <rv s="7">
    <fb>190.4</fb>
    <v>13</v>
  </rv>
  <rv s="7">
    <fb>131.12</fb>
    <v>13</v>
  </rv>
  <rv s="7">
    <fb>302.77999999999997</fb>
    <v>13</v>
  </rv>
  <rv s="7">
    <fb>265.49</fb>
    <v>13</v>
  </rv>
  <rv s="7">
    <fb>308.52999999999997</fb>
    <v>13</v>
  </rv>
  <rv s="7">
    <fb>36.4771</fb>
    <v>13</v>
  </rv>
  <rv s="7">
    <fb>116.94</fb>
    <v>13</v>
  </rv>
  <rv s="7">
    <fb>488.88</fb>
    <v>13</v>
  </rv>
  <rv s="7">
    <fb>47.73</fb>
    <v>13</v>
  </rv>
  <rv s="7">
    <fb>47.1</fb>
    <v>13</v>
  </rv>
  <rv s="7">
    <fb>43.132899999999999</fb>
    <v>13</v>
  </rv>
  <rv s="7">
    <fb>22.338200000000001</fb>
    <v>13</v>
  </rv>
  <rv s="7">
    <fb>97.61</fb>
    <v>13</v>
  </rv>
  <rv s="7">
    <fb>194.28</fb>
    <v>13</v>
  </rv>
  <rv s="7">
    <fb>76.53</fb>
    <v>13</v>
  </rv>
  <rv s="7">
    <fb>158</fb>
    <v>13</v>
  </rv>
  <rv s="7">
    <fb>122.94</fb>
    <v>13</v>
  </rv>
  <rv s="7">
    <fb>55.45</fb>
    <v>13</v>
  </rv>
  <rv s="7">
    <fb>194.85</fb>
    <v>13</v>
  </rv>
  <rv s="7">
    <fb>444.32</fb>
    <v>13</v>
  </rv>
  <rv s="7">
    <fb>77.430000000000007</fb>
    <v>13</v>
  </rv>
  <rv s="7">
    <fb>196.07</fb>
    <v>13</v>
  </rv>
  <rv s="7">
    <fb>129.85</fb>
    <v>13</v>
  </rv>
  <rv s="7">
    <fb>105.42</fb>
    <v>13</v>
  </rv>
  <rv s="7">
    <fb>24.88</fb>
    <v>13</v>
  </rv>
  <rv s="7">
    <fb>48.88</fb>
    <v>13</v>
  </rv>
  <rv s="7">
    <fb>24.26</fb>
    <v>13</v>
  </rv>
  <rv s="7">
    <fb>36.840000000000003</fb>
    <v>13</v>
  </rv>
  <rv s="7">
    <fb>125.88</fb>
    <v>13</v>
  </rv>
  <rv s="7">
    <fb>325.52999999999997</fb>
    <v>13</v>
  </rv>
  <rv s="7">
    <fb>148.91</fb>
    <v>13</v>
  </rv>
  <rv s="7">
    <fb>44044</fb>
    <v>12</v>
  </rv>
  <rv s="7">
    <fb>166.10499999999999</fb>
    <v>13</v>
  </rv>
  <rv s="7">
    <fb>129.04</fb>
    <v>13</v>
  </rv>
  <rv s="7">
    <fb>81.709000000000003</fb>
    <v>13</v>
  </rv>
  <rv s="7">
    <fb>225.53</fb>
    <v>13</v>
  </rv>
  <rv s="7">
    <fb>172.548</fb>
    <v>13</v>
  </rv>
  <rv s="7">
    <fb>81.476500000000001</fb>
    <v>13</v>
  </rv>
  <rv s="7">
    <fb>293.2</fb>
    <v>13</v>
  </rv>
  <rv s="7">
    <fb>218.04</fb>
    <v>13</v>
  </rv>
  <rv s="7">
    <fb>13.374499999999999</fb>
    <v>13</v>
  </rv>
  <rv s="7">
    <fb>211.99</fb>
    <v>13</v>
  </rv>
  <rv s="7">
    <fb>138.33000000000001</fb>
    <v>13</v>
  </rv>
  <rv s="7">
    <fb>312.55</fb>
    <v>13</v>
  </rv>
  <rv s="7">
    <fb>285.04000000000002</fb>
    <v>13</v>
  </rv>
  <rv s="7">
    <fb>358.19</fb>
    <v>13</v>
  </rv>
  <rv s="7">
    <fb>35.823</fb>
    <v>13</v>
  </rv>
  <rv s="7">
    <fb>131.87</fb>
    <v>13</v>
  </rv>
  <rv s="7">
    <fb>529.55999999999995</fb>
    <v>13</v>
  </rv>
  <rv s="7">
    <fb>50.95</fb>
    <v>13</v>
  </rv>
  <rv s="7">
    <fb>39.94</fb>
    <v>13</v>
  </rv>
  <rv s="7">
    <fb>83.93</fb>
    <v>13</v>
  </rv>
  <rv s="7">
    <fb>46.282899999999998</fb>
    <v>13</v>
  </rv>
  <rv s="7">
    <fb>22.511900000000001</fb>
    <v>13</v>
  </rv>
  <rv s="7">
    <fb>111.89</fb>
    <v>13</v>
  </rv>
  <rv s="7">
    <fb>213.52</fb>
    <v>13</v>
  </rv>
  <rv s="7">
    <fb>171.82</fb>
    <v>13</v>
  </rv>
  <rv s="7">
    <fb>123.31</fb>
    <v>13</v>
  </rv>
  <rv s="7">
    <fb>272.64999999999998</fb>
    <v>13</v>
  </rv>
  <rv s="7">
    <fb>513.39</fb>
    <v>13</v>
  </rv>
  <rv s="7">
    <fb>204.14</fb>
    <v>13</v>
  </rv>
  <rv s="7">
    <fb>101.86</fb>
    <v>13</v>
  </rv>
  <rv s="7">
    <fb>51.12</fb>
    <v>13</v>
  </rv>
  <rv s="7">
    <fb>25.74</fb>
    <v>13</v>
  </rv>
  <rv s="7">
    <fb>204.87</fb>
    <v>13</v>
  </rv>
  <rv s="7">
    <fb>24.15</fb>
    <v>13</v>
  </rv>
  <rv s="7">
    <fb>36.4</fb>
    <v>13</v>
  </rv>
  <rv s="7">
    <fb>151.21</fb>
    <v>13</v>
  </rv>
  <rv s="7">
    <fb>347.66</fb>
    <v>13</v>
  </rv>
  <rv s="7">
    <fb>44075</fb>
    <v>12</v>
  </rv>
  <rv s="7">
    <fb>143.00190000000001</fb>
    <v>13</v>
  </rv>
  <rv s="7">
    <fb>115.81</fb>
    <v>13</v>
  </rv>
  <rv s="7">
    <fb>73.48</fb>
    <v>13</v>
  </rv>
  <rv s="7">
    <fb>157.4365</fb>
    <v>13</v>
  </rv>
  <rv s="7">
    <fb>73.28</fb>
    <v>13</v>
  </rv>
  <rv s="7">
    <fb>261.89999999999998</fb>
    <v>13</v>
  </rv>
  <rv s="7">
    <fb>212.94</fb>
    <v>13</v>
  </rv>
  <rv s="7">
    <fb>13.5305</fb>
    <v>13</v>
  </rv>
  <rv s="7">
    <fb>199.97</fb>
    <v>13</v>
  </rv>
  <rv s="7">
    <fb>138.99</fb>
    <v>13</v>
  </rv>
  <rv s="7">
    <fb>311.77</fb>
    <v>13</v>
  </rv>
  <rv s="7">
    <fb>277.70999999999998</fb>
    <v>13</v>
  </rv>
  <rv s="7">
    <fb>338.17</fb>
    <v>13</v>
  </rv>
  <rv s="7">
    <fb>34.7898</fb>
    <v>13</v>
  </rv>
  <rv s="7">
    <fb>49.37</fb>
    <v>13</v>
  </rv>
  <rv s="7">
    <fb>500.03</fb>
    <v>13</v>
  </rv>
  <rv s="7">
    <fb>51.78</fb>
    <v>13</v>
  </rv>
  <rv s="7">
    <fb>39.39</fb>
    <v>13</v>
  </rv>
  <rv s="7">
    <fb>34.33</fb>
    <v>13</v>
  </rv>
  <rv s="7">
    <fb>46.636200000000002</fb>
    <v>13</v>
  </rv>
  <rv s="7">
    <fb>21.530200000000001</fb>
    <v>13</v>
  </rv>
  <rv s="7">
    <fb>85.92</fb>
    <v>13</v>
  </rv>
  <rv s="7">
    <fb>165.26</fb>
    <v>13</v>
  </rv>
  <rv s="7">
    <fb>121.67</fb>
    <v>13</v>
  </rv>
  <rv s="7">
    <fb>251.32</fb>
    <v>13</v>
  </rv>
  <rv s="7">
    <fb>490.43</fb>
    <v>13</v>
  </rv>
  <rv s="7">
    <fb>81.99</fb>
    <v>13</v>
  </rv>
  <rv s="7">
    <fb>197.03</fb>
    <v>13</v>
  </rv>
  <rv s="7">
    <fb>100.62</fb>
    <v>13</v>
  </rv>
  <rv s="7">
    <fb>24.09</fb>
    <v>13</v>
  </rv>
  <rv s="7">
    <fb>96.27</fb>
    <v>13</v>
  </rv>
  <rv s="7">
    <fb>200.97</fb>
    <v>13</v>
  </rv>
  <rv s="7">
    <fb>35.85</fb>
    <v>13</v>
  </rv>
  <rv s="7">
    <fb>355</fb>
    <v>13</v>
  </rv>
  <rv s="7">
    <fb>44105</fb>
    <v>12</v>
  </rv>
  <rv s="7">
    <fb>129.34540000000001</fb>
    <v>13</v>
  </rv>
  <rv s="7">
    <fb>108.86</fb>
    <v>13</v>
  </rv>
  <rv s="7">
    <fb>81.0505</fb>
    <v>13</v>
  </rv>
  <rv s="7">
    <fb>151.8075</fb>
    <v>13</v>
  </rv>
  <rv s="7">
    <fb>80.805499999999995</fb>
    <v>13</v>
  </rv>
  <rv s="7">
    <fb>263.11</fb>
    <v>13</v>
  </rv>
  <rv s="7">
    <fb>201.9</fb>
    <v>13</v>
  </rv>
  <rv s="7">
    <fb>12.534000000000001</fb>
    <v>13</v>
  </rv>
  <rv s="7">
    <fb>137.11000000000001</fb>
    <v>13</v>
  </rv>
  <rv s="7">
    <fb>137.1</fb>
    <v>13</v>
  </rv>
  <rv s="7">
    <fb>305.14</fb>
    <v>13</v>
  </rv>
  <rv s="7">
    <fb>266.70999999999998</fb>
    <v>13</v>
  </rv>
  <rv s="7">
    <fb>288.64</fb>
    <v>13</v>
  </rv>
  <rv s="7">
    <fb>33.633299999999998</fb>
    <v>13</v>
  </rv>
  <rv s="7">
    <fb>121.25</fb>
    <v>13</v>
  </rv>
  <rv s="7">
    <fb>475.74</fb>
    <v>13</v>
  </rv>
  <rv s="7">
    <fb>44.28</fb>
    <v>13</v>
  </rv>
  <rv s="7">
    <fb>35.9</fb>
    <v>13</v>
  </rv>
  <rv s="7">
    <fb>32.619999999999997</fb>
    <v>13</v>
  </rv>
  <rv s="7">
    <fb>69.5</fb>
    <v>13</v>
  </rv>
  <rv s="7">
    <fb>46.249499999999998</fb>
    <v>13</v>
  </rv>
  <rv s="7">
    <fb>20.405000000000001</fb>
    <v>13</v>
  </rv>
  <rv s="7">
    <fb>56.99</fb>
    <v>13</v>
  </rv>
  <rv s="7">
    <fb>213</fb>
    <v>13</v>
  </rv>
  <rv s="7">
    <fb>86.96</fb>
    <v>13</v>
  </rv>
  <rv s="7">
    <fb>144.38999999999999</fb>
    <v>13</v>
  </rv>
  <rv s="7">
    <fb>111.66</fb>
    <v>13</v>
  </rv>
  <rv s="7">
    <fb>232.27</fb>
    <v>13</v>
  </rv>
  <rv s="7">
    <fb>447.1</fb>
    <v>13</v>
  </rv>
  <rv s="7">
    <fb>154.88</fb>
    <v>13</v>
  </rv>
  <rv s="7">
    <fb>99.2</fb>
    <v>13</v>
  </rv>
  <rv s="7">
    <fb>23.7</fb>
    <v>13</v>
  </rv>
  <rv s="7">
    <fb>189.04</fb>
    <v>13</v>
  </rv>
  <rv s="7">
    <fb>38.950000000000003</fb>
    <v>13</v>
  </rv>
  <rv s="7">
    <fb>357.62</fb>
    <v>13</v>
  </rv>
  <rv s="7">
    <fb>158.1</fb>
    <v>13</v>
  </rv>
  <rv s="7">
    <fb>44136</fb>
    <v>12</v>
  </rv>
  <rv s="7">
    <fb>189.19810000000001</fb>
    <v>13</v>
  </rv>
  <rv s="7">
    <fb>119.05</fb>
    <v>13</v>
  </rv>
  <rv s="7">
    <fb>88.037000000000006</fb>
    <v>13</v>
  </rv>
  <rv s="7">
    <fb>214.07</fb>
    <v>13</v>
  </rv>
  <rv s="7">
    <fb>158.40199999999999</fb>
    <v>13</v>
  </rv>
  <rv s="7">
    <fb>87.72</fb>
    <v>13</v>
  </rv>
  <rv s="7">
    <fb>276.97000000000003</fb>
    <v>13</v>
  </rv>
  <rv s="7">
    <fb>228.91</fb>
    <v>13</v>
  </rv>
  <rv s="7">
    <fb>13.4015</fb>
    <v>13</v>
  </rv>
  <rv s="7">
    <fb>210.35</fb>
    <v>13</v>
  </rv>
  <rv s="7">
    <fb>138.87</fb>
    <v>13</v>
  </rv>
  <rv s="7">
    <fb>336.34</fb>
    <v>13</v>
  </rv>
  <rv s="7">
    <fb>336.51</fb>
    <v>13</v>
  </rv>
  <rv s="7">
    <fb>38.31</fb>
    <v>13</v>
  </rv>
  <rv s="7">
    <fb>51.6</fb>
    <v>13</v>
  </rv>
  <rv s="7">
    <fb>490.7</fb>
    <v>13</v>
  </rv>
  <rv s="7">
    <fb>43.02</fb>
    <v>13</v>
  </rv>
  <rv s="7">
    <fb>38.130000000000003</fb>
    <v>13</v>
  </rv>
  <rv s="7">
    <fb>50.929499999999997</fb>
    <v>13</v>
  </rv>
  <rv s="7">
    <fb>21.711400000000001</fb>
    <v>13</v>
  </rv>
  <rv s="7">
    <fb>134.69999999999999</fb>
    <v>13</v>
  </rv>
  <rv s="7">
    <fb>217.44</fb>
    <v>13</v>
  </rv>
  <rv s="7">
    <fb>123.52</fb>
    <v>13</v>
  </rv>
  <rv s="7">
    <fb>245.8</fb>
    <v>13</v>
  </rv>
  <rv s="7">
    <fb>478.47</fb>
    <v>13</v>
  </rv>
  <rv s="7">
    <fb>92.66</fb>
    <v>13</v>
  </rv>
  <rv s="7">
    <fb>214.12</fb>
    <v>13</v>
  </rv>
  <rv s="7">
    <fb>210.96</fb>
    <v>13</v>
  </rv>
  <rv s="7">
    <fb>100.05</fb>
    <v>13</v>
  </rv>
  <rv s="7">
    <fb>55.07</fb>
    <v>13</v>
  </rv>
  <rv s="7">
    <fb>117.88</fb>
    <v>13</v>
  </rv>
  <rv s="7">
    <fb>230.58</fb>
    <v>13</v>
  </rv>
  <rv s="7">
    <fb>27.35</fb>
    <v>13</v>
  </rv>
  <rv s="7">
    <fb>179.53</fb>
    <v>13</v>
  </rv>
  <rv s="7">
    <fb>391.77</fb>
    <v>13</v>
  </rv>
  <rv s="7">
    <fb>155.82</fb>
    <v>13</v>
  </rv>
  <rv s="7">
    <fb>44166</fb>
    <v>12</v>
  </rv>
  <rv s="7">
    <fb>235.221</fb>
    <v>13</v>
  </rv>
  <rv s="7">
    <fb>132.69</fb>
    <v>13</v>
  </rv>
  <rv s="7">
    <fb>87.593999999999994</fb>
    <v>13</v>
  </rv>
  <rv s="7">
    <fb>222.42</fb>
    <v>13</v>
  </rv>
  <rv s="7">
    <fb>162.84649999999999</fb>
    <v>13</v>
  </rv>
  <rv s="7">
    <fb>87.632000000000005</fb>
    <v>13</v>
  </rv>
  <rv s="7">
    <fb>273.16000000000003</fb>
    <v>13</v>
  </rv>
  <rv s="7">
    <fb>231.87</fb>
    <v>13</v>
  </rv>
  <rv s="7">
    <fb>13.055</fb>
    <v>13</v>
  </rv>
  <rv s="7">
    <fb>157.38</fb>
    <v>13</v>
  </rv>
  <rv s="7">
    <fb>218.73</fb>
    <v>13</v>
  </rv>
  <rv s="7">
    <fb>139.13999999999999</fb>
    <v>13</v>
  </rv>
  <rv s="7">
    <fb>350.68</fb>
    <v>13</v>
  </rv>
  <rv s="7">
    <fb>265.62</fb>
    <v>13</v>
  </rv>
  <rv s="7">
    <fb>356.94</fb>
    <v>13</v>
  </rv>
  <rv s="7">
    <fb>36.81</fb>
    <v>13</v>
  </rv>
  <rv s="7">
    <fb>54.84</fb>
    <v>13</v>
  </rv>
  <rv s="7">
    <fb>540.73</fb>
    <v>13</v>
  </rv>
  <rv s="7">
    <fb>49.82</fb>
    <v>13</v>
  </rv>
  <rv s="7">
    <fb>84.45</fb>
    <v>13</v>
  </rv>
  <rv s="7">
    <fb>48.049500000000002</fb>
    <v>13</v>
  </rv>
  <rv s="7">
    <fb>21.719000000000001</fb>
    <v>13</v>
  </rv>
  <rv s="7">
    <fb>214.58</fb>
    <v>13</v>
  </rv>
  <rv s="7">
    <fb>106.98</fb>
    <v>13</v>
  </rv>
  <rv s="7">
    <fb>214.06</fb>
    <v>13</v>
  </rv>
  <rv s="7">
    <fb>222.53</fb>
    <v>13</v>
  </rv>
  <rv s="7">
    <fb>91.71</fb>
    <v>13</v>
  </rv>
  <rv s="7">
    <fb>234.2</fb>
    <v>13</v>
  </rv>
  <rv s="7">
    <fb>217.64</fb>
    <v>13</v>
  </rv>
  <rv s="7">
    <fb>99.66</fb>
    <v>13</v>
  </rv>
  <rv s="7">
    <fb>30.31</fb>
    <v>13</v>
  </rv>
  <rv s="7">
    <fb>127.07</fb>
    <v>13</v>
  </rv>
  <rv s="7">
    <fb>263.70999999999998</fb>
    <v>13</v>
  </rv>
  <rv s="7">
    <fb>68.53</fb>
    <v>13</v>
  </rv>
  <rv s="7">
    <fb>46.59</fb>
    <v>13</v>
  </rv>
  <rv s="7">
    <fb>176.53</fb>
    <v>13</v>
  </rv>
  <rv s="7">
    <fb>376.78</fb>
    <v>13</v>
  </rv>
  <rv s="7">
    <fb>44197</fb>
    <v>12</v>
  </rv>
  <rv s="7">
    <fb>264.50740000000002</fb>
    <v>13</v>
  </rv>
  <rv s="7">
    <fb>131.96</fb>
    <v>13</v>
  </rv>
  <rv s="7">
    <fb>91.787000000000006</fb>
    <v>13</v>
  </rv>
  <rv s="7">
    <fb>231.96</fb>
    <v>13</v>
  </rv>
  <rv s="7">
    <fb>160.31</fb>
    <v>13</v>
  </rv>
  <rv s="7">
    <fb>91.367999999999995</fb>
    <v>13</v>
  </rv>
  <rv s="7">
    <fb>258.33</fb>
    <v>13</v>
  </rv>
  <rv s="7">
    <fb>227.87</fb>
    <v>13</v>
  </rv>
  <rv s="7">
    <fb>12.989800000000001</fb>
    <v>13</v>
  </rv>
  <rv s="7">
    <fb>333.58</fb>
    <v>13</v>
  </rv>
  <rv s="7">
    <fb>270.82</fb>
    <v>13</v>
  </rv>
  <rv s="7">
    <fb>316.29000000000002</fb>
    <v>13</v>
  </rv>
  <rv s="7">
    <fb>168.17</fb>
    <v>13</v>
  </rv>
  <rv s="7">
    <fb>532.39</fb>
    <v>13</v>
  </rv>
  <rv s="7">
    <fb>55.51</fb>
    <v>13</v>
  </rv>
  <rv s="7">
    <fb>44.58</fb>
    <v>13</v>
  </rv>
  <rv s="7">
    <fb>44.84</fb>
    <v>13</v>
  </rv>
  <rv s="7">
    <fb>85.2</fb>
    <v>13</v>
  </rv>
  <rv s="7">
    <fb>46.829500000000003</fb>
    <v>13</v>
  </rv>
  <rv s="7">
    <fb>21.620799999999999</fb>
    <v>13</v>
  </rv>
  <rv s="7">
    <fb>54.75</fb>
    <v>13</v>
  </rv>
  <rv s="7">
    <fb>133.59</fb>
    <v>13</v>
  </rv>
  <rv s="7">
    <fb>207.84</fb>
    <v>13</v>
  </rv>
  <rv s="7">
    <fb>96.81</fb>
    <v>13</v>
  </rv>
  <rv s="7">
    <fb>194.19</fb>
    <v>13</v>
  </rv>
  <rv s="7">
    <fb>119.11</fb>
    <v>13</v>
  </rv>
  <rv s="7">
    <fb>60.43</fb>
    <v>13</v>
  </rv>
  <rv s="7">
    <fb>225.56</fb>
    <v>13</v>
  </rv>
  <rv s="7">
    <fb>458.77</fb>
    <v>13</v>
  </rv>
  <rv s="7">
    <fb>85.64</fb>
    <v>13</v>
  </rv>
  <rv s="7">
    <fb>234.31</fb>
    <v>13</v>
  </rv>
  <rv s="7">
    <fb>215.96</fb>
    <v>13</v>
  </rv>
  <rv s="7">
    <fb>103.2</fb>
    <v>13</v>
  </rv>
  <rv s="7">
    <fb>29.65</fb>
    <v>13</v>
  </rv>
  <rv s="7">
    <fb>29.88</fb>
    <v>13</v>
  </rv>
  <rv s="7">
    <fb>42.85</fb>
    <v>13</v>
  </rv>
  <rv s="7">
    <fb>181.17</fb>
    <v>13</v>
  </rv>
  <rv s="7">
    <fb>352.43</fb>
    <v>13</v>
  </rv>
  <rv s="7">
    <fb>44228</fb>
    <v>12</v>
  </rv>
  <rv s="7">
    <fb>225.1644</fb>
    <v>13</v>
  </rv>
  <rv s="7">
    <fb>121.26</fb>
    <v>13</v>
  </rv>
  <rv s="7">
    <fb>101.843</fb>
    <v>13</v>
  </rv>
  <rv s="7">
    <fb>232.38</fb>
    <v>13</v>
  </rv>
  <rv s="7">
    <fb>154.6465</fb>
    <v>13</v>
  </rv>
  <rv s="7">
    <fb>101.0955</fb>
    <v>13</v>
  </rv>
  <rv s="7">
    <fb>257.62</fb>
    <v>13</v>
  </rv>
  <rv s="7">
    <fb>240.51</fb>
    <v>13</v>
  </rv>
  <rv s="7">
    <fb>13.714499999999999</fb>
    <v>13</v>
  </rv>
  <rv s="7">
    <fb>212.39</fb>
    <v>13</v>
  </rv>
  <rv s="7">
    <fb>123.53</fb>
    <v>13</v>
  </rv>
  <rv s="7">
    <fb>332.22</fb>
    <v>13</v>
  </rv>
  <rv s="7">
    <fb>258.33999999999997</fb>
    <v>13</v>
  </rv>
  <rv s="7">
    <fb>353.85</fb>
    <v>13</v>
  </rv>
  <rv s="7">
    <fb>33.49</fb>
    <v>13</v>
  </rv>
  <rv s="7">
    <fb>538.85</fb>
    <v>13</v>
  </rv>
  <rv s="7">
    <fb>44.87</fb>
    <v>13</v>
  </rv>
  <rv s="7">
    <fb>54.37</fb>
    <v>13</v>
  </rv>
  <rv s="7">
    <fb>100</fb>
    <v>13</v>
  </rv>
  <rv s="7">
    <fb>43.306199999999997</fb>
    <v>13</v>
  </rv>
  <rv s="7">
    <fb>21.062000000000001</fb>
    <v>13</v>
  </rv>
  <rv s="7">
    <fb>134.78</fb>
    <v>13</v>
  </rv>
  <rv s="7">
    <fb>206.14</fb>
    <v>13</v>
  </rv>
  <rv s="7">
    <fb>108.03</fb>
    <v>13</v>
  </rv>
  <rv s="7">
    <fb>212.01</fb>
    <v>13</v>
  </rv>
  <rv s="7">
    <fb>118.93</fb>
    <v>13</v>
  </rv>
  <rv s="7">
    <fb>216.5</fb>
    <v>13</v>
  </rv>
  <rv s="7">
    <fb>459.67</fb>
    <v>13</v>
  </rv>
  <rv s="7">
    <fb>84.51</fb>
    <v>13</v>
  </rv>
  <rv s="7">
    <fb>259.85000000000002</fb>
    <v>13</v>
  </rv>
  <rv s="7">
    <fb>230.03</fb>
    <v>13</v>
  </rv>
  <rv s="7">
    <fb>99.07</fb>
    <v>13</v>
  </rv>
  <rv s="7">
    <fb>34.71</fb>
    <v>13</v>
  </rv>
  <rv s="7">
    <fb>319.48</fb>
    <v>13</v>
  </rv>
  <rv s="7">
    <fb>76.87</fb>
    <v>13</v>
  </rv>
  <rv s="7">
    <fb>36.17</fb>
    <v>13</v>
  </rv>
  <rv s="7">
    <fb>50</fb>
    <v>13</v>
  </rv>
  <rv s="7">
    <fb>331</fb>
    <v>13</v>
  </rv>
  <rv s="7">
    <fb>44256</fb>
    <v>12</v>
  </rv>
  <rv s="7">
    <fb>222.64109999999999</fb>
    <v>13</v>
  </rv>
  <rv s="7">
    <fb>122.15</fb>
    <v>13</v>
  </rv>
  <rv s="7">
    <fb>103.4315</fb>
    <v>13</v>
  </rv>
  <rv s="7">
    <fb>235.77</fb>
    <v>13</v>
  </rv>
  <rv s="7">
    <fb>154.70400000000001</fb>
    <v>13</v>
  </rv>
  <rv s="7">
    <fb>103.126</fb>
    <v>13</v>
  </rv>
  <rv s="7">
    <fb>294.52999999999997</fb>
    <v>13</v>
  </rv>
  <rv s="7">
    <fb>255.47</fb>
    <v>13</v>
  </rv>
  <rv s="7">
    <fb>13.3483</fb>
    <v>13</v>
  </rv>
  <rv s="7">
    <fb>211.73</fb>
    <v>13</v>
  </rv>
  <rv s="7">
    <fb>135.43</fb>
    <v>13</v>
  </rv>
  <rv s="7">
    <fb>372.07</fb>
    <v>13</v>
  </rv>
  <rv s="7">
    <fb>305.25</fb>
    <v>13</v>
  </rv>
  <rv s="7">
    <fb>356.05</fb>
    <v>13</v>
  </rv>
  <rv s="7">
    <fb>36.229999999999997</fb>
    <v>13</v>
  </rv>
  <rv s="7">
    <fb>52.71</fb>
    <v>13</v>
  </rv>
  <rv s="7">
    <fb>521.66</fb>
    <v>13</v>
  </rv>
  <rv s="7">
    <fb>51.71</fb>
    <v>13</v>
  </rv>
  <rv s="7">
    <fb>104.79</fb>
    <v>13</v>
  </rv>
  <rv s="7">
    <fb>45.276200000000003</fb>
    <v>13</v>
  </rv>
  <rv s="7">
    <fb>22.859300000000001</fb>
    <v>13</v>
  </rv>
  <rv s="7">
    <fb>224.14</fb>
    <v>13</v>
  </rv>
  <rv s="7">
    <fb>109.27</fb>
    <v>13</v>
  </rv>
  <rv s="7">
    <fb>254.72</fb>
    <v>13</v>
  </rv>
  <rv s="7">
    <fb>133.26</fb>
    <v>13</v>
  </rv>
  <rv s="7">
    <fb>211.87</fb>
    <v>13</v>
  </rv>
  <rv s="7">
    <fb>475.37</fb>
    <v>13</v>
  </rv>
  <rv s="7">
    <fb>227.05</fb>
    <v>13</v>
  </rv>
  <rv s="7">
    <fb>106</fb>
    <v>13</v>
  </rv>
  <rv s="7">
    <fb>152.22999999999999</fb>
    <v>13</v>
  </rv>
  <rv s="7">
    <fb>327</fb>
    <v>13</v>
  </rv>
  <rv s="7">
    <fb>77.66</fb>
    <v>13</v>
  </rv>
  <rv s="7">
    <fb>39.07</fb>
    <v>13</v>
  </rv>
  <rv s="7">
    <fb>55.31</fb>
    <v>13</v>
  </rv>
  <rv s="7">
    <fb>352.48</fb>
    <v>13</v>
  </rv>
  <rv s="7">
    <fb>190.18</fb>
    <v>13</v>
  </rv>
  <rv s="7">
    <fb>44287</fb>
    <v>12</v>
  </rv>
  <rv s="7">
    <fb>236.4776</fb>
    <v>13</v>
  </rv>
  <rv s="7">
    <fb>131.46</fb>
    <v>13</v>
  </rv>
  <rv s="7">
    <fb>120.506</fb>
    <v>13</v>
  </rv>
  <rv s="7">
    <fb>252.18</fb>
    <v>13</v>
  </rv>
  <rv s="7">
    <fb>173.37100000000001</fb>
    <v>13</v>
  </rv>
  <rv s="7">
    <fb>117.675</fb>
    <v>13</v>
  </rv>
  <rv s="7">
    <fb>325.08</fb>
    <v>13</v>
  </rv>
  <rv s="7">
    <fb>15.009499999999999</fb>
    <v>13</v>
  </rv>
  <rv s="7">
    <fb>398.8</fb>
    <v>13</v>
  </rv>
  <rv s="7">
    <fb>323.67</fb>
    <v>13</v>
  </rv>
  <rv s="7">
    <fb>382.06</fb>
    <v>13</v>
  </rv>
  <rv s="7">
    <fb>186.02</fb>
    <v>13</v>
  </rv>
  <rv s="7">
    <fb>513.47</fb>
    <v>13</v>
  </rv>
  <rv s="7">
    <fb>57.53</fb>
    <v>13</v>
  </rv>
  <rv s="7">
    <fb>50.91</fb>
    <v>13</v>
  </rv>
  <rv s="7">
    <fb>57.24</fb>
    <v>13</v>
  </rv>
  <rv s="7">
    <fb>103.07</fb>
    <v>13</v>
  </rv>
  <rv s="7">
    <fb>23.720199999999998</fb>
    <v>13</v>
  </rv>
  <rv s="7">
    <fb>132.62</fb>
    <v>13</v>
  </rv>
  <rv s="7">
    <fb>114.49</fb>
    <v>13</v>
  </rv>
  <rv s="7">
    <fb>141.88</fb>
    <v>13</v>
  </rv>
  <rv s="7">
    <fb>75.790000000000006</fb>
    <v>13</v>
  </rv>
  <rv s="7">
    <fb>230.32</fb>
    <v>13</v>
  </rv>
  <rv s="7">
    <fb>508.34</fb>
    <v>13</v>
  </rv>
  <rv s="7">
    <fb>81.62</fb>
    <v>13</v>
  </rv>
  <rv s="7">
    <fb>116.53</fb>
    <v>13</v>
  </rv>
  <rv s="7">
    <fb>71.239999999999995</fb>
    <v>13</v>
  </rv>
  <rv s="7">
    <fb>153.81</fb>
    <v>13</v>
  </rv>
  <rv s="7">
    <fb>348.45</fb>
    <v>13</v>
  </rv>
  <rv s="7">
    <fb>82.55</fb>
    <v>13</v>
  </rv>
  <rv s="7">
    <fb>207.26</fb>
    <v>13</v>
  </rv>
  <rv s="7">
    <fb>372.09</fb>
    <v>13</v>
  </rv>
  <rv s="7">
    <fb>196.25</fb>
    <v>13</v>
  </rv>
  <rv s="7">
    <fb>44317</fb>
    <v>12</v>
  </rv>
  <rv s="7">
    <fb>208.40459999999999</fb>
    <v>13</v>
  </rv>
  <rv s="7">
    <fb>120.578</fb>
    <v>13</v>
  </rv>
  <rv s="7">
    <fb>249.68</fb>
    <v>13</v>
  </rv>
  <rv s="7">
    <fb>161.15350000000001</fb>
    <v>13</v>
  </rv>
  <rv s="7">
    <fb>117.8425</fb>
    <v>13</v>
  </rv>
  <rv s="7">
    <fb>328.73</fb>
    <v>13</v>
  </rv>
  <rv s="7">
    <fb>16.244499999999999</fb>
    <v>13</v>
  </rv>
  <rv s="7">
    <fb>227.3</fb>
    <v>13</v>
  </rv>
  <rv s="7">
    <fb>134.85</fb>
    <v>13</v>
  </rv>
  <rv s="7">
    <fb>411.92</fb>
    <v>13</v>
  </rv>
  <rv s="7">
    <fb>318.91000000000003</fb>
    <v>13</v>
  </rv>
  <rv s="7">
    <fb>360.58</fb>
    <v>13</v>
  </rv>
  <rv s="7">
    <fb>38.729999999999997</fb>
    <v>13</v>
  </rv>
  <rv s="7">
    <fb>55.29</fb>
    <v>13</v>
  </rv>
  <rv s="7">
    <fb>178.65</fb>
    <v>13</v>
  </rv>
  <rv s="7">
    <fb>502.81</fb>
    <v>13</v>
  </rv>
  <rv s="7">
    <fb>57.12</fb>
    <v>13</v>
  </rv>
  <rv s="7">
    <fb>52.9</fb>
    <v>13</v>
  </rv>
  <rv s="7">
    <fb>47.3429</fb>
    <v>13</v>
  </rv>
  <rv s="7">
    <fb>22.224900000000002</fb>
    <v>13</v>
  </rv>
  <rv s="7">
    <fb>136.46</fb>
    <v>13</v>
  </rv>
  <rv s="7">
    <fb>233.89</fb>
    <v>13</v>
  </rv>
  <rv s="7">
    <fb>247.02</fb>
    <v>13</v>
  </rv>
  <rv s="7">
    <fb>143.74</fb>
    <v>13</v>
  </rv>
  <rv s="7">
    <fb>78.739999999999995</fb>
    <v>13</v>
  </rv>
  <rv s="7">
    <fb>238.1</fb>
    <v>13</v>
  </rv>
  <rv s="7">
    <fb>504.58</fb>
    <v>13</v>
  </rv>
  <rv s="7">
    <fb>260.02</fb>
    <v>13</v>
  </rv>
  <rv s="7">
    <fb>222.52</fb>
    <v>13</v>
  </rv>
  <rv s="7">
    <fb>117.84</fb>
    <v>13</v>
  </rv>
  <rv s="7">
    <fb>78.709999999999994</fb>
    <v>13</v>
  </rv>
  <rv s="7">
    <fb>42.39</fb>
    <v>13</v>
  </rv>
  <rv s="7">
    <fb>164.24</fb>
    <v>13</v>
  </rv>
  <rv s="7">
    <fb>372.02</fb>
    <v>13</v>
  </rv>
  <rv s="7">
    <fb>378.27</fb>
    <v>13</v>
  </rv>
  <rv s="7">
    <fb>44348</fb>
    <v>12</v>
  </rv>
  <rv s="7">
    <fb>226.56440000000001</fb>
    <v>13</v>
  </rv>
  <rv s="7">
    <fb>136.96</fb>
    <v>13</v>
  </rv>
  <rv s="7">
    <fb>125.316</fb>
    <v>13</v>
  </rv>
  <rv s="7">
    <fb>172.00800000000001</fb>
    <v>13</v>
  </rv>
  <rv s="7">
    <fb>122.0895</fb>
    <v>13</v>
  </rv>
  <rv s="7">
    <fb>347.71</fb>
    <v>13</v>
  </rv>
  <rv s="7">
    <fb>277.92</fb>
    <v>13</v>
  </rv>
  <rv s="7">
    <fb>20.002500000000001</fb>
    <v>13</v>
  </rv>
  <rv s="7">
    <fb>233.82</fb>
    <v>13</v>
  </rv>
  <rv s="7">
    <fb>134.93</fb>
    <v>13</v>
  </rv>
  <rv s="7">
    <fb>400.44</fb>
    <v>13</v>
  </rv>
  <rv s="7">
    <fb>318.89</fb>
    <v>13</v>
  </rv>
  <rv s="7">
    <fb>365.09</fb>
    <v>13</v>
  </rv>
  <rv s="7">
    <fb>528.21</fb>
    <v>13</v>
  </rv>
  <rv s="7">
    <fb>53</fb>
    <v>13</v>
  </rv>
  <rv s="7">
    <fb>104.74</fb>
    <v>13</v>
  </rv>
  <rv s="7">
    <fb>47.0062</fb>
    <v>13</v>
  </rv>
  <rv s="7">
    <fb>21.734100000000002</fb>
    <v>13</v>
  </rv>
  <rv s="7">
    <fb>56.03</fb>
    <v>13</v>
  </rv>
  <rv s="7">
    <fb>154.49</fb>
    <v>13</v>
  </rv>
  <rv s="7">
    <fb>230.99</fb>
    <v>13</v>
  </rv>
  <rv s="7">
    <fb>111.81</fb>
    <v>13</v>
  </rv>
  <rv s="7">
    <fb>146.59</fb>
    <v>13</v>
  </rv>
  <rv s="7">
    <fb>77.84</fb>
    <v>13</v>
  </rv>
  <rv s="7">
    <fb>244.27</fb>
    <v>13</v>
  </rv>
  <rv s="7">
    <fb>585.64</fb>
    <v>13</v>
  </rv>
  <rv s="7">
    <fb>291.48</fb>
    <v>13</v>
  </rv>
  <rv s="7">
    <fb>243.8</fb>
    <v>13</v>
  </rv>
  <rv s="7">
    <fb>119.53</fb>
    <v>13</v>
  </rv>
  <rv s="7">
    <fb>41.23</fb>
    <v>13</v>
  </rv>
  <rv s="7">
    <fb>379.53</fb>
    <v>13</v>
  </rv>
  <rv s="7">
    <fb>91.69</fb>
    <v>13</v>
  </rv>
  <rv s="7">
    <fb>45.29</fb>
    <v>13</v>
  </rv>
  <rv s="7">
    <fb>241.74</fb>
    <v>13</v>
  </rv>
  <rv s="7">
    <fb>395.67</fb>
    <v>13</v>
  </rv>
  <rv s="7">
    <fb>193.97</fb>
    <v>13</v>
  </rv>
  <rv s="7">
    <fb>44378</fb>
    <v>12</v>
  </rv>
  <rv s="7">
    <fb>229.06440000000001</fb>
    <v>13</v>
  </rv>
  <rv s="7">
    <fb>145.86000000000001</fb>
    <v>13</v>
  </rv>
  <rv s="7">
    <fb>135.221</fb>
    <v>13</v>
  </rv>
  <rv s="7">
    <fb>284.91000000000003</fb>
    <v>13</v>
  </rv>
  <rv s="7">
    <fb>166.37950000000001</fb>
    <v>13</v>
  </rv>
  <rv s="7">
    <fb>134.72649999999999</fb>
    <v>13</v>
  </rv>
  <rv s="7">
    <fb>356.3</fb>
    <v>13</v>
  </rv>
  <rv s="7">
    <fb>278.29000000000002</fb>
    <v>13</v>
  </rv>
  <rv s="7">
    <fb>19.498999999999999</fb>
    <v>13</v>
  </rv>
  <rv s="7">
    <fb>172.2</fb>
    <v>13</v>
  </rv>
  <rv s="7">
    <fb>246.39</fb>
    <v>13</v>
  </rv>
  <rv s="7">
    <fb>142.22999999999999</fb>
    <v>13</v>
  </rv>
  <rv s="7">
    <fb>412.22</fb>
    <v>13</v>
  </rv>
  <rv s="7">
    <fb>328.19</fb>
    <v>13</v>
  </rv>
  <rv s="7">
    <fb>385.94</fb>
    <v>13</v>
  </rv>
  <rv s="7">
    <fb>57.03</fb>
    <v>13</v>
  </rv>
  <rv s="7">
    <fb>517.57000000000005</fb>
    <v>13</v>
  </rv>
  <rv s="7">
    <fb>53.72</fb>
    <v>13</v>
  </rv>
  <rv s="7">
    <fb>55.37</fb>
    <v>13</v>
  </rv>
  <rv s="7">
    <fb>57.57</fb>
    <v>13</v>
  </rv>
  <rv s="7">
    <fb>101.81</fb>
    <v>13</v>
  </rv>
  <rv s="7">
    <fb>47.516199999999998</fb>
    <v>13</v>
  </rv>
  <rv s="7">
    <fb>21.1828</fb>
    <v>13</v>
  </rv>
  <rv s="7">
    <fb>55.78</fb>
    <v>13</v>
  </rv>
  <rv s="7">
    <fb>167.51</fb>
    <v>13</v>
  </rv>
  <rv s="7">
    <fb>242.71</fb>
    <v>13</v>
  </rv>
  <rv s="7">
    <fb>226.48</fb>
    <v>13</v>
  </rv>
  <rv s="7">
    <fb>140.96</fb>
    <v>13</v>
  </rv>
  <rv s="7">
    <fb>87.14</fb>
    <v>13</v>
  </rv>
  <rv s="7">
    <fb>241.93</fb>
    <v>13</v>
  </rv>
  <rv s="7">
    <fb>621.63</fb>
    <v>13</v>
  </rv>
  <rv s="7">
    <fb>275.52999999999997</fb>
    <v>13</v>
  </rv>
  <rv s="7">
    <fb>247.26</fb>
    <v>13</v>
  </rv>
  <rv s="7">
    <fb>128.04</fb>
    <v>13</v>
  </rv>
  <rv s="7">
    <fb>67.62</fb>
    <v>13</v>
  </rv>
  <rv s="7">
    <fb>38.36</fb>
    <v>13</v>
  </rv>
  <rv s="7">
    <fb>374.88</fb>
    <v>13</v>
  </rv>
  <rv s="7">
    <fb>95.98</fb>
    <v>13</v>
  </rv>
  <rv s="7">
    <fb>45.94</fb>
    <v>13</v>
  </rv>
  <rv s="7">
    <fb>261.05</fb>
    <v>13</v>
  </rv>
  <rv s="7">
    <fb>429.72</fb>
    <v>13</v>
  </rv>
  <rv s="7">
    <fb>192.69</fb>
    <v>13</v>
  </rv>
  <rv s="7">
    <fb>44409</fb>
    <v>12</v>
  </rv>
  <rv s="7">
    <fb>245.23750000000001</fb>
    <v>13</v>
  </rv>
  <rv s="7">
    <fb>151.83000000000001</fb>
    <v>13</v>
  </rv>
  <rv s="7">
    <fb>145.46199999999999</fb>
    <v>13</v>
  </rv>
  <rv s="7">
    <fb>301.88</fb>
    <v>13</v>
  </rv>
  <rv s="7">
    <fb>173.5395</fb>
    <v>13</v>
  </rv>
  <rv s="7">
    <fb>144.69749999999999</fb>
    <v>13</v>
  </rv>
  <rv s="7">
    <fb>379.38</fb>
    <v>13</v>
  </rv>
  <rv s="7">
    <fb>285.77</fb>
    <v>13</v>
  </rv>
  <rv s="7">
    <fb>22.385000000000002</fb>
    <v>13</v>
  </rv>
  <rv s="7">
    <fb>173.13</fb>
    <v>13</v>
  </rv>
  <rv s="7">
    <fb>229.1</fb>
    <v>13</v>
  </rv>
  <rv s="7">
    <fb>142.38999999999999</fb>
    <v>13</v>
  </rv>
  <rv s="7">
    <fb>416.27</fb>
    <v>13</v>
  </rv>
  <rv s="7">
    <fb>326.18</fb>
    <v>13</v>
  </rv>
  <rv s="7">
    <fb>346.23</fb>
    <v>13</v>
  </rv>
  <rv s="7">
    <fb>46.07</fb>
    <v>13</v>
  </rv>
  <rv s="7">
    <fb>56.31</fb>
    <v>13</v>
  </rv>
  <rv s="7">
    <fb>181.3</fb>
    <v>13</v>
  </rv>
  <rv s="7">
    <fb>569.19000000000005</fb>
    <v>13</v>
  </rv>
  <rv s="7">
    <fb>54.06</fb>
    <v>13</v>
  </rv>
  <rv s="7">
    <fb>54.52</fb>
    <v>13</v>
  </rv>
  <rv s="7">
    <fb>96.77</fb>
    <v>13</v>
  </rv>
  <rv s="7">
    <fb>49.366199999999999</fb>
    <v>13</v>
  </rv>
  <rv s="7">
    <fb>20.707000000000001</fb>
    <v>13</v>
  </rv>
  <rv s="7">
    <fb>55</fb>
    <v>13</v>
  </rv>
  <rv s="7">
    <fb>237.46</fb>
    <v>13</v>
  </rv>
  <rv s="7">
    <fb>117.49</fb>
    <v>13</v>
  </rv>
  <rv s="7">
    <fb>219.5</fb>
    <v>13</v>
  </rv>
  <rv s="7">
    <fb>140.34</fb>
    <v>13</v>
  </rv>
  <rv s="7">
    <fb>265.27</fb>
    <v>13</v>
  </rv>
  <rv s="7">
    <fb>663.7</fb>
    <v>13</v>
  </rv>
  <rv s="7">
    <fb>110.72</fb>
    <v>13</v>
  </rv>
  <rv s="7">
    <fb>268.07</fb>
    <v>13</v>
  </rv>
  <rv s="7">
    <fb>134.66</fb>
    <v>13</v>
  </rv>
  <rv s="7">
    <fb>71.91</fb>
    <v>13</v>
  </rv>
  <rv s="7">
    <fb>41.75</fb>
    <v>13</v>
  </rv>
  <rv s="7">
    <fb>159.94999999999999</fb>
    <v>13</v>
  </rv>
  <rv s="7">
    <fb>104.43</fb>
    <v>13</v>
  </rv>
  <rv s="7">
    <fb>45.7</fb>
    <v>13</v>
  </rv>
  <rv s="7">
    <fb>57.39</fb>
    <v>13</v>
  </rv>
  <rv s="7">
    <fb>246.98</fb>
    <v>13</v>
  </rv>
  <rv s="7">
    <fb>44440</fb>
    <v>12</v>
  </rv>
  <rv s="7">
    <fb>258.4907</fb>
    <v>13</v>
  </rv>
  <rv s="7">
    <fb>133.2655</fb>
    <v>13</v>
  </rv>
  <rv s="7">
    <fb>281.92</fb>
    <v>13</v>
  </rv>
  <rv s="7">
    <fb>164.25200000000001</fb>
    <v>13</v>
  </rv>
  <rv s="7">
    <fb>133.67599999999999</fb>
    <v>13</v>
  </rv>
  <rv s="7">
    <fb>339.39</fb>
    <v>13</v>
  </rv>
  <rv s="7">
    <fb>272.94</fb>
    <v>13</v>
  </rv>
  <rv s="7">
    <fb>20.716000000000001</fb>
    <v>13</v>
  </rv>
  <rv s="7">
    <fb>222.75</fb>
    <v>13</v>
  </rv>
  <rv s="7">
    <fb>139.80000000000001</fb>
    <v>13</v>
  </rv>
  <rv s="7">
    <fb>390.74</fb>
    <v>13</v>
  </rv>
  <rv s="7">
    <fb>347.68</fb>
    <v>13</v>
  </rv>
  <rv s="7">
    <fb>52.47</fb>
    <v>13</v>
  </rv>
  <rv s="7">
    <fb>610.34</fb>
    <v>13</v>
  </rv>
  <rv s="7">
    <fb>53.28</fb>
    <v>13</v>
  </rv>
  <rv s="7">
    <fb>54.43</fb>
    <v>13</v>
  </rv>
  <rv s="7">
    <fb>58.82</fb>
    <v>13</v>
  </rv>
  <rv s="7">
    <fb>101.45</fb>
    <v>13</v>
  </rv>
  <rv s="7">
    <fb>46.459499999999998</fb>
    <v>13</v>
  </rv>
  <rv s="7">
    <fb>20.397400000000001</fb>
    <v>13</v>
  </rv>
  <rv s="7">
    <fb>241.11</fb>
    <v>13</v>
  </rv>
  <rv s="7">
    <fb>110.31</fb>
    <v>13</v>
  </rv>
  <rv s="7">
    <fb>219.94</fb>
    <v>13</v>
  </rv>
  <rv s="7">
    <fb>271.22000000000003</fb>
    <v>13</v>
  </rv>
  <rv s="7">
    <fb>575.72</fb>
    <v>13</v>
  </rv>
  <rv s="7">
    <fb>260.20999999999998</fb>
    <v>13</v>
  </rv>
  <rv s="7">
    <fb>239.84</fb>
    <v>13</v>
  </rv>
  <rv s="7">
    <fb>125.43</fb>
    <v>13</v>
  </rv>
  <rv s="7">
    <fb>70.180000000000007</fb>
    <v>13</v>
  </rv>
  <rv s="7">
    <fb>163.69</fb>
    <v>13</v>
  </rv>
  <rv s="7">
    <fb>378.03</fb>
    <v>13</v>
  </rv>
  <rv s="7">
    <fb>228.77</fb>
    <v>13</v>
  </rv>
  <rv s="7">
    <fb>449.35</fb>
    <v>13</v>
  </rv>
  <rv s="7">
    <fb>202.86</fb>
    <v>13</v>
  </rv>
  <rv s="7">
    <fb>44470</fb>
    <v>12</v>
  </rv>
  <rv s="7">
    <fb>371.32960000000003</fb>
    <v>13</v>
  </rv>
  <rv s="7">
    <fb>149.80000000000001</fb>
    <v>13</v>
  </rv>
  <rv s="7">
    <fb>148.2705</fb>
    <v>13</v>
  </rv>
  <rv s="7">
    <fb>331.62</fb>
    <v>13</v>
  </rv>
  <rv s="7">
    <fb>168.6215</fb>
    <v>13</v>
  </rv>
  <rv s="7">
    <fb>148.04599999999999</fb>
    <v>13</v>
  </rv>
  <rv s="7">
    <fb>323.57</fb>
    <v>13</v>
  </rv>
  <rv s="7">
    <fb>287.01</fb>
    <v>13</v>
  </rv>
  <rv s="7">
    <fb>25.567</fb>
    <v>13</v>
  </rv>
  <rv s="7">
    <fb>162.88</fb>
    <v>13</v>
  </rv>
  <rv s="7">
    <fb>211.77</fb>
    <v>13</v>
  </rv>
  <rv s="7">
    <fb>142.99</fb>
    <v>13</v>
  </rv>
  <rv s="7">
    <fb>460.47</fb>
    <v>13</v>
  </rv>
  <rv s="7">
    <fb>371.74</fb>
    <v>13</v>
  </rv>
  <rv s="7">
    <fb>335.52</fb>
    <v>13</v>
  </rv>
  <rv s="7">
    <fb>56.37</fb>
    <v>13</v>
  </rv>
  <rv s="7">
    <fb>169.07</fb>
    <v>13</v>
  </rv>
  <rv s="7">
    <fb>690.31</fb>
    <v>13</v>
  </rv>
  <rv s="7">
    <fb>49</fb>
    <v>13</v>
  </rv>
  <rv s="7">
    <fb>55.97</fb>
    <v>13</v>
  </rv>
  <rv s="7">
    <fb>49.806199999999997</fb>
    <v>13</v>
  </rv>
  <rv s="7">
    <fb>19.075800000000001</fb>
    <v>13</v>
  </rv>
  <rv s="7">
    <fb>52.99</fb>
    <v>13</v>
  </rv>
  <rv s="7">
    <fb>245.55</fb>
    <v>13</v>
  </rv>
  <rv s="7">
    <fb>106.07</fb>
    <v>13</v>
  </rv>
  <rv s="7">
    <fb>207.03</fb>
    <v>13</v>
  </rv>
  <rv s="7">
    <fb>125.1</fb>
    <v>13</v>
  </rv>
  <rv s="7">
    <fb>95.94</fb>
    <v>13</v>
  </rv>
  <rv s="7">
    <fb>299.69</fb>
    <v>13</v>
  </rv>
  <rv s="7">
    <fb>650.36</fb>
    <v>13</v>
  </rv>
  <rv s="7">
    <fb>120.23</fb>
    <v>13</v>
  </rv>
  <rv s="7">
    <fb>232.59</fb>
    <v>13</v>
  </rv>
  <rv s="7">
    <fb>254.5</fb>
    <v>13</v>
  </rv>
  <rv s="7">
    <fb>144.96</fb>
    <v>13</v>
  </rv>
  <rv s="7">
    <fb>69.16</fb>
    <v>13</v>
  </rv>
  <rv s="7">
    <fb>413.35</fb>
    <v>13</v>
  </rv>
  <rv s="7">
    <fb>102.78</fb>
    <v>13</v>
  </rv>
  <rv s="7">
    <fb>51.16</fb>
    <v>13</v>
  </rv>
  <rv s="7">
    <fb>60.37</fb>
    <v>13</v>
  </rv>
  <rv s="7">
    <fb>259.62</fb>
    <v>13</v>
  </rv>
  <rv s="7">
    <fb>491.54</fb>
    <v>13</v>
  </rv>
  <rv s="7">
    <fb>44501</fb>
    <v>12</v>
  </rv>
  <rv s="7">
    <fb>381.5829</fb>
    <v>13</v>
  </rv>
  <rv s="7">
    <fb>165.3</fb>
    <v>13</v>
  </rv>
  <rv s="7">
    <fb>142.452</fb>
    <v>13</v>
  </rv>
  <rv s="7">
    <fb>175.3535</fb>
    <v>13</v>
  </rv>
  <rv s="7">
    <fb>141.89750000000001</fb>
    <v>13</v>
  </rv>
  <rv s="7">
    <fb>324.45999999999998</fb>
    <v>13</v>
  </rv>
  <rv s="7">
    <fb>32.676000000000002</fb>
    <v>13</v>
  </rv>
  <rv s="7">
    <fb>193.77</fb>
    <v>13</v>
  </rv>
  <rv s="7">
    <fb>144.58000000000001</fb>
    <v>13</v>
  </rv>
  <rv s="7">
    <fb>444.22</fb>
    <v>13</v>
  </rv>
  <rv s="7">
    <fb>400.61</fb>
    <v>13</v>
  </rv>
  <rv s="7">
    <fb>314.92</fb>
    <v>13</v>
  </rv>
  <rv s="7">
    <fb>144.9</fb>
    <v>13</v>
  </rv>
  <rv s="7">
    <fb>641.9</fb>
    <v>13</v>
  </rv>
  <rv s="7">
    <fb>49.2</fb>
    <v>13</v>
  </rv>
  <rv s="7">
    <fb>46.876199999999997</fb>
    <v>13</v>
  </rv>
  <rv s="7">
    <fb>17.2408</fb>
    <v>13</v>
  </rv>
  <rv s="7">
    <fb>50.27</fb>
    <v>13</v>
  </rv>
  <rv s="7">
    <fb>244.6</fb>
    <v>13</v>
  </rv>
  <rv s="7">
    <fb>109.64</fb>
    <v>13</v>
  </rv>
  <rv s="7">
    <fb>117.1</fb>
    <v>13</v>
  </rv>
  <rv s="7">
    <fb>90.74</fb>
    <v>13</v>
  </rv>
  <rv s="7">
    <fb>284.95999999999998</fb>
    <v>13</v>
  </rv>
  <rv s="7">
    <fb>669.85</fb>
    <v>13</v>
  </rv>
  <rv s="7">
    <fb>208.33</fb>
    <v>13</v>
  </rv>
  <rv s="7">
    <fb>158.83000000000001</fb>
    <v>13</v>
  </rv>
  <rv s="7">
    <fb>380.99</fb>
    <v>13</v>
  </rv>
  <rv s="7">
    <fb>94.82</fb>
    <v>13</v>
  </rv>
  <rv s="7">
    <fb>55.34</fb>
    <v>13</v>
  </rv>
  <rv s="7">
    <fb>243.84</fb>
    <v>13</v>
  </rv>
  <rv s="7">
    <fb>539.38</fb>
    <v>13</v>
  </rv>
  <rv s="7">
    <fb>244.59</fb>
    <v>13</v>
  </rv>
  <rv s="7">
    <fb>44531</fb>
    <v>12</v>
  </rv>
  <rv s="7">
    <fb>352.25650000000002</fb>
    <v>13</v>
  </rv>
  <rv s="7">
    <fb>177.57</fb>
    <v>13</v>
  </rv>
  <rv s="7">
    <fb>144.67949999999999</fb>
    <v>13</v>
  </rv>
  <rv s="7">
    <fb>336.32</fb>
    <v>13</v>
  </rv>
  <rv s="7">
    <fb>166.71700000000001</fb>
    <v>13</v>
  </rv>
  <rv s="7">
    <fb>144.852</fb>
    <v>13</v>
  </rv>
  <rv s="7">
    <fb>336.35</fb>
    <v>13</v>
  </rv>
  <rv s="7">
    <fb>299</fb>
    <v>13</v>
  </rv>
  <rv s="7">
    <fb>29.411000000000001</fb>
    <v>13</v>
  </rv>
  <rv s="7">
    <fb>171.07</fb>
    <v>13</v>
  </rv>
  <rv s="7">
    <fb>216.71</fb>
    <v>13</v>
  </rv>
  <rv s="7">
    <fb>163.58000000000001</fb>
    <v>13</v>
  </rv>
  <rv s="7">
    <fb>502.14</fb>
    <v>13</v>
  </rv>
  <rv s="7">
    <fb>415.01</fb>
    <v>13</v>
  </rv>
  <rv s="7">
    <fb>359.32</fb>
    <v>13</v>
  </rv>
  <rv s="7">
    <fb>154.88999999999999</fb>
    <v>13</v>
  </rv>
  <rv s="7">
    <fb>602.44000000000005</fb>
    <v>13</v>
  </rv>
  <rv s="7">
    <fb>51.5</fb>
    <v>13</v>
  </rv>
  <rv s="7">
    <fb>61.19</fb>
    <v>13</v>
  </rv>
  <rv s="7">
    <fb>48.229500000000002</fb>
    <v>13</v>
  </rv>
  <rv s="7">
    <fb>18.577400000000001</fb>
    <v>13</v>
  </rv>
  <rv s="7">
    <fb>51.96</fb>
    <v>13</v>
  </rv>
  <rv s="7">
    <fb>116.97</fb>
    <v>13</v>
  </rv>
  <rv s="7">
    <fb>201.32</fb>
    <v>13</v>
  </rv>
  <rv s="7">
    <fb>87.21</fb>
    <v>13</v>
  </rv>
  <rv s="7">
    <fb>254.13</fb>
    <v>13</v>
  </rv>
  <rv s="7">
    <fb>567.05999999999995</fb>
    <v>13</v>
  </rv>
  <rv s="7">
    <fb>143.9</fb>
    <v>13</v>
  </rv>
  <rv s="7">
    <fb>188.58</fb>
    <v>13</v>
  </rv>
  <rv s="7">
    <fb>161.51</fb>
    <v>13</v>
  </rv>
  <rv s="7">
    <fb>168.36</fb>
    <v>13</v>
  </rv>
  <rv s="7">
    <fb>382.55</fb>
    <v>13</v>
  </rv>
  <rv s="7">
    <fb>47.98</fb>
    <v>13</v>
  </rv>
  <rv s="7">
    <fb>231.44</fb>
    <v>13</v>
  </rv>
  <rv s="7">
    <fb>567.70000000000005</fb>
    <v>13</v>
  </rv>
  <rv s="7">
    <fb>258.48</fb>
    <v>13</v>
  </rv>
  <rv s="7">
    <fb>44562</fb>
    <v>12</v>
  </rv>
  <rv s="7">
    <fb>312.23689999999999</fb>
    <v>13</v>
  </rv>
  <rv s="7">
    <fb>174.78</fb>
    <v>13</v>
  </rv>
  <rv s="7">
    <fb>135.6985</fb>
    <v>13</v>
  </rv>
  <rv s="7">
    <fb>310.98</fb>
    <v>13</v>
  </rv>
  <rv s="7">
    <fb>149.5735</fb>
    <v>13</v>
  </rv>
  <rv s="7">
    <fb>135.30350000000001</fb>
    <v>13</v>
  </rv>
  <rv s="7">
    <fb>313.26</fb>
    <v>13</v>
  </rv>
  <rv s="7">
    <fb>313.02</fb>
    <v>13</v>
  </rv>
  <rv s="7">
    <fb>24.486000000000001</fb>
    <v>13</v>
  </rv>
  <rv s="7">
    <fb>172.29</fb>
    <v>13</v>
  </rv>
  <rv s="7">
    <fb>226.17</fb>
    <v>13</v>
  </rv>
  <rv s="7">
    <fb>472.57</fb>
    <v>13</v>
  </rv>
  <rv s="7">
    <fb>366.98</fb>
    <v>13</v>
  </rv>
  <rv s="7">
    <fb>386.38</fb>
    <v>13</v>
  </rv>
  <rv s="7">
    <fb>52.69</fb>
    <v>13</v>
  </rv>
  <rv s="7">
    <fb>61.01</fb>
    <v>13</v>
  </rv>
  <rv s="7">
    <fb>142.97</fb>
    <v>13</v>
  </rv>
  <rv s="7">
    <fb>427.14</fb>
    <v>13</v>
  </rv>
  <rv s="7">
    <fb>48.82</fb>
    <v>13</v>
  </rv>
  <rv s="7">
    <fb>55.67</fb>
    <v>13</v>
  </rv>
  <rv s="7">
    <fb>131.33000000000001</fb>
    <v>13</v>
  </rv>
  <rv s="7">
    <fb>46.602899999999998</fb>
    <v>13</v>
  </rv>
  <rv s="7">
    <fb>19.257100000000001</fb>
    <v>13</v>
  </rv>
  <rv s="7">
    <fb>53.23</fb>
    <v>13</v>
  </rv>
  <rv s="7">
    <fb>148.07</fb>
    <v>13</v>
  </rv>
  <rv s="7">
    <fb>259.45</fb>
    <v>13</v>
  </rv>
  <rv s="7">
    <fb>98.32</fb>
    <v>13</v>
  </rv>
  <rv s="7">
    <fb>200.24</fb>
    <v>13</v>
  </rv>
  <rv s="7">
    <fb>133.57</fb>
    <v>13</v>
  </rv>
  <rv s="7">
    <fb>232.63</fb>
    <v>13</v>
  </rv>
  <rv s="7">
    <fb>534.29999999999995</fb>
    <v>13</v>
  </rv>
  <rv s="7">
    <fb>171.94</fb>
    <v>13</v>
  </rv>
  <rv s="7">
    <fb>122.29</fb>
    <v>13</v>
  </rv>
  <rv s="7">
    <fb>65.12</fb>
    <v>13</v>
  </rv>
  <rv s="7">
    <fb>46.14</fb>
    <v>13</v>
  </rv>
  <rv s="7">
    <fb>354.68</fb>
    <v>13</v>
  </rv>
  <rv s="7">
    <fb>102.54</fb>
    <v>13</v>
  </rv>
  <rv s="7">
    <fb>58.19</fb>
    <v>13</v>
  </rv>
  <rv s="7">
    <fb>505.13</fb>
    <v>13</v>
  </rv>
  <rv s="7">
    <fb>237.35</fb>
    <v>13</v>
  </rv>
  <rv s="7">
    <fb>44593</fb>
    <v>12</v>
  </rv>
  <rv s="7">
    <fb>290.1404</fb>
    <v>13</v>
  </rv>
  <rv s="7">
    <fb>134.89099999999999</fb>
    <v>13</v>
  </rv>
  <rv s="7">
    <fb>298.79000000000002</fb>
    <v>13</v>
  </rv>
  <rv s="7">
    <fb>153.56299999999999</fb>
    <v>13</v>
  </rv>
  <rv s="7">
    <fb>135.05699999999999</fb>
    <v>13</v>
  </rv>
  <rv s="7">
    <fb>211.03</fb>
    <v>13</v>
  </rv>
  <rv s="7">
    <fb>321.45</fb>
    <v>13</v>
  </rv>
  <rv s="7">
    <fb>24.385000000000002</fb>
    <v>13</v>
  </rv>
  <rv s="7">
    <fb>164.57</fb>
    <v>13</v>
  </rv>
  <rv s="7">
    <fb>216.12</fb>
    <v>13</v>
  </rv>
  <rv s="7">
    <fb>475.87</fb>
    <v>13</v>
  </rv>
  <rv s="7">
    <fb>315.83</fb>
    <v>13</v>
  </rv>
  <rv s="7">
    <fb>360.82</fb>
    <v>13</v>
  </rv>
  <rv s="7">
    <fb>62.24</fb>
    <v>13</v>
  </rv>
  <rv s="7">
    <fb>148.46</fb>
    <v>13</v>
  </rv>
  <rv s="7">
    <fb>394.52</fb>
    <v>13</v>
  </rv>
  <rv s="7">
    <fb>47.7</fb>
    <v>13</v>
  </rv>
  <rv s="7">
    <fb>55.77</fb>
    <v>13</v>
  </rv>
  <rv s="7">
    <fb>144</fb>
    <v>13</v>
  </rv>
  <rv s="7">
    <fb>45.052900000000001</fb>
    <v>13</v>
  </rv>
  <rv s="7">
    <fb>17.8902</fb>
    <v>13</v>
  </rv>
  <rv s="7">
    <fb>136.55000000000001</fb>
    <v>13</v>
  </rv>
  <rv s="7">
    <fb>244.77</fb>
    <v>13</v>
  </rv>
  <rv s="7">
    <fb>91.79</fb>
    <v>13</v>
  </rv>
  <rv s="7">
    <fb>205.34</fb>
    <v>13</v>
  </rv>
  <rv s="7">
    <fb>122.51</fb>
    <v>13</v>
  </rv>
  <rv s="7">
    <fb>75.97</fb>
    <v>13</v>
  </rv>
  <rv s="7">
    <fb>210.53</fb>
    <v>13</v>
  </rv>
  <rv s="7">
    <fb>467.68</fb>
    <v>13</v>
  </rv>
  <rv s="7">
    <fb>123.34</fb>
    <v>13</v>
  </rv>
  <rv s="7">
    <fb>111.93</fb>
    <v>13</v>
  </rv>
  <rv s="7">
    <fb>127.5</fb>
    <v>13</v>
  </rv>
  <rv s="7">
    <fb>341.29</fb>
    <v>13</v>
  </rv>
  <rv s="7">
    <fb>199.77</fb>
    <v>13</v>
  </rv>
  <rv s="7">
    <fb>221.06</fb>
    <v>13</v>
  </rv>
  <rv s="7">
    <fb>44621</fb>
    <v>12</v>
  </rv>
  <rv s="7">
    <fb>359.19639999999998</fb>
    <v>13</v>
  </rv>
  <rv s="7">
    <fb>174.61</fb>
    <v>13</v>
  </rv>
  <rv s="7">
    <fb>139.64949999999999</fb>
    <v>13</v>
  </rv>
  <rv s="7">
    <fb>308.31</fb>
    <v>13</v>
  </rv>
  <rv s="7">
    <fb>162.9975</fb>
    <v>13</v>
  </rv>
  <rv s="7">
    <fb>139.0675</fb>
    <v>13</v>
  </rv>
  <rv s="7">
    <fb>222.36</fb>
    <v>13</v>
  </rv>
  <rv s="7">
    <fb>352.91</fb>
    <v>13</v>
  </rv>
  <rv s="7">
    <fb>27.286000000000001</fb>
    <v>13</v>
  </rv>
  <rv s="7">
    <fb>221.77</fb>
    <v>13</v>
  </rv>
  <rv s="7">
    <fb>152.80000000000001</fb>
    <v>13</v>
  </rv>
  <rv s="7">
    <fb>509.97</fb>
    <v>13</v>
  </rv>
  <rv s="7">
    <fb>299.33</fb>
    <v>13</v>
  </rv>
  <rv s="7">
    <fb>357.38</fb>
    <v>13</v>
  </rv>
  <rv s="7">
    <fb>137.16</fb>
    <v>13</v>
  </rv>
  <rv s="7">
    <fb>374.59</fb>
    <v>13</v>
  </rv>
  <rv s="7">
    <fb>55.76</fb>
    <v>13</v>
  </rv>
  <rv s="7">
    <fb>82.59</fb>
    <v>13</v>
  </rv>
  <rv s="7">
    <fb>49.639499999999998</fb>
    <v>13</v>
  </rv>
  <rv s="7">
    <fb>17.844899999999999</fb>
    <v>13</v>
  </rv>
  <rv s="7">
    <fb>50.94</fb>
    <v>13</v>
  </rv>
  <rv s="7">
    <fb>134.56</fb>
    <v>13</v>
  </rv>
  <rv s="7">
    <fb>247.28</fb>
    <v>13</v>
  </rv>
  <rv s="7">
    <fb>90.97</fb>
    <v>13</v>
  </rv>
  <rv s="7">
    <fb>130.02000000000001</fb>
    <v>13</v>
  </rv>
  <rv s="7">
    <fb>82.73</fb>
    <v>13</v>
  </rv>
  <rv s="7">
    <fb>212.32</fb>
    <v>13</v>
  </rv>
  <rv s="7">
    <fb>455.62</fb>
    <v>13</v>
  </rv>
  <rv s="7">
    <fb>109.34</fb>
    <v>13</v>
  </rv>
  <rv s="7">
    <fb>161.47999999999999</fb>
    <v>13</v>
  </rv>
  <rv s="7">
    <fb>53.4</fb>
    <v>13</v>
  </rv>
  <rv s="7">
    <fb>330.1</fb>
    <v>13</v>
  </rv>
  <rv s="7">
    <fb>87.4</fb>
    <v>13</v>
  </rv>
  <rv s="7">
    <fb>48.46</fb>
    <v>13</v>
  </rv>
  <rv s="7">
    <fb>53.15</fb>
    <v>13</v>
  </rv>
  <rv s="7">
    <fb>212.22</fb>
    <v>13</v>
  </rv>
  <rv s="7">
    <fb>575.85</fb>
    <v>13</v>
  </rv>
  <rv s="7">
    <fb>202.19</fb>
    <v>13</v>
  </rv>
  <rv s="7">
    <fb>44652</fb>
    <v>12</v>
  </rv>
  <rv s="7">
    <fb>290.25040000000001</fb>
    <v>13</v>
  </rv>
  <rv s="7">
    <fb>157.65</fb>
    <v>13</v>
  </rv>
  <rv s="7">
    <fb>114.9665</fb>
    <v>13</v>
  </rv>
  <rv s="7">
    <fb>124.28149999999999</fb>
    <v>13</v>
  </rv>
  <rv s="7">
    <fb>114.1095</fb>
    <v>13</v>
  </rv>
  <rv s="7">
    <fb>200.47</fb>
    <v>13</v>
  </rv>
  <rv s="7">
    <fb>322.83</fb>
    <v>13</v>
  </rv>
  <rv s="7">
    <fb>18.547000000000001</fb>
    <v>13</v>
  </rv>
  <rv s="7">
    <fb>180.46</fb>
    <v>13</v>
  </rv>
  <rv s="7">
    <fb>213.13</fb>
    <v>13</v>
  </rv>
  <rv s="7">
    <fb>508.55</fb>
    <v>13</v>
  </rv>
  <rv s="7">
    <fb>300.39999999999998</fb>
    <v>13</v>
  </rv>
  <rv s="7">
    <fb>363.38</fb>
    <v>13</v>
  </rv>
  <rv s="7">
    <fb>49.07</fb>
    <v>13</v>
  </rv>
  <rv s="7">
    <fb>64.61</fb>
    <v>13</v>
  </rv>
  <rv s="7">
    <fb>190.36</fb>
    <v>13</v>
  </rv>
  <rv s="7">
    <fb>48.98</fb>
    <v>13</v>
  </rv>
  <rv s="7">
    <fb>85.25</fb>
    <v>13</v>
  </rv>
  <rv s="7">
    <fb>50.996200000000002</fb>
    <v>13</v>
  </rv>
  <rv s="7">
    <fb>46.3</fb>
    <v>13</v>
  </rv>
  <rv s="7">
    <fb>249.16</fb>
    <v>13</v>
  </rv>
  <rv s="7">
    <fb>132.21</fb>
    <v>13</v>
  </rv>
  <rv s="7">
    <fb>175.94</fb>
    <v>13</v>
  </rv>
  <rv s="7">
    <fb>395.95</fb>
    <v>13</v>
  </rv>
  <rv s="7">
    <fb>85.52</fb>
    <v>13</v>
  </rv>
  <rv s="7">
    <fb>87.93</fb>
    <v>13</v>
  </rv>
  <rv s="7">
    <fb>48.21</fb>
    <v>13</v>
  </rv>
  <rv s="7">
    <fb>305.49</fb>
    <v>13</v>
  </rv>
  <rv s="7">
    <fb>80.59</fb>
    <v>13</v>
  </rv>
  <rv s="7">
    <fb>228.65</fb>
    <v>13</v>
  </rv>
  <rv s="7">
    <fb>531.72</fb>
    <v>13</v>
  </rv>
  <rv s="7">
    <fb>197.73</fb>
    <v>13</v>
  </rv>
  <rv s="7">
    <fb>44682</fb>
    <v>12</v>
  </rv>
  <rv s="7">
    <fb>252.7508</fb>
    <v>13</v>
  </rv>
  <rv s="7">
    <fb>114.039</fb>
    <v>13</v>
  </rv>
  <rv s="7">
    <fb>271.87</fb>
    <v>13</v>
  </rv>
  <rv s="7">
    <fb>120.20950000000001</fb>
    <v>13</v>
  </rv>
  <rv s="7">
    <fb>113.762</fb>
    <v>13</v>
  </rv>
  <rv s="7">
    <fb>193.64</fb>
    <v>13</v>
  </rv>
  <rv s="7">
    <fb>315.98</fb>
    <v>13</v>
  </rv>
  <rv s="7">
    <fb>18.672000000000001</fb>
    <v>13</v>
  </rv>
  <rv s="7">
    <fb>212.17</fb>
    <v>13</v>
  </rv>
  <rv s="7">
    <fb>147.88</fb>
    <v>13</v>
  </rv>
  <rv s="7">
    <fb>496.78</fb>
    <v>13</v>
  </rv>
  <rv s="7">
    <fb>302.75</fb>
    <v>13</v>
  </rv>
  <rv s="7">
    <fb>110.44</fb>
    <v>13</v>
  </rv>
  <rv s="7">
    <fb>197.44</fb>
    <v>13</v>
  </rv>
  <rv s="7">
    <fb>44.42</fb>
    <v>13</v>
  </rv>
  <rv s="7">
    <fb>174.66</fb>
    <v>13</v>
  </rv>
  <rv s="7">
    <fb>42.876199999999997</fb>
    <v>13</v>
  </rv>
  <rv s="7">
    <fb>21.29</fb>
    <v>13</v>
  </rv>
  <rv s="7">
    <fb>51.29</fb>
    <v>13</v>
  </rv>
  <rv s="7">
    <fb>252.21</fb>
    <v>13</v>
  </rv>
  <rv s="7">
    <fb>71.92</fb>
    <v>13</v>
  </rv>
  <rv s="7">
    <fb>416.48</fb>
    <v>13</v>
  </rv>
  <rv s="7">
    <fb>85.21</fb>
    <v>13</v>
  </rv>
  <rv s="7">
    <fb>87.51</fb>
    <v>13</v>
  </rv>
  <rv s="7">
    <fb>127.48</fb>
    <v>13</v>
  </rv>
  <rv s="7">
    <fb>53.41</fb>
    <v>13</v>
  </rv>
  <rv s="7">
    <fb>132.22999999999999</fb>
    <v>13</v>
  </rv>
  <rv s="7">
    <fb>326.85000000000002</fb>
    <v>13</v>
  </rv>
  <rv s="7">
    <fb>53.07</fb>
    <v>13</v>
  </rv>
  <rv s="7">
    <fb>161.88</fb>
    <v>13</v>
  </rv>
  <rv s="7">
    <fb>466.22</fb>
    <v>13</v>
  </rv>
  <rv s="7">
    <fb>195.3</fb>
    <v>13</v>
  </rv>
  <rv s="7">
    <fb>44713</fb>
    <v>12</v>
  </rv>
  <rv s="7">
    <fb>224.47110000000001</fb>
    <v>13</v>
  </rv>
  <rv s="7">
    <fb>136.72</fb>
    <v>13</v>
  </rv>
  <rv s="7">
    <fb>109.3725</fb>
    <v>13</v>
  </rv>
  <rv s="7">
    <fb>256.83</fb>
    <v>13</v>
  </rv>
  <rv s="7">
    <fb>108.96299999999999</fb>
    <v>13</v>
  </rv>
  <rv s="7">
    <fb>273.02</fb>
    <v>13</v>
  </rv>
  <rv s="7">
    <fb>15.159000000000001</fb>
    <v>13</v>
  </rv>
  <rv s="7">
    <fb>177.51</fb>
    <v>13</v>
  </rv>
  <rv s="7">
    <fb>143.79</fb>
    <v>13</v>
  </rv>
  <rv s="7">
    <fb>513.63</fb>
    <v>13</v>
  </rv>
  <rv s="7">
    <fb>274.27</fb>
    <v>13</v>
  </rv>
  <rv s="7">
    <fb>315.48</fb>
    <v>13</v>
  </rv>
  <rv s="7">
    <fb>174.87</fb>
    <v>13</v>
  </rv>
  <rv s="7">
    <fb>37.409999999999997</fb>
    <v>13</v>
  </rv>
  <rv s="7">
    <fb>144.78</fb>
    <v>13</v>
  </rv>
  <rv s="7">
    <fb>40.526299999999999</fb>
    <v>13</v>
  </rv>
  <rv s="7">
    <fb>20.96</fb>
    <v>13</v>
  </rv>
  <rv s="7">
    <fb>246.88</fb>
    <v>13</v>
  </rv>
  <rv s="7">
    <fb>76.39</fb>
    <v>13</v>
  </rv>
  <rv s="7">
    <fb>141.19</fb>
    <v>13</v>
  </rv>
  <rv s="7">
    <fb>69.87</fb>
    <v>13</v>
  </rv>
  <rv s="7">
    <fb>366.06</fb>
    <v>13</v>
  </rv>
  <rv s="7">
    <fb>76.47</fb>
    <v>13</v>
  </rv>
  <rv s="7">
    <fb>45.99</fb>
    <v>13</v>
  </rv>
  <rv s="7">
    <fb>31.13</fb>
    <v>13</v>
  </rv>
  <rv s="7">
    <fb>297.02</fb>
    <v>13</v>
  </rv>
  <rv s="7">
    <fb>76.06</fb>
    <v>13</v>
  </rv>
  <rv s="7">
    <fb>141.22999999999999</fb>
    <v>13</v>
  </rv>
  <rv s="7">
    <fb>479.28</fb>
    <v>13</v>
  </rv>
  <rv s="7">
    <fb>44743</fb>
    <v>12</v>
  </rv>
  <rv s="7">
    <fb>297.14699999999999</fb>
    <v>13</v>
  </rv>
  <rv s="7">
    <fb>162.51</fb>
    <v>13</v>
  </rv>
  <rv s="7">
    <fb>134.94999999999999</fb>
    <v>13</v>
  </rv>
  <rv s="7">
    <fb>159.1</fb>
    <v>13</v>
  </rv>
  <rv s="7">
    <fb>300.60000000000002</fb>
    <v>13</v>
  </rv>
  <rv s="7">
    <fb>18.163</fb>
    <v>13</v>
  </rv>
  <rv s="7">
    <fb>212.11</fb>
    <v>13</v>
  </rv>
  <rv s="7">
    <fb>138.91</fb>
    <v>13</v>
  </rv>
  <rv s="7">
    <fb>542.34</fb>
    <v>13</v>
  </rv>
  <rv s="7">
    <fb>300.94</fb>
    <v>13</v>
  </rv>
  <rv s="7">
    <fb>106.1</fb>
    <v>13</v>
  </rv>
  <rv s="7">
    <fb>224.9</fb>
    <v>13</v>
  </rv>
  <rv s="7">
    <fb>96.93</fb>
    <v>13</v>
  </rv>
  <rv s="7">
    <fb>163.78</fb>
    <v>13</v>
  </rv>
  <rv s="7">
    <fb>44.016199999999998</fb>
    <v>13</v>
  </rv>
  <rv s="7">
    <fb>18.78</fb>
    <v>13</v>
  </rv>
  <rv s="7">
    <fb>46.19</fb>
    <v>13</v>
  </rv>
  <rv s="7">
    <fb>114.92</fb>
    <v>13</v>
  </rv>
  <rv s="7">
    <fb>263.37</fb>
    <v>13</v>
  </rv>
  <rv s="7">
    <fb>84.78</fb>
    <v>13</v>
  </rv>
  <rv s="7">
    <fb>130.79</fb>
    <v>13</v>
  </rv>
  <rv s="7">
    <fb>410.12</fb>
    <v>13</v>
  </rv>
  <rv s="7">
    <fb>94.47</fb>
    <v>13</v>
  </rv>
  <rv s="7">
    <fb>51.9</fb>
    <v>13</v>
  </rv>
  <rv s="7">
    <fb>33.81</fb>
    <v>13</v>
  </rv>
  <rv s="7">
    <fb>115.36</fb>
    <v>13</v>
  </rv>
  <rv s="7">
    <fb>333.39</fb>
    <v>13</v>
  </rv>
  <rv s="7">
    <fb>43.87</fb>
    <v>13</v>
  </rv>
  <rv s="7">
    <fb>47.2</fb>
    <v>13</v>
  </rv>
  <rv s="7">
    <fb>541.29999999999995</fb>
    <v>13</v>
  </rv>
  <rv s="7">
    <fb>44774</fb>
    <v>12</v>
  </rv>
  <rv s="7">
    <fb>275.61</fb>
    <v>13</v>
  </rv>
  <rv s="7">
    <fb>157.22</fb>
    <v>13</v>
  </rv>
  <rv s="7">
    <fb>109.15</fb>
    <v>13</v>
  </rv>
  <rv s="7">
    <fb>261.47000000000003</fb>
    <v>13</v>
  </rv>
  <rv s="7">
    <fb>126.77</fb>
    <v>13</v>
  </rv>
  <rv s="7">
    <fb>108.22</fb>
    <v>13</v>
  </rv>
  <rv s="7">
    <fb>280.8</fb>
    <v>13</v>
  </rv>
  <rv s="7">
    <fb>15.093999999999999</fb>
    <v>13</v>
  </rv>
  <rv s="7">
    <fb>161.34</fb>
    <v>13</v>
  </rv>
  <rv s="7">
    <fb>198.71</fb>
    <v>13</v>
  </rv>
  <rv s="7">
    <fb>137.94</fb>
    <v>13</v>
  </rv>
  <rv s="7">
    <fb>519.33000000000004</fb>
    <v>13</v>
  </rv>
  <rv s="7">
    <fb>288.42</fb>
    <v>13</v>
  </rv>
  <rv s="7">
    <fb>324.37</fb>
    <v>13</v>
  </rv>
  <rv s="7">
    <fb>45.23</fb>
    <v>13</v>
  </rv>
  <rv s="7">
    <fb>223.56</fb>
    <v>13</v>
  </rv>
  <rv s="7">
    <fb>31.92</fb>
    <v>13</v>
  </rv>
  <rv s="7">
    <fb>95.59</fb>
    <v>13</v>
  </rv>
  <rv s="7">
    <fb>44.182899999999997</fb>
    <v>13</v>
  </rv>
  <rv s="7">
    <fb>17.54</fb>
    <v>13</v>
  </rv>
  <rv s="7">
    <fb>106.45</fb>
    <v>13</v>
  </rv>
  <rv s="7">
    <fb>252.28</fb>
    <v>13</v>
  </rv>
  <rv s="7">
    <fb>84.07</fb>
    <v>13</v>
  </rv>
  <rv s="7">
    <fb>128.44999999999999</fb>
    <v>13</v>
  </rv>
  <rv s="7">
    <fb>74.150000000000006</fb>
    <v>13</v>
  </rv>
  <rv s="7">
    <fb>156.12</fb>
    <v>13</v>
  </rv>
  <rv s="7">
    <fb>373.44</fb>
    <v>13</v>
  </rv>
  <rv s="7">
    <fb>84.87</fb>
    <v>13</v>
  </rv>
  <rv s="7">
    <fb>93.44</fb>
    <v>13</v>
  </rv>
  <rv s="7">
    <fb>68.91</fb>
    <v>13</v>
  </rv>
  <rv s="7">
    <fb>124.51</fb>
    <v>13</v>
  </rv>
  <rv s="7">
    <fb>48.81</fb>
    <v>13</v>
  </rv>
  <rv s="7">
    <fb>113.73</fb>
    <v>13</v>
  </rv>
  <rv s="7">
    <fb>332.67</fb>
    <v>13</v>
  </rv>
  <rv s="7">
    <fb>85.22</fb>
    <v>13</v>
  </rv>
  <rv s="7">
    <fb>43.71</fb>
    <v>13</v>
  </rv>
  <rv s="7">
    <fb>522.1</fb>
    <v>13</v>
  </rv>
  <rv s="7">
    <fb>194.14</fb>
    <v>13</v>
  </rv>
  <rv s="7">
    <fb>44805</fb>
    <v>12</v>
  </rv>
  <rv s="7">
    <fb>265.25</fb>
    <v>13</v>
  </rv>
  <rv s="7">
    <fb>138.19999999999999</fb>
    <v>13</v>
  </rv>
  <rv s="7">
    <fb>96.15</fb>
    <v>13</v>
  </rv>
  <rv s="7">
    <fb>232.9</fb>
    <v>13</v>
  </rv>
  <rv s="7">
    <fb>113</fb>
    <v>13</v>
  </rv>
  <rv s="7">
    <fb>135.68</fb>
    <v>13</v>
  </rv>
  <rv s="7">
    <fb>267.02</fb>
    <v>13</v>
  </rv>
  <rv s="7">
    <fb>12.138999999999999</fb>
    <v>13</v>
  </rv>
  <rv s="7">
    <fb>163.36000000000001</fb>
    <v>13</v>
  </rv>
  <rv s="7">
    <fb>177.65</fb>
    <v>13</v>
  </rv>
  <rv s="7">
    <fb>126.25</fb>
    <v>13</v>
  </rv>
  <rv s="7">
    <fb>505.04</fb>
    <v>13</v>
  </rv>
  <rv s="7">
    <fb>275.94</fb>
    <v>13</v>
  </rv>
  <rv s="7">
    <fb>284.33999999999997</fb>
    <v>13</v>
  </rv>
  <rv s="7">
    <fb>43.76</fb>
    <v>13</v>
  </rv>
  <rv s="7">
    <fb>56.02</fb>
    <v>13</v>
  </rv>
  <rv s="7">
    <fb>94.33</fb>
    <v>13</v>
  </rv>
  <rv s="7">
    <fb>40</fb>
    <v>13</v>
  </rv>
  <rv s="7">
    <fb>43.232900000000001</fb>
    <v>13</v>
  </rv>
  <rv s="7">
    <fb>15.34</fb>
    <v>13</v>
  </rv>
  <rv s="7">
    <fb>83.12</fb>
    <v>13</v>
  </rv>
  <rv s="7">
    <fb>230.74</fb>
    <v>13</v>
  </rv>
  <rv s="7">
    <fb>84.26</fb>
    <v>13</v>
  </rv>
  <rv s="7">
    <fb>121.08</fb>
    <v>13</v>
  </rv>
  <rv s="7">
    <fb>61.07</fb>
    <v>13</v>
  </rv>
  <rv s="7">
    <fb>275.2</fb>
    <v>13</v>
  </rv>
  <rv s="7">
    <fb>86.07</fb>
    <v>13</v>
  </rv>
  <rv s="7">
    <fb>54.99</fb>
    <v>13</v>
  </rv>
  <rv s="7">
    <fb>101.6</fb>
    <v>13</v>
  </rv>
  <rv s="7">
    <fb>30.2</fb>
    <v>13</v>
  </rv>
  <rv s="7">
    <fb>293.05</fb>
    <v>13</v>
  </rv>
  <rv s="7">
    <fb>40.22</fb>
    <v>13</v>
  </rv>
  <rv s="7">
    <fb>40.32</fb>
    <v>13</v>
  </rv>
  <rv s="7">
    <fb>148.38999999999999</fb>
    <v>13</v>
  </rv>
  <rv s="7">
    <fb>472.27</fb>
    <v>13</v>
  </rv>
  <rv s="7">
    <fb>187.81</fb>
    <v>13</v>
  </rv>
  <rv s="7">
    <fb>44835</fb>
    <v>12</v>
  </rv>
  <rv s="7">
    <fb>227.54</fb>
    <v>13</v>
  </rv>
  <rv s="7">
    <fb>94.66</fb>
    <v>13</v>
  </rv>
  <rv s="7">
    <fb>94.51</fb>
    <v>13</v>
  </rv>
  <rv s="7">
    <fb>13.497</fb>
    <v>13</v>
  </rv>
  <rv s="7">
    <fb>173.97</fb>
    <v>13</v>
  </rv>
  <rv s="7">
    <fb>207.16</fb>
    <v>13</v>
  </rv>
  <rv s="7">
    <fb>134.66999999999999</fb>
    <v>13</v>
  </rv>
  <rv s="7">
    <fb>555.15</fb>
    <v>13</v>
  </rv>
  <rv s="7">
    <fb>296.13</fb>
    <v>13</v>
  </rv>
  <rv s="7">
    <fb>328.18</fb>
    <v>13</v>
  </rv>
  <rv s="7">
    <fb>46.55</fb>
    <v>13</v>
  </rv>
  <rv s="7">
    <fb>106.54</fb>
    <v>13</v>
  </rv>
  <rv s="7">
    <fb>291.88</fb>
    <v>13</v>
  </rv>
  <rv s="7">
    <fb>45.43</fb>
    <v>13</v>
  </rv>
  <rv s="7">
    <fb>110.81</fb>
    <v>13</v>
  </rv>
  <rv s="7">
    <fb>47.442900000000002</fb>
    <v>13</v>
  </rv>
  <rv s="7">
    <fb>18.23</fb>
    <v>13</v>
  </rv>
  <rv s="7">
    <fb>92.68</fb>
    <v>13</v>
  </rv>
  <rv s="7">
    <fb>272.66000000000003</fb>
    <v>13</v>
  </rv>
  <rv s="7">
    <fb>86.59</fb>
    <v>13</v>
  </rv>
  <rv s="7">
    <fb>142.51</fb>
    <v>13</v>
  </rv>
  <rv s="7">
    <fb>138.29</fb>
    <v>13</v>
  </rv>
  <rv s="7">
    <fb>78.069999999999993</fb>
    <v>13</v>
  </rv>
  <rv s="7">
    <fb>162.59</fb>
    <v>13</v>
  </rv>
  <rv s="7">
    <fb>318.5</fb>
    <v>13</v>
  </rv>
  <rv s="7">
    <fb>83.58</fb>
    <v>13</v>
  </rv>
  <rv s="7">
    <fb>60.07</fb>
    <v>13</v>
  </rv>
  <rv s="7">
    <fb>110.75</fb>
    <v>13</v>
  </rv>
  <rv s="7">
    <fb>36.04</fb>
    <v>13</v>
  </rv>
  <rv s="7">
    <fb>344.51</fb>
    <v>13</v>
  </rv>
  <rv s="7">
    <fb>82.17</fb>
    <v>13</v>
  </rv>
  <rv s="7">
    <fb>164.25</fb>
    <v>13</v>
  </rv>
  <rv s="7">
    <fb>501.5</fb>
    <v>13</v>
  </rv>
  <rv s="7">
    <fb>194.95</fb>
    <v>13</v>
  </rv>
  <rv s="7">
    <fb>44866</fb>
    <v>12</v>
  </rv>
  <rv s="7">
    <fb>194.7</fb>
    <v>13</v>
  </rv>
  <rv s="7">
    <fb>148.03</fb>
    <v>13</v>
  </rv>
  <rv s="7">
    <fb>255.14</fb>
    <v>13</v>
  </rv>
  <rv s="7">
    <fb>118.1</fb>
    <v>13</v>
  </rv>
  <rv s="7">
    <fb>318.60000000000002</fb>
    <v>13</v>
  </rv>
  <rv s="7">
    <fb>16.922999999999998</fb>
    <v>13</v>
  </rv>
  <rv s="7">
    <fb>217</fb>
    <v>13</v>
  </rv>
  <rv s="7">
    <fb>547.76</fb>
    <v>13</v>
  </rv>
  <rv s="7">
    <fb>323.99</fb>
    <v>13</v>
  </rv>
  <rv s="7">
    <fb>356.4</fb>
    <v>13</v>
  </rv>
  <rv s="7">
    <fb>63.61</fb>
    <v>13</v>
  </rv>
  <rv s="7">
    <fb>97.87</fb>
    <v>13</v>
  </rv>
  <rv s="7">
    <fb>305.52999999999997</fb>
    <v>13</v>
  </rv>
  <rv s="7">
    <fb>49.72</fb>
    <v>13</v>
  </rv>
  <rv s="7">
    <fb>111.34</fb>
    <v>13</v>
  </rv>
  <rv s="7">
    <fb>50.806199999999997</fb>
    <v>13</v>
  </rv>
  <rv s="7">
    <fb>19.28</fb>
    <v>13</v>
  </rv>
  <rv s="7">
    <fb>38.979999999999997</fb>
    <v>13</v>
  </rv>
  <rv s="7">
    <fb>109.69</fb>
    <v>13</v>
  </rv>
  <rv s="7">
    <fb>272.79000000000002</fb>
    <v>13</v>
  </rv>
  <rv s="7">
    <fb>148.9</fb>
    <v>13</v>
  </rv>
  <rv s="7">
    <fb>83.03</fb>
    <v>13</v>
  </rv>
  <rv s="7">
    <fb>344.93</fb>
    <v>13</v>
  </rv>
  <rv s="7">
    <fb>77.63</fb>
    <v>13</v>
  </rv>
  <rv s="7">
    <fb>78.41</fb>
    <v>13</v>
  </rv>
  <rv s="7">
    <fb>67.77</fb>
    <v>13</v>
  </rv>
  <rv s="7">
    <fb>117.79</fb>
    <v>13</v>
  </rv>
  <rv s="7">
    <fb>48.41</fb>
    <v>13</v>
  </rv>
  <rv s="7">
    <fb>37.85</fb>
    <v>13</v>
  </rv>
  <rv s="7">
    <fb>138.18</fb>
    <v>13</v>
  </rv>
  <rv s="7">
    <fb>386.15</fb>
    <v>13</v>
  </rv>
  <rv s="7">
    <fb>47.95</fb>
    <v>13</v>
  </rv>
  <rv s="7">
    <fb>539.25</fb>
    <v>13</v>
  </rv>
  <rv s="7">
    <fb>212.55</fb>
    <v>13</v>
  </rv>
  <rv s="7">
    <fb>44896</fb>
    <v>12</v>
  </rv>
  <rv s="7">
    <fb>123.18</fb>
    <v>13</v>
  </rv>
  <rv s="7">
    <fb>129.93</fb>
    <v>13</v>
  </rv>
  <rv s="7">
    <fb>88.73</fb>
    <v>13</v>
  </rv>
  <rv s="7">
    <fb>239.82</fb>
    <v>13</v>
  </rv>
  <rv s="7">
    <fb>88.23</fb>
    <v>13</v>
  </rv>
  <rv s="7">
    <fb>120.34</fb>
    <v>13</v>
  </rv>
  <rv s="7">
    <fb>308.89999999999998</fb>
    <v>13</v>
  </rv>
  <rv s="7">
    <fb>14.614000000000001</fb>
    <v>13</v>
  </rv>
  <rv s="7">
    <fb>176.65</fb>
    <v>13</v>
  </rv>
  <rv s="7">
    <fb>207.76</fb>
    <v>13</v>
  </rv>
  <rv s="7">
    <fb>151.56</fb>
    <v>13</v>
  </rv>
  <rv s="7">
    <fb>530.17999999999995</fb>
    <v>13</v>
  </rv>
  <rv s="7">
    <fb>315.86</fb>
    <v>13</v>
  </rv>
  <rv s="7">
    <fb>347.73</fb>
    <v>13</v>
  </rv>
  <rv s="7">
    <fb>51.24</fb>
    <v>13</v>
  </rv>
  <rv s="7">
    <fb>86.88</fb>
    <v>13</v>
  </rv>
  <rv s="7">
    <fb>294.88</fb>
    <v>13</v>
  </rv>
  <rv s="7">
    <fb>26.43</fb>
    <v>13</v>
  </rv>
  <rv s="7">
    <fb>110.3</fb>
    <v>13</v>
  </rv>
  <rv s="7">
    <fb>179.49</fb>
    <v>13</v>
  </rv>
  <rv s="7">
    <fb>47.262900000000002</fb>
    <v>13</v>
  </rv>
  <rv s="7">
    <fb>18.41</fb>
    <v>13</v>
  </rv>
  <rv s="7">
    <fb>117.01</fb>
    <v>13</v>
  </rv>
  <rv s="7">
    <fb>263.52999999999997</fb>
    <v>13</v>
  </rv>
  <rv s="7">
    <fb>190.49</fb>
    <v>13</v>
  </rv>
  <rv s="7">
    <fb>140.88999999999999</fb>
    <v>13</v>
  </rv>
  <rv s="7">
    <fb>81.739999999999995</fb>
    <v>13</v>
  </rv>
  <rv s="7">
    <fb>132.59</fb>
    <v>13</v>
  </rv>
  <rv s="7">
    <fb>336.53</fb>
    <v>13</v>
  </rv>
  <rv s="7">
    <fb>71.22</fb>
    <v>13</v>
  </rv>
  <rv s="7">
    <fb>134.1</fb>
    <v>13</v>
  </rv>
  <rv s="7">
    <fb>343.38</fb>
    <v>13</v>
  </rv>
  <rv s="7">
    <fb>85.02</fb>
    <v>13</v>
  </rv>
  <rv s="7">
    <fb>43.61</fb>
    <v>13</v>
  </rv>
  <rv s="7">
    <fb>149.04</fb>
    <v>13</v>
  </rv>
  <rv s="7">
    <fb>456.5</fb>
    <v>13</v>
  </rv>
  <rv s="7">
    <fb>199.24</fb>
    <v>13</v>
  </rv>
  <rv s="7">
    <fb>44927</fb>
    <v>12</v>
  </rv>
  <rv s="7">
    <fb>173.22</fb>
    <v>13</v>
  </rv>
  <rv s="7">
    <fb>144.29</fb>
    <v>13</v>
  </rv>
  <rv s="7">
    <fb>99.87</fb>
    <v>13</v>
  </rv>
  <rv s="7">
    <fb>247.81</fb>
    <v>13</v>
  </rv>
  <rv s="7">
    <fb>98.84</fb>
    <v>13</v>
  </rv>
  <rv s="7">
    <fb>148.97</fb>
    <v>13</v>
  </rv>
  <rv s="7">
    <fb>311.52</fb>
    <v>13</v>
  </rv>
  <rv s="7">
    <fb>19.536999999999999</fb>
    <v>13</v>
  </rv>
  <rv s="7">
    <fb>230.21</fb>
    <v>13</v>
  </rv>
  <rv s="7">
    <fb>499.19</fb>
    <v>13</v>
  </rv>
  <rv s="7">
    <fb>324.17</fb>
    <v>13</v>
  </rv>
  <rv s="7">
    <fb>44.16</fb>
    <v>13</v>
  </rv>
  <rv s="7">
    <fb>61.32</fb>
    <v>13</v>
  </rv>
  <rv s="7">
    <fb>108.49</fb>
    <v>13</v>
  </rv>
  <rv s="7">
    <fb>353.86</fb>
    <v>13</v>
  </rv>
  <rv s="7">
    <fb>28.26</fb>
    <v>13</v>
  </rv>
  <rv s="7">
    <fb>48.67</fb>
    <v>13</v>
  </rv>
  <rv s="7">
    <fb>116.01</fb>
    <v>13</v>
  </rv>
  <rv s="7">
    <fb>174.02</fb>
    <v>13</v>
  </rv>
  <rv s="7">
    <fb>47.956200000000003</fb>
    <v>13</v>
  </rv>
  <rv s="7">
    <fb>20.37</fb>
    <v>13</v>
  </rv>
  <rv s="7">
    <fb>41.57</fb>
    <v>13</v>
  </rv>
  <rv s="7">
    <fb>127.33</fb>
    <v>13</v>
  </rv>
  <rv s="7">
    <fb>267.39999999999998</fb>
    <v>13</v>
  </rv>
  <rv s="7">
    <fb>109.14</fb>
    <v>13</v>
  </rv>
  <rv s="7">
    <fb>134.72999999999999</fb>
    <v>13</v>
  </rv>
  <rv s="7">
    <fb>88.46</fb>
    <v>13</v>
  </rv>
  <rv s="7">
    <fb>167.97</fb>
    <v>13</v>
  </rv>
  <rv s="7">
    <fb>370.34</fb>
    <v>13</v>
  </rv>
  <rv s="7">
    <fb>75.150000000000006</fb>
    <v>13</v>
  </rv>
  <rv s="7">
    <fb>81.489999999999995</fb>
    <v>13</v>
  </rv>
  <rv s="7">
    <fb>81.72</fb>
    <v>13</v>
  </rv>
  <rv s="7">
    <fb>52.22</fb>
    <v>13</v>
  </rv>
  <rv s="7">
    <fb>35.479999999999997</fb>
    <v>13</v>
  </rv>
  <rv s="7">
    <fb>139.96</fb>
    <v>13</v>
  </rv>
  <rv s="7">
    <fb>365.81</fb>
    <v>13</v>
  </rv>
  <rv s="7">
    <fb>97.33</fb>
    <v>13</v>
  </rv>
  <rv s="7">
    <fb>172.14</fb>
    <v>13</v>
  </rv>
  <rv s="7">
    <fb>511.14</fb>
    <v>13</v>
  </rv>
  <rv s="7">
    <fb>44958</fb>
    <v>12</v>
  </rv>
  <rv s="7">
    <fb>205.71</fb>
    <v>13</v>
  </rv>
  <rv s="7">
    <fb>90.3</fb>
    <v>13</v>
  </rv>
  <rv s="7">
    <fb>249.42</fb>
    <v>13</v>
  </rv>
  <rv s="7">
    <fb>94.23</fb>
    <v>13</v>
  </rv>
  <rv s="7">
    <fb>90.06</fb>
    <v>13</v>
  </rv>
  <rv s="7">
    <fb>174.94</fb>
    <v>13</v>
  </rv>
  <rv s="7">
    <fb>305.18</fb>
    <v>13</v>
  </rv>
  <rv s="7">
    <fb>23.216000000000001</fb>
    <v>13</v>
  </rv>
  <rv s="7">
    <fb>153.26</fb>
    <v>13</v>
  </rv>
  <rv s="7">
    <fb>137.56</fb>
    <v>13</v>
  </rv>
  <rv s="7">
    <fb>475.94</fb>
    <v>13</v>
  </rv>
  <rv s="7">
    <fb>296.54000000000002</fb>
    <v>13</v>
  </rv>
  <rv s="7">
    <fb>355.29</fb>
    <v>13</v>
  </rv>
  <rv s="7">
    <fb>99.61</fb>
    <v>13</v>
  </rv>
  <rv s="7">
    <fb>322.13</fb>
    <v>13</v>
  </rv>
  <rv s="7">
    <fb>24.93</fb>
    <v>13</v>
  </rv>
  <rv s="7">
    <fb>48.42</fb>
    <v>13</v>
  </rv>
  <rv s="7">
    <fb>109.91</fb>
    <v>13</v>
  </rv>
  <rv s="7">
    <fb>160.77000000000001</fb>
    <v>13</v>
  </rv>
  <rv s="7">
    <fb>47.376199999999997</fb>
    <v>13</v>
  </rv>
  <rv s="7">
    <fb>118.79</fb>
    <v>13</v>
  </rv>
  <rv s="7">
    <fb>263.91000000000003</fb>
    <v>13</v>
  </rv>
  <rv s="7">
    <fb>201.55</fb>
    <v>13</v>
  </rv>
  <rv s="7">
    <fb>129.30000000000001</fb>
    <v>13</v>
  </rv>
  <rv s="7">
    <fb>323.95</fb>
    <v>13</v>
  </rv>
  <rv s="7">
    <fb>73.599999999999994</fb>
    <v>13</v>
  </rv>
  <rv s="7">
    <fb>123.4</fb>
    <v>13</v>
  </rv>
  <rv s="7">
    <fb>50.69</fb>
    <v>13</v>
  </rv>
  <rv s="7">
    <fb>34.299999999999997</fb>
    <v>13</v>
  </rv>
  <rv s="7">
    <fb>143.35</fb>
    <v>13</v>
  </rv>
  <rv s="7">
    <fb>351.65</fb>
    <v>13</v>
  </rv>
  <rv s="7">
    <fb>46.77</fb>
    <v>13</v>
  </rv>
  <rv s="7">
    <fb>484.18</fb>
    <v>13</v>
  </rv>
  <rv s="7">
    <fb>205.75</fb>
    <v>13</v>
  </rv>
  <rv s="7">
    <fb>44986</fb>
    <v>12</v>
  </rv>
  <rv s="7">
    <fb>207.46</fb>
    <v>13</v>
  </rv>
  <rv s="7">
    <fb>164.9</fb>
    <v>13</v>
  </rv>
  <rv s="7">
    <fb>104</fb>
    <v>13</v>
  </rv>
  <rv s="7">
    <fb>288.3</fb>
    <v>13</v>
  </rv>
  <rv s="7">
    <fb>103.29</fb>
    <v>13</v>
  </rv>
  <rv s="7">
    <fb>211.94</fb>
    <v>13</v>
  </rv>
  <rv s="7">
    <fb>308.77</fb>
    <v>13</v>
  </rv>
  <rv s="7">
    <fb>27.777000000000001</fb>
    <v>13</v>
  </rv>
  <rv s="7">
    <fb>225.46</fb>
    <v>13</v>
  </rv>
  <rv s="7">
    <fb>472.59</fb>
    <v>13</v>
  </rv>
  <rv s="7">
    <fb>295.12</fb>
    <v>13</v>
  </rv>
  <rv s="7">
    <fb>363.41</fb>
    <v>13</v>
  </rv>
  <rv s="7">
    <fb>100.13</fb>
    <v>13</v>
  </rv>
  <rv s="7">
    <fb>345.48</fb>
    <v>13</v>
  </rv>
  <rv s="7">
    <fb>32.67</fb>
    <v>13</v>
  </rv>
  <rv s="7">
    <fb>52.274999999999999</fb>
    <v>13</v>
  </rv>
  <rv s="7">
    <fb>109.66</fb>
    <v>13</v>
  </rv>
  <rv s="7">
    <fb>163.16</fb>
    <v>13</v>
  </rv>
  <rv s="7">
    <fb>49.149500000000003</fb>
    <v>13</v>
  </rv>
  <rv s="7">
    <fb>279.61</fb>
    <v>13</v>
  </rv>
  <rv s="7">
    <fb>104.13</fb>
    <v>13</v>
  </rv>
  <rv s="7">
    <fb>212.43</fb>
    <v>13</v>
  </rv>
  <rv s="7">
    <fb>131.09</fb>
    <v>13</v>
  </rv>
  <rv s="7">
    <fb>92.92</fb>
    <v>13</v>
  </rv>
  <rv s="7">
    <fb>199.78</fb>
    <v>13</v>
  </rv>
  <rv s="7">
    <fb>385.37</fb>
    <v>13</v>
  </rv>
  <rv s="7">
    <fb>98.01</fb>
    <v>13</v>
  </rv>
  <rv s="7">
    <fb>28.6</fb>
    <v>13</v>
  </rv>
  <rv s="7">
    <fb>130.31</fb>
    <v>13</v>
  </rv>
  <rv s="7">
    <fb>327.11</fb>
    <v>13</v>
  </rv>
  <rv s="7">
    <fb>87.8</fb>
    <v>13</v>
  </rv>
  <rv s="7">
    <fb>37.380000000000003</fb>
    <v>13</v>
  </rv>
  <rv s="7">
    <fb>36.049999999999997</fb>
    <v>13</v>
  </rv>
  <rv s="7">
    <fb>496.87</fb>
    <v>13</v>
  </rv>
  <rv s="7">
    <fb>45017</fb>
    <v>12</v>
  </rv>
  <rv s="7">
    <fb>307.26</fb>
    <v>13</v>
  </rv>
  <rv s="7">
    <fb>105.45</fb>
    <v>13</v>
  </rv>
  <rv s="7">
    <fb>107.34</fb>
    <v>13</v>
  </rv>
  <rv s="7">
    <fb>240.32</fb>
    <v>13</v>
  </rv>
  <rv s="7">
    <fb>328.55</fb>
    <v>13</v>
  </rv>
  <rv s="7">
    <fb>27.748999999999999</fb>
    <v>13</v>
  </rv>
  <rv s="7">
    <fb>163.69999999999999</fb>
    <v>13</v>
  </rv>
  <rv s="7">
    <fb>232.73</fb>
    <v>13</v>
  </rv>
  <rv s="7">
    <fb>156.38</fb>
    <v>13</v>
  </rv>
  <rv s="7">
    <fb>492.09</fb>
    <v>13</v>
  </rv>
  <rv s="7">
    <fb>300.54000000000002</fb>
    <v>13</v>
  </rv>
  <rv s="7">
    <fb>380.03</fb>
    <v>13</v>
  </rv>
  <rv s="7">
    <fb>329.93</fb>
    <v>13</v>
  </rv>
  <rv s="7">
    <fb>47.25</fb>
    <v>13</v>
  </rv>
  <rv s="7">
    <fb>50.322800000000001</fb>
    <v>13</v>
  </rv>
  <rv s="7">
    <fb>126.72</fb>
    <v>13</v>
  </rv>
  <rv s="7">
    <fb>295.75</fb>
    <v>13</v>
  </rv>
  <rv s="7">
    <fb>114.29</fb>
    <v>13</v>
  </rv>
  <rv s="7">
    <fb>206.78</fb>
    <v>13</v>
  </rv>
  <rv s="7">
    <fb>126.41</fb>
    <v>13</v>
  </rv>
  <rv s="7">
    <fb>198.37</fb>
    <v>13</v>
  </rv>
  <rv s="7">
    <fb>377.56</fb>
    <v>13</v>
  </rv>
  <rv s="7">
    <fb>89.37</fb>
    <v>13</v>
  </rv>
  <rv s="7">
    <fb>76</fb>
    <v>13</v>
  </rv>
  <rv s="7">
    <fb>60.79</fb>
    <v>13</v>
  </rv>
  <rv s="7">
    <fb>125.25</fb>
    <v>13</v>
  </rv>
  <rv s="7">
    <fb>47.07</fb>
    <v>13</v>
  </rv>
  <rv s="7">
    <fb>29.28</fb>
    <v>13</v>
  </rv>
  <rv s="7">
    <fb>138.24</fb>
    <v>13</v>
  </rv>
  <rv s="7">
    <fb>343.44</fb>
    <v>13</v>
  </rv>
  <rv s="7">
    <fb>39.75</fb>
    <v>13</v>
  </rv>
  <rv s="7">
    <fb>503.22</fb>
    <v>13</v>
  </rv>
  <rv s="7">
    <fb>207.83</fb>
    <v>13</v>
  </rv>
  <rv s="7">
    <fb>45047</fb>
    <v>12</v>
  </rv>
  <rv s="7">
    <fb>203.93</fb>
    <v>13</v>
  </rv>
  <rv s="7">
    <fb>123.37</fb>
    <v>13</v>
  </rv>
  <rv s="7">
    <fb>328.39</fb>
    <v>13</v>
  </rv>
  <rv s="7">
    <fb>120.58</fb>
    <v>13</v>
  </rv>
  <rv s="7">
    <fb>122.87</fb>
    <v>13</v>
  </rv>
  <rv s="7">
    <fb>264.72000000000003</fb>
    <v>13</v>
  </rv>
  <rv s="7">
    <fb>321.08</fb>
    <v>13</v>
  </rv>
  <rv s="7">
    <fb>37.834000000000003</fb>
    <v>13</v>
  </rv>
  <rv s="7">
    <fb>155.06</fb>
    <v>13</v>
  </rv>
  <rv s="7">
    <fb>221.03</fb>
    <v>13</v>
  </rv>
  <rv s="7">
    <fb>487.24</fb>
    <v>13</v>
  </rv>
  <rv s="7">
    <fb>283.45</fb>
    <v>13</v>
  </rv>
  <rv s="7">
    <fb>365.02</fb>
    <v>13</v>
  </rv>
  <rv s="7">
    <fb>38.020000000000003</fb>
    <v>13</v>
  </rv>
  <rv s="7">
    <fb>59.66</fb>
    <v>13</v>
  </rv>
  <rv s="7">
    <fb>395.23</fb>
    <v>13</v>
  </rv>
  <rv s="7">
    <fb>31.44</fb>
    <v>13</v>
  </rv>
  <rv s="7">
    <fb>48.956200000000003</fb>
    <v>13</v>
  </rv>
  <rv s="7">
    <fb>15.73</fb>
    <v>13</v>
  </rv>
  <rv s="7">
    <fb>285.11</fb>
    <v>13</v>
  </rv>
  <rv s="7">
    <fb>97.64</fb>
    <v>13</v>
  </rv>
  <rv s="7">
    <fb>205.7</fb>
    <v>13</v>
  </rv>
  <rv s="7">
    <fb>128.59</fb>
    <v>13</v>
  </rv>
  <rv s="7">
    <fb>223.38</fb>
    <v>13</v>
  </rv>
  <rv s="7">
    <fb>118.21</fb>
    <v>13</v>
  </rv>
  <rv s="7">
    <fb>124.55</fb>
    <v>13</v>
  </rv>
  <rv s="7">
    <fb>44.32</fb>
    <v>13</v>
  </rv>
  <rv s="7">
    <fb>27.79</fb>
    <v>13</v>
  </rv>
  <rv s="7">
    <fb>135.71</fb>
    <v>13</v>
  </rv>
  <rv s="7">
    <fb>323.89999999999998</fb>
    <v>13</v>
  </rv>
  <rv s="7">
    <fb>81.760000000000005</fb>
    <v>13</v>
  </rv>
  <rv s="7">
    <fb>39.81</fb>
    <v>13</v>
  </rv>
  <rv s="7">
    <fb>29.9</fb>
    <v>13</v>
  </rv>
  <rv s="7">
    <fb>130.93</fb>
    <v>13</v>
  </rv>
  <rv s="7">
    <fb>511.56</fb>
    <v>13</v>
  </rv>
  <rv s="7">
    <fb>201.13</fb>
    <v>13</v>
  </rv>
  <rv s="7">
    <fb>45078</fb>
    <v>12</v>
  </rv>
  <rv s="7">
    <fb>261.77</fb>
    <v>13</v>
  </rv>
  <rv s="7">
    <fb>120.97</fb>
    <v>13</v>
  </rv>
  <rv s="7">
    <fb>340.54</fb>
    <v>13</v>
  </rv>
  <rv s="7">
    <fb>130.36000000000001</fb>
    <v>13</v>
  </rv>
  <rv s="7">
    <fb>119.7</fb>
    <v>13</v>
  </rv>
  <rv s="7">
    <fb>286.98</fb>
    <v>13</v>
  </rv>
  <rv s="7">
    <fb>341</fb>
    <v>13</v>
  </rv>
  <rv s="7">
    <fb>42.302</fb>
    <v>13</v>
  </rv>
  <rv s="7">
    <fb>237.48</fb>
    <v>13</v>
  </rv>
  <rv s="7">
    <fb>480.64</fb>
    <v>13</v>
  </rv>
  <rv s="7">
    <fb>310.64</fb>
    <v>13</v>
  </rv>
  <rv s="7">
    <fb>393.3</fb>
    <v>13</v>
  </rv>
  <rv s="7">
    <fb>36.68</fb>
    <v>13</v>
  </rv>
  <rv s="7">
    <fb>60.22</fb>
    <v>13</v>
  </rv>
  <rv s="7">
    <fb>89.28</fb>
    <v>13</v>
  </rv>
  <rv s="7">
    <fb>440.49</fb>
    <v>13</v>
  </rv>
  <rv s="7">
    <fb>33.44</fb>
    <v>13</v>
  </rv>
  <rv s="7">
    <fb>51.74</fb>
    <v>13</v>
  </rv>
  <rv s="7">
    <fb>107.25</fb>
    <v>13</v>
  </rv>
  <rv s="7">
    <fb>157.35</fb>
    <v>13</v>
  </rv>
  <rv s="7">
    <fb>52.392800000000001</fb>
    <v>13</v>
  </rv>
  <rv s="7">
    <fb>15.95</fb>
    <v>13</v>
  </rv>
  <rv s="7">
    <fb>37.19</fb>
    <v>13</v>
  </rv>
  <rv s="7">
    <fb>110.37</fb>
    <v>13</v>
  </rv>
  <rv s="7">
    <fb>99.06</fb>
    <v>13</v>
  </rv>
  <rv s="7">
    <fb>211.16</fb>
    <v>13</v>
  </rv>
  <rv s="7">
    <fb>133.81</fb>
    <v>13</v>
  </rv>
  <rv s="7">
    <fb>119.09</fb>
    <v>13</v>
  </rv>
  <rv s="7">
    <fb>211.26</fb>
    <v>13</v>
  </rv>
  <rv s="7">
    <fb>488.99</fb>
    <v>13</v>
  </rv>
  <rv s="7">
    <fb>113.91</fb>
    <v>13</v>
  </rv>
  <rv s="7">
    <fb>46.04</fb>
    <v>13</v>
  </rv>
  <rv s="7">
    <fb>145.44</fb>
    <v>13</v>
  </rv>
  <rv s="7">
    <fb>322.54000000000002</fb>
    <v>13</v>
  </rv>
  <rv s="7">
    <fb>85.4</fb>
    <v>13</v>
  </rv>
  <rv s="7">
    <fb>42.68</fb>
    <v>13</v>
  </rv>
  <rv s="7">
    <fb>131.9</fb>
    <v>13</v>
  </rv>
  <rv s="7">
    <fb>538.38</fb>
    <v>13</v>
  </rv>
  <rv s="7">
    <fb>225.7</fb>
    <v>13</v>
  </rv>
  <rv s="7">
    <fb>45108</fb>
    <v>12</v>
  </rv>
  <rv s="7">
    <fb>267.43</fb>
    <v>13</v>
  </rv>
  <rv s="7">
    <fb>196.45</fb>
    <v>13</v>
  </rv>
  <rv s="7">
    <fb>133.11000000000001</fb>
    <v>13</v>
  </rv>
  <rv s="7">
    <fb>335.92</fb>
    <v>13</v>
  </rv>
  <rv s="7">
    <fb>133.68</fb>
    <v>13</v>
  </rv>
  <rv s="7">
    <fb>132.72</fb>
    <v>13</v>
  </rv>
  <rv s="7">
    <fb>351.96</fb>
    <v>13</v>
  </rv>
  <rv s="7">
    <fb>46.728999999999999</fb>
    <v>13</v>
  </rv>
  <rv s="7">
    <fb>167.53</fb>
    <v>13</v>
  </rv>
  <rv s="7">
    <fb>237.73</fb>
    <v>13</v>
  </rv>
  <rv s="7">
    <fb>506.37</fb>
    <v>13</v>
  </rv>
  <rv s="7">
    <fb>333.84</fb>
    <v>13</v>
  </rv>
  <rv s="7">
    <fb>394.28</fb>
    <v>13</v>
  </rv>
  <rv s="7">
    <fb>36.06</fb>
    <v>13</v>
  </rv>
  <rv s="7">
    <fb>88.89</fb>
    <v>13</v>
  </rv>
  <rv s="7">
    <fb>438.97</fb>
    <v>13</v>
  </rv>
  <rv s="7">
    <fb>107.24</fb>
    <v>13</v>
  </rv>
  <rv s="7">
    <fb>163.66</fb>
    <v>13</v>
  </rv>
  <rv s="7">
    <fb>53.286099999999998</fb>
    <v>13</v>
  </rv>
  <rv s="7">
    <fb>14.52</fb>
    <v>13</v>
  </rv>
  <rv s="7">
    <fb>34.08</fb>
    <v>13</v>
  </rv>
  <rv s="7">
    <fb>110.39</fb>
    <v>13</v>
  </rv>
  <rv s="7">
    <fb>238.85</fb>
    <v>13</v>
  </rv>
  <rv s="7">
    <fb>144.18</fb>
    <v>13</v>
  </rv>
  <rv s="7">
    <fb>117.23</fb>
    <v>13</v>
  </rv>
  <rv s="7">
    <fb>546.16999999999996</fb>
    <v>13</v>
  </rv>
  <rv s="7">
    <fb>114.4</fb>
    <v>13</v>
  </rv>
  <rv s="7">
    <fb>75.819999999999993</fb>
    <v>13</v>
  </rv>
  <rv s="7">
    <fb>80.53</fb>
    <v>13</v>
  </rv>
  <rv s="7">
    <fb>124.75</fb>
    <v>13</v>
  </rv>
  <rv s="7">
    <fb>47.66</fb>
    <v>13</v>
  </rv>
  <rv s="7">
    <fb>32</fb>
    <v>13</v>
  </rv>
  <rv s="7">
    <fb>355.87</fb>
    <v>13</v>
  </rv>
  <rv s="7">
    <fb>136.47</fb>
    <v>13</v>
  </rv>
  <rv s="7">
    <fb>560.66999999999996</fb>
    <v>13</v>
  </rv>
  <rv s="7">
    <fb>234.27</fb>
    <v>13</v>
  </rv>
  <rv s="7">
    <fb>45139</fb>
    <v>12</v>
  </rv>
  <rv s="7">
    <fb>258.08</fb>
    <v>13</v>
  </rv>
  <rv s="7">
    <fb>137.35</fb>
    <v>13</v>
  </rv>
  <rv s="7">
    <fb>327.76</fb>
    <v>13</v>
  </rv>
  <rv s="7">
    <fb>138.01</fb>
    <v>13</v>
  </rv>
  <rv s="7">
    <fb>136.16999999999999</fb>
    <v>13</v>
  </rv>
  <rv s="7">
    <fb>295.89</fb>
    <v>13</v>
  </rv>
  <rv s="7">
    <fb>360.2</fb>
    <v>13</v>
  </rv>
  <rv s="7">
    <fb>49.354999999999997</fb>
    <v>13</v>
  </rv>
  <rv s="7">
    <fb>245.68</fb>
    <v>13</v>
  </rv>
  <rv s="7">
    <fb>154.34</fb>
    <v>13</v>
  </rv>
  <rv s="7">
    <fb>476.58</fb>
    <v>13</v>
  </rv>
  <rv s="7">
    <fb>330.3</fb>
    <v>13</v>
  </rv>
  <rv s="7">
    <fb>412.64</fb>
    <v>13</v>
  </rv>
  <rv s="7">
    <fb>35.380000000000003</fb>
    <v>13</v>
  </rv>
  <rv s="7">
    <fb>433.68</fb>
    <v>13</v>
  </rv>
  <rv s="7">
    <fb>35.14</fb>
    <v>13</v>
  </rv>
  <rv s="7">
    <fb>111.19</fb>
    <v>13</v>
  </rv>
  <rv s="7">
    <fb>54.202800000000003</fb>
    <v>13</v>
  </rv>
  <rv s="7">
    <fb>14.79</fb>
    <v>13</v>
  </rv>
  <rv s="7">
    <fb>34.979999999999997</fb>
    <v>13</v>
  </rv>
  <rv s="7">
    <fb>101.71</fb>
    <v>13</v>
  </rv>
  <rv s="7">
    <fb>224.03</fb>
    <v>13</v>
  </rv>
  <rv s="7">
    <fb>221.46</fb>
    <v>13</v>
  </rv>
  <rv s="7">
    <fb>559.34</fb>
    <v>13</v>
  </rv>
  <rv s="7">
    <fb>105.72</fb>
    <v>13</v>
  </rv>
  <rv s="7">
    <fb>57.65</fb>
    <v>13</v>
  </rv>
  <rv s="7">
    <fb>124.2</fb>
    <v>13</v>
  </rv>
  <rv s="7">
    <fb>327.71</fb>
    <v>13</v>
  </rv>
  <rv s="7">
    <fb>85.15</fb>
    <v>13</v>
  </rv>
  <rv s="7">
    <fb>36.53</fb>
    <v>13</v>
  </rv>
  <rv s="7">
    <fb>549.28</fb>
    <v>13</v>
  </rv>
  <rv s="7">
    <fb>45170</fb>
    <v>12</v>
  </rv>
  <rv s="7">
    <fb>250.22</fb>
    <v>13</v>
  </rv>
  <rv s="7">
    <fb>171.21</fb>
    <v>13</v>
  </rv>
  <rv s="7">
    <fb>131.85</fb>
    <v>13</v>
  </rv>
  <rv s="7">
    <fb>315.75</fb>
    <v>13</v>
  </rv>
  <rv s="7">
    <fb>127.12</fb>
    <v>13</v>
  </rv>
  <rv s="7">
    <fb>130.86000000000001</fb>
    <v>13</v>
  </rv>
  <rv s="7">
    <fb>300.20999999999998</fb>
    <v>13</v>
  </rv>
  <rv s="7">
    <fb>350.3</fb>
    <v>13</v>
  </rv>
  <rv s="7">
    <fb>43.499000000000002</fb>
    <v>13</v>
  </rv>
  <rv s="7">
    <fb>504.19</fb>
    <v>13</v>
  </rv>
  <rv s="7">
    <fb>302.16000000000003</fb>
    <v>13</v>
  </rv>
  <rv s="7">
    <fb>395.91</fb>
    <v>13</v>
  </rv>
  <rv s="7">
    <fb>33.17</fb>
    <v>13</v>
  </rv>
  <rv s="7">
    <fb>55.98</fb>
    <v>13</v>
  </rv>
  <rv s="7">
    <fb>81.05</fb>
    <v>13</v>
  </rv>
  <rv s="7">
    <fb>377.6</fb>
    <v>13</v>
  </rv>
  <rv s="7">
    <fb>35.549999999999997</fb>
    <v>13</v>
  </rv>
  <rv s="7">
    <fb>53.76</fb>
    <v>13</v>
  </rv>
  <rv s="7">
    <fb>117.58</fb>
    <v>13</v>
  </rv>
  <rv s="7">
    <fb>168.62</fb>
    <v>13</v>
  </rv>
  <rv s="7">
    <fb>53.3095</fb>
    <v>13</v>
  </rv>
  <rv s="7">
    <fb>15.02</fb>
    <v>13</v>
  </rv>
  <rv s="7">
    <fb>32.409999999999997</fb>
    <v>13</v>
  </rv>
  <rv s="7">
    <fb>263.44</fb>
    <v>13</v>
  </rv>
  <rv s="7">
    <fb>191.68</fb>
    <v>13</v>
  </rv>
  <rv s="7">
    <fb>105.92</fb>
    <v>13</v>
  </rv>
  <rv s="7">
    <fb>202.78</fb>
    <v>13</v>
  </rv>
  <rv s="7">
    <fb>509.9</fb>
    <v>13</v>
  </rv>
  <rv s="7">
    <fb>102.82</fb>
    <v>13</v>
  </rv>
  <rv s="7">
    <fb>58.46</fb>
    <v>13</v>
  </rv>
  <rv s="7">
    <fb>112.21</fb>
    <v>13</v>
  </rv>
  <rv s="7">
    <fb>41.13</fb>
    <v>13</v>
  </rv>
  <rv s="7">
    <fb>27.38</fb>
    <v>13</v>
  </rv>
  <rv s="7">
    <fb>81.67</fb>
    <v>13</v>
  </rv>
  <rv s="7">
    <fb>40.86</fb>
    <v>13</v>
  </rv>
  <rv s="7">
    <fb>33.06</fb>
    <v>13</v>
  </rv>
  <rv s="7">
    <fb>110.57</fb>
    <v>13</v>
  </rv>
  <rv s="7">
    <fb>564.96</fb>
    <v>13</v>
  </rv>
  <rv s="7">
    <fb>45200</fb>
    <v>12</v>
  </rv>
  <rv s="7">
    <fb>200.84</fb>
    <v>13</v>
  </rv>
  <rv s="7">
    <fb>170.77</fb>
    <v>13</v>
  </rv>
  <rv s="7">
    <fb>125.3</fb>
    <v>13</v>
  </rv>
  <rv s="7">
    <fb>338.11</fb>
    <v>13</v>
  </rv>
  <rv s="7">
    <fb>133.09</fb>
    <v>13</v>
  </rv>
  <rv s="7">
    <fb>301.27</fb>
    <v>13</v>
  </rv>
  <rv s="7">
    <fb>341.33</fb>
    <v>13</v>
  </rv>
  <rv s="7">
    <fb>148.34</fb>
    <v>13</v>
  </rv>
  <rv s="7">
    <fb>235.1</fb>
    <v>13</v>
  </rv>
  <rv s="7">
    <fb>150.03</fb>
    <v>13</v>
  </rv>
  <rv s="7">
    <fb>535.55999999999995</fb>
    <v>13</v>
  </rv>
  <rv s="7">
    <fb>284.69</fb>
    <v>13</v>
  </rv>
  <rv s="7">
    <fb>376.35</fb>
    <v>13</v>
  </rv>
  <rv s="7">
    <fb>30.56</fb>
    <v>13</v>
  </rv>
  <rv s="7">
    <fb>81.59</fb>
    <v>13</v>
  </rv>
  <rv s="7">
    <fb>411.69</fb>
    <v>13</v>
  </rv>
  <rv s="7">
    <fb>52.13</fb>
    <v>13</v>
  </rv>
  <rv s="7">
    <fb>105.85</fb>
    <v>13</v>
  </rv>
  <rv s="7">
    <fb>54.469499999999996</fb>
    <v>13</v>
  </rv>
  <rv s="7">
    <fb>15.4</fb>
    <v>13</v>
  </rv>
  <rv s="7">
    <fb>35.130000000000003</fb>
    <v>13</v>
  </rv>
  <rv s="7">
    <fb>262.17</fb>
    <v>13</v>
  </rv>
  <rv s="7">
    <fb>92.24</fb>
    <v>13</v>
  </rv>
  <rv s="7">
    <fb>186.82</fb>
    <v>13</v>
  </rv>
  <rv s="7">
    <fb>103.4</fb>
    <v>13</v>
  </rv>
  <rv s="7">
    <fb>532.05999999999995</fb>
    <v>13</v>
  </rv>
  <rv s="7">
    <fb>98.5</fb>
    <v>13</v>
  </rv>
  <rv s="7">
    <fb>51.8</fb>
    <v>13</v>
  </rv>
  <rv s="7">
    <fb>100.75</fb>
    <v>13</v>
  </rv>
  <rv s="7">
    <fb>139.06</fb>
    <v>13</v>
  </rv>
  <rv s="7">
    <fb>303.61</fb>
    <v>13</v>
  </rv>
  <rv s="7">
    <fb>552.44000000000005</fb>
    <v>13</v>
  </rv>
  <rv s="7">
    <fb>190.57</fb>
    <v>13</v>
  </rv>
  <rv s="7">
    <fb>45231</fb>
    <v>12</v>
  </rv>
  <rv s="7">
    <fb>240.08</fb>
    <v>13</v>
  </rv>
  <rv s="7">
    <fb>189.95</fb>
    <v>13</v>
  </rv>
  <rv s="7">
    <fb>133.91999999999999</fb>
    <v>13</v>
  </rv>
  <rv s="7">
    <fb>378.91</fb>
    <v>13</v>
  </rv>
  <rv s="7">
    <fb>146.09</fb>
    <v>13</v>
  </rv>
  <rv s="7">
    <fb>132.53</fb>
    <v>13</v>
  </rv>
  <rv s="7">
    <fb>327.14999999999998</fb>
    <v>13</v>
  </rv>
  <rv s="7">
    <fb>360</fb>
    <v>13</v>
  </rv>
  <rv s="7">
    <fb>256.68</fb>
    <v>13</v>
  </rv>
  <rv s="7">
    <fb>153.52000000000001</fb>
    <v>13</v>
  </rv>
  <rv s="7">
    <fb>552.97</fb>
    <v>13</v>
  </rv>
  <rv s="7">
    <fb>313.49</fb>
    <v>13</v>
  </rv>
  <rv s="7">
    <fb>413.83</fb>
    <v>13</v>
  </rv>
  <rv s="7">
    <fb>58.44</fb>
    <v>13</v>
  </rv>
  <rv s="7">
    <fb>92.69</fb>
    <v>13</v>
  </rv>
  <rv s="7">
    <fb>473.97</fb>
    <v>13</v>
  </rv>
  <rv s="7">
    <fb>48.38</fb>
    <v>13</v>
  </rv>
  <rv s="7">
    <fb>143.6</fb>
    <v>13</v>
  </rv>
  <rv s="7">
    <fb>51.896099999999997</fb>
    <v>13</v>
  </rv>
  <rv s="7">
    <fb>110.27</fb>
    <v>13</v>
  </rv>
  <rv s="7">
    <fb>281.83999999999997</fb>
    <v>13</v>
  </rv>
  <rv s="7">
    <fb>231.63</fb>
    <v>13</v>
  </rv>
  <rv s="7">
    <fb>116.21</fb>
    <v>13</v>
  </rv>
  <rv s="7">
    <fb>251.9</fb>
    <v>13</v>
  </rv>
  <rv s="7">
    <fb>611.01</fb>
    <v>13</v>
  </rv>
  <rv s="7">
    <fb>121.16</fb>
    <v>13</v>
  </rv>
  <rv s="7">
    <fb>114.93</fb>
    <v>13</v>
  </rv>
  <rv s="7">
    <fb>46.1</fb>
    <v>13</v>
  </rv>
  <rv s="7">
    <fb>30.49</fb>
    <v>13</v>
  </rv>
  <rv s="7">
    <fb>341.54</fb>
    <v>13</v>
  </rv>
  <rv s="7">
    <fb>79.34</fb>
    <v>13</v>
  </rv>
  <rv s="7">
    <fb>44.59</fb>
    <v>13</v>
  </rv>
  <rv s="7">
    <fb>38.119999999999997</fb>
    <v>13</v>
  </rv>
  <rv s="7">
    <fb>592.74</fb>
    <v>13</v>
  </rv>
  <rv s="7">
    <fb>198.83</fb>
    <v>13</v>
  </rv>
  <rv s="7">
    <fb>45261</fb>
    <v>12</v>
  </rv>
  <rv s="7">
    <fb>45292</fb>
    <v>12</v>
  </rv>
  <rv s="7">
    <fb>187.29</fb>
    <v>13</v>
  </rv>
  <rv s="7">
    <fb>183.28</fb>
    <v>13</v>
  </rv>
  <rv s="7">
    <fb>178.08</fb>
    <v>13</v>
  </rv>
  <rv s="7">
    <fb>45444</fb>
    <v>12</v>
  </rv>
  <rv s="7">
    <fb>197.88</fb>
    <v>13</v>
  </rv>
  <rv s="7">
    <fb>214.11</fb>
    <v>13</v>
  </rv>
  <rv s="7">
    <fb>45536</fb>
    <v>12</v>
  </rv>
  <rv s="7">
    <fb>261.63</fb>
    <v>13</v>
  </rv>
  <rv s="7">
    <fb>249.85</fb>
    <v>13</v>
  </rv>
  <rv s="7">
    <fb>345.16</fb>
    <v>13</v>
  </rv>
  <rv s="7">
    <fb>45627</fb>
    <v>12</v>
  </rv>
  <rv s="7">
    <fb>400.99</fb>
    <v>13</v>
  </rv>
  <rv s="7">
    <fb>13.25</fb>
    <v>13</v>
  </rv>
  <rv s="8">
    <v>14</v>
    <v>a21icw</v>
    <v>Daily</v>
    <v>45272</v>
    <v>45637</v>
    <v>0</v>
    <v>1</v>
    <v>638693856000000000,638695385022545687,0</v>
    <v>0</v>
    <v>a21icw</v>
    <v/>
    <v>1</v>
  </rv>
  <rv s="8">
    <v>14</v>
    <v>AAPL</v>
    <v>Monthly</v>
    <v>43831</v>
    <v>45657</v>
    <v>0</v>
    <v>1</v>
    <v>638693856000000000,638695474326040971,0</v>
    <v>2</v>
    <v>a1mou2</v>
    <v>XNAS:AAPL</v>
    <v>3</v>
  </rv>
  <rv s="8">
    <v>14</v>
    <v>a1uj52</v>
    <v>Daily</v>
    <v>45272</v>
    <v>45637</v>
    <v>0</v>
    <v>1</v>
    <v>638693856000000000,638695385021931738,0</v>
    <v>0</v>
    <v>a1uj52</v>
    <v/>
    <v>4</v>
  </rv>
  <rv s="8">
    <v>14</v>
    <v>a1v6nm</v>
    <v>Daily</v>
    <v>45272</v>
    <v>45637</v>
    <v>0</v>
    <v>1</v>
    <v>638693856000000000,638695385022070293,0</v>
    <v>0</v>
    <v>a1v6nm</v>
    <v/>
    <v>5</v>
  </rv>
  <rv s="8">
    <v>14</v>
    <v>AMD</v>
    <v>Monthly</v>
    <v>43831</v>
    <v>45657</v>
    <v>0</v>
    <v>1</v>
    <v>638693856000000000,638695477438101602,0</v>
    <v>2</v>
    <v>c1efhw</v>
    <v>XBUE:AMD</v>
    <v>6</v>
  </rv>
  <rv s="8">
    <v>14</v>
    <v>DIS</v>
    <v>Monthly</v>
    <v>43831</v>
    <v>45657</v>
    <v>0</v>
    <v>1</v>
    <v>638693856000000000,638695477437610530,0</v>
    <v>2</v>
    <v>a1r2z2</v>
    <v>XNYS:DIS</v>
    <v>7</v>
  </rv>
  <rv s="8">
    <v>14</v>
    <v>NKE</v>
    <v>Monthly</v>
    <v>43831</v>
    <v>45657</v>
    <v>0</v>
    <v>1</v>
    <v>638693856000000000,638695477437909893,0</v>
    <v>2</v>
    <v>a1yjxm</v>
    <v>XNYS:NKE</v>
    <v>8</v>
  </rv>
  <rv s="8">
    <v>14</v>
    <v>XOM</v>
    <v>Monthly</v>
    <v>43831</v>
    <v>45657</v>
    <v>0</v>
    <v>1</v>
    <v>638693856000000000,638695477438021290,0</v>
    <v>2</v>
    <v>a269ec</v>
    <v>XNYS:XOM</v>
    <v>9</v>
  </rv>
  <rv s="8">
    <v>14</v>
    <v>TSLA</v>
    <v>Monthly</v>
    <v>43831</v>
    <v>45657</v>
    <v>0</v>
    <v>1</v>
    <v>638693856000000000,638695477438588913,0</v>
    <v>2</v>
    <v>a24kar</v>
    <v>XNAS:TSLA</v>
    <v>10</v>
  </rv>
  <rv s="8">
    <v>14</v>
    <v>a1zsjc</v>
    <v>Daily</v>
    <v>45272</v>
    <v>45637</v>
    <v>0</v>
    <v>1</v>
    <v>638693856000000000,638695385021850513,0</v>
    <v>0</v>
    <v>a1zsjc</v>
    <v/>
    <v>11</v>
  </rv>
  <rv s="8">
    <v>14</v>
    <v>a1slm7</v>
    <v>Daily</v>
    <v>45272</v>
    <v>45637</v>
    <v>0</v>
    <v>1</v>
    <v>638693856000000000,638695385022459422,0</v>
    <v>0</v>
    <v>a1slm7</v>
    <v/>
    <v>12</v>
  </rv>
  <rv s="8">
    <v>14</v>
    <v>a1ndww</v>
    <v>Daily</v>
    <v>45272</v>
    <v>45637</v>
    <v>0</v>
    <v>1</v>
    <v>638693856000000000,638695385022570409,0</v>
    <v>0</v>
    <v>a1ndww</v>
    <v/>
    <v>13</v>
  </rv>
  <rv s="8">
    <v>14</v>
    <v>INTC</v>
    <v>Monthly</v>
    <v>43831</v>
    <v>45657</v>
    <v>0</v>
    <v>1</v>
    <v>638693856000000000,638695477437537813,0</v>
    <v>2</v>
    <v>a1vmf2</v>
    <v>XNAS:INTC</v>
    <v>14</v>
  </rv>
  <rv s="8">
    <v>14</v>
    <v>PG</v>
    <v>Monthly</v>
    <v>43831</v>
    <v>45657</v>
    <v>0</v>
    <v>1</v>
    <v>638693856000000000,638695477440199160,0</v>
    <v>2</v>
    <v>a1zsjc</v>
    <v>XNYS:PG</v>
    <v>15</v>
  </rv>
  <rv s="8">
    <v>14</v>
    <v>CRM</v>
    <v>Monthly</v>
    <v>43831</v>
    <v>45657</v>
    <v>0</v>
    <v>1</v>
    <v>638693856000000000,638695477438521944,0</v>
    <v>2</v>
    <v>a1qc1h</v>
    <v>XNYS:CRM</v>
    <v>16</v>
  </rv>
  <rv s="8">
    <v>14</v>
    <v>a1zy3m</v>
    <v>Daily</v>
    <v>45272</v>
    <v>45637</v>
    <v>0</v>
    <v>1</v>
    <v>638693856000000000,638695385022424029,0</v>
    <v>0</v>
    <v>a1zy3m</v>
    <v/>
    <v>17</v>
  </rv>
  <rv s="8">
    <v>14</v>
    <v>PLD</v>
    <v>Monthly</v>
    <v>43831</v>
    <v>45657</v>
    <v>0</v>
    <v>1</v>
    <v>638693856000000000,638695477440285701,0</v>
    <v>2</v>
    <v>a1zy3m</v>
    <v>XNYS:PLD</v>
    <v>18</v>
  </rv>
  <rv s="8">
    <v>14</v>
    <v>a1u3rw</v>
    <v>Daily</v>
    <v>45272</v>
    <v>45637</v>
    <v>0</v>
    <v>1</v>
    <v>638693856000000000,638695385021985942,0</v>
    <v>0</v>
    <v>a1u3rw</v>
    <v/>
    <v>19</v>
  </rv>
  <rv s="8">
    <v>14</v>
    <v>GOOGL</v>
    <v>Monthly</v>
    <v>43831</v>
    <v>45657</v>
    <v>0</v>
    <v>1</v>
    <v>638693856000000000,638695477437975865,0</v>
    <v>2</v>
    <v>a1u3rw</v>
    <v>XNAS:GOOGL</v>
    <v>20</v>
  </rv>
  <rv s="8">
    <v>14</v>
    <v>BA</v>
    <v>Monthly</v>
    <v>43831</v>
    <v>45657</v>
    <v>0</v>
    <v>1</v>
    <v>638693856000000000,638695477440175082,0</v>
    <v>2</v>
    <v>a1o4ec</v>
    <v>XNYS:BA</v>
    <v>21</v>
  </rv>
  <rv s="8">
    <v>14</v>
    <v>ORCL</v>
    <v>Monthly</v>
    <v>43831</v>
    <v>45657</v>
    <v>0</v>
    <v>1</v>
    <v>638693856000000000,638695477440238986,0</v>
    <v>2</v>
    <v>a1zbec</v>
    <v>XNYS:ORCL</v>
    <v>22</v>
  </rv>
  <rv s="8">
    <v>14</v>
    <v>MSFT</v>
    <v>Monthly</v>
    <v>43831</v>
    <v>45657</v>
    <v>0</v>
    <v>1</v>
    <v>638693856000000000,638695477438611727,0</v>
    <v>2</v>
    <v>a1xzim</v>
    <v>XNAS:MSFT</v>
    <v>23</v>
  </rv>
  <rv s="8">
    <v>14</v>
    <v>a1xdec</v>
    <v>Daily</v>
    <v>45272</v>
    <v>45637</v>
    <v>0</v>
    <v>1</v>
    <v>638693856000000000,638695385021923346,0</v>
    <v>0</v>
    <v>a1xdec</v>
    <v/>
    <v>24</v>
  </rv>
  <rv s="8">
    <v>14</v>
    <v>USB</v>
    <v>Monthly</v>
    <v>43831</v>
    <v>45657</v>
    <v>0</v>
    <v>1</v>
    <v>638693856000000000,638695477438659156,0</v>
    <v>2</v>
    <v>a251gh</v>
    <v>XNYS:USB</v>
    <v>25</v>
  </rv>
  <rv s="8">
    <v>14</v>
    <v>GS</v>
    <v>Monthly</v>
    <v>43831</v>
    <v>45657</v>
    <v>0</v>
    <v>1</v>
    <v>638693856000000000,638695477438195073,0</v>
    <v>2</v>
    <v>a1u7xm</v>
    <v>XNYS:GS</v>
    <v>26</v>
  </rv>
  <rv s="8">
    <v>14</v>
    <v>a1yv52</v>
    <v>Daily</v>
    <v>45272</v>
    <v>45637</v>
    <v>0</v>
    <v>1</v>
    <v>638693856000000000,638695385022057831,0</v>
    <v>0</v>
    <v>a1yv52</v>
    <v/>
    <v>27</v>
  </rv>
  <rv s="8">
    <v>14</v>
    <v>a24xlh</v>
    <v>Daily</v>
    <v>45272</v>
    <v>45637</v>
    <v>0</v>
    <v>1</v>
    <v>638693856000000000,638695385021911834,0</v>
    <v>0</v>
    <v>a24xlh</v>
    <v/>
    <v>28</v>
  </rv>
  <rv s="8">
    <v>14</v>
    <v>AMZN</v>
    <v>Monthly</v>
    <v>43831</v>
    <v>45657</v>
    <v>0</v>
    <v>1</v>
    <v>638693856000000000,638695477437515829,0</v>
    <v>2</v>
    <v>a1nhlh</v>
    <v>XNAS:AMZN</v>
    <v>29</v>
  </rv>
  <rv s="8">
    <v>14</v>
    <v>GOOG</v>
    <v>Monthly</v>
    <v>43831</v>
    <v>45657</v>
    <v>0</v>
    <v>1</v>
    <v>638693856000000000,638695477438637249,0</v>
    <v>2</v>
    <v>a1u3p2</v>
    <v>XNAS:GOOG</v>
    <v>30</v>
  </rv>
  <rv s="8">
    <v>14</v>
    <v>a23www</v>
    <v>Daily</v>
    <v>45272</v>
    <v>45637</v>
    <v>0</v>
    <v>1</v>
    <v>638693856000000000,638695385021952969,0</v>
    <v>0</v>
    <v>a23www</v>
    <v/>
    <v>31</v>
  </rv>
  <rv s="8">
    <v>14</v>
    <v>a1wljc</v>
    <v>Daily</v>
    <v>45272</v>
    <v>45637</v>
    <v>0</v>
    <v>1</v>
    <v>638693856000000000,638695385021970881,0</v>
    <v>0</v>
    <v>a1wljc</v>
    <v/>
    <v>32</v>
  </rv>
  <rv s="8">
    <v>14</v>
    <v>COST</v>
    <v>Monthly</v>
    <v>43831</v>
    <v>45657</v>
    <v>0</v>
    <v>1</v>
    <v>638693856000000000,638695477437874801,0</v>
    <v>2</v>
    <v>a1q6k2</v>
    <v>XNAS:COST</v>
    <v>33</v>
  </rv>
  <rv s="8">
    <v>14</v>
    <v>JPM</v>
    <v>Monthly</v>
    <v>43831</v>
    <v>45657</v>
    <v>0</v>
    <v>1</v>
    <v>638693856000000000,638695477437707041,0</v>
    <v>2</v>
    <v>a1waa2</v>
    <v>XNYS:JPM</v>
    <v>34</v>
  </rv>
  <rv s="8">
    <v>14</v>
    <v>WMT</v>
    <v>Monthly</v>
    <v>43831</v>
    <v>45657</v>
    <v>0</v>
    <v>1</v>
    <v>638693856000000000,638695477438163733,0</v>
    <v>2</v>
    <v>a25ya2</v>
    <v>XNYS:WMT</v>
    <v>35</v>
  </rv>
  <rv s="8">
    <v>14</v>
    <v>a1x2ur</v>
    <v>Daily</v>
    <v>45272</v>
    <v>45637</v>
    <v>0</v>
    <v>1</v>
    <v>638693856000000000,638695385022015813,0</v>
    <v>0</v>
    <v>a1x2ur</v>
    <v/>
    <v>36</v>
  </rv>
  <rv s="8">
    <v>14</v>
    <v>BAC</v>
    <v>Monthly</v>
    <v>43831</v>
    <v>45657</v>
    <v>0</v>
    <v>1</v>
    <v>638693856000000000,638695474325827927,0</v>
    <v>2</v>
    <v>a1o4sm</v>
    <v>XNYS:BAC</v>
    <v>37</v>
  </rv>
  <rv s="8">
    <v>14</v>
    <v>a1mv7w</v>
    <v>Daily</v>
    <v>45272</v>
    <v>45637</v>
    <v>0</v>
    <v>1</v>
    <v>638693856000000000,638695385022075810,0</v>
    <v>0</v>
    <v>a1mv7w</v>
    <v/>
    <v>38</v>
  </rv>
  <rv s="8">
    <v>14</v>
    <v>KO</v>
    <v>Monthly</v>
    <v>43831</v>
    <v>45657</v>
    <v>0</v>
    <v>1</v>
    <v>638693856000000000,638695477438681653,0</v>
    <v>2</v>
    <v>a1wljc</v>
    <v>XNYS:KO</v>
    <v>39</v>
  </rv>
  <rv s="8">
    <v>14</v>
    <v>WFC</v>
    <v>Monthly</v>
    <v>43831</v>
    <v>45657</v>
    <v>0</v>
    <v>1</v>
    <v>638693856000000000,638695477440081166,0</v>
    <v>2</v>
    <v>a25tgh</v>
    <v>XNYS:WFC</v>
    <v>40</v>
  </rv>
  <rv s="8">
    <v>14</v>
    <v>a25ya2</v>
    <v>Daily</v>
    <v>45272</v>
    <v>45637</v>
    <v>0</v>
    <v>1</v>
    <v>638693856000000000,638695385022041723,0</v>
    <v>0</v>
    <v>a25ya2</v>
    <v/>
    <v>41</v>
  </rv>
  <rv s="8">
    <v>14</v>
    <v>UNH</v>
    <v>Monthly</v>
    <v>43831</v>
    <v>45657</v>
    <v>0</v>
    <v>1</v>
    <v>638693856000000000,638695477437644814,0</v>
    <v>2</v>
    <v>a24xlh</v>
    <v>XNYS:UNH</v>
    <v>42</v>
  </rv>
  <rv s="8">
    <v>14</v>
    <v>MA</v>
    <v>Monthly</v>
    <v>43831</v>
    <v>45657</v>
    <v>0</v>
    <v>1</v>
    <v>638693856000000000,638695477440258896,0</v>
    <v>2</v>
    <v>a1x8w7</v>
    <v>XNYS:MA</v>
    <v>43</v>
  </rv>
  <rv s="8">
    <v>14</v>
    <v>C</v>
    <v>Monthly</v>
    <v>43831</v>
    <v>45657</v>
    <v>0</v>
    <v>1</v>
    <v>638693856000000000,638695477438091649,0</v>
    <v>2</v>
    <v>a1p3ww</v>
    <v>XNYS:C</v>
    <v>44</v>
  </rv>
  <rv s="8">
    <v>14</v>
    <v>T</v>
    <v>Monthly</v>
    <v>43831</v>
    <v>45657</v>
    <v>0</v>
    <v>1</v>
    <v>638693856000000000,638695477438551795,0</v>
    <v>2</v>
    <v>a23www</v>
    <v>XNYS:T</v>
    <v>45</v>
  </rv>
  <rv s="8">
    <v>14</v>
    <v>META</v>
    <v>Monthly</v>
    <v>43831</v>
    <v>45657</v>
    <v>0</v>
    <v>1</v>
    <v>638693856000000000,638695477440223542,0</v>
    <v>2</v>
    <v>a1slm7</v>
    <v>XNAS:META</v>
    <v>46</v>
  </rv>
  <rv s="8">
    <v>14</v>
    <v>a1qe5r</v>
    <v>Daily</v>
    <v>45272</v>
    <v>45637</v>
    <v>0</v>
    <v>1</v>
    <v>638693856000000000,638695385022126681,0</v>
    <v>0</v>
    <v>a1qe5r</v>
    <v/>
    <v>47</v>
  </rv>
  <rv s="8">
    <v>14</v>
    <v>a269ec</v>
    <v>Daily</v>
    <v>45272</v>
    <v>45637</v>
    <v>0</v>
    <v>1</v>
    <v>638693856000000000,638695385022016063,0</v>
    <v>0</v>
    <v>a269ec</v>
    <v/>
    <v>48</v>
  </rv>
  <rv s="8">
    <v>14</v>
    <v>MS</v>
    <v>Monthly</v>
    <v>43831</v>
    <v>45657</v>
    <v>0</v>
    <v>1</v>
    <v>638693856000000000,638695477438063242,0</v>
    <v>2</v>
    <v>a1xyjc</v>
    <v>XNYS:MS</v>
    <v>49</v>
  </rv>
  <rv s="8">
    <v>14</v>
    <v>HD</v>
    <v>Monthly</v>
    <v>43831</v>
    <v>45657</v>
    <v>0</v>
    <v>1</v>
    <v>638693856000000000,638695477438569563,0</v>
    <v>2</v>
    <v>a1uj52</v>
    <v>XNYS:HD</v>
    <v>50</v>
  </rv>
  <rv s="8">
    <v>14</v>
    <v>V</v>
    <v>Monthly</v>
    <v>43831</v>
    <v>45657</v>
    <v>0</v>
    <v>1</v>
    <v>638693856000000000,638695477440117039,0</v>
    <v>2</v>
    <v>a256cw</v>
    <v>XNYS:V</v>
    <v>51</v>
  </rv>
  <rv s="8">
    <v>14</v>
    <v>TGT</v>
    <v>Monthly</v>
    <v>43831</v>
    <v>45657</v>
    <v>0</v>
    <v>1</v>
    <v>638693856000000000,638695477438473848,0</v>
    <v>2</v>
    <v>a246z2</v>
    <v>XNYS:TGT</v>
    <v>52</v>
  </rv>
  <rv s="8">
    <v>14</v>
    <v>PFE</v>
    <v>Monthly</v>
    <v>43831</v>
    <v>45657</v>
    <v>0</v>
    <v>1</v>
    <v>638693856000000000,638695477440144830,0</v>
    <v>2</v>
    <v>a1zqnm</v>
    <v>XNYS:PFE</v>
    <v>53</v>
  </rv>
  <rv s="8">
    <v>14</v>
    <v>PYPL</v>
    <v>Monthly</v>
    <v>43831</v>
    <v>45657</v>
    <v>0</v>
    <v>1</v>
    <v>638693856000000000,638695477437557687,0</v>
    <v>2</v>
    <v>a21icw</v>
    <v>XNAS:PYPL</v>
    <v>54</v>
  </rv>
  <rv s="8">
    <v>14</v>
    <v>a1nhlh</v>
    <v>Daily</v>
    <v>45272</v>
    <v>45637</v>
    <v>0</v>
    <v>1</v>
    <v>638693856000000000,638695385022045371,0</v>
    <v>0</v>
    <v>a1nhlh</v>
    <v/>
    <v>55</v>
  </rv>
  <rv s="8">
    <v>14</v>
    <v>a1zbec</v>
    <v>Daily</v>
    <v>45272</v>
    <v>45637</v>
    <v>0</v>
    <v>1</v>
    <v>638693856000000000,638695385022149203,0</v>
    <v>0</v>
    <v>a1zbec</v>
    <v/>
    <v>56</v>
  </rv>
  <rv s="8">
    <v>14</v>
    <v>SBUX</v>
    <v>Monthly</v>
    <v>43831</v>
    <v>45657</v>
    <v>0</v>
    <v>1</v>
    <v>638693856000000000,638695477438057608,0</v>
    <v>2</v>
    <v>a22k9c</v>
    <v>XNAS:SBUX</v>
    <v>57</v>
  </rv>
  <rv s="8">
    <v>14</v>
    <v>ADBE</v>
    <v>Monthly</v>
    <v>43831</v>
    <v>45657</v>
    <v>0</v>
    <v>1</v>
    <v>638690400000000000,638692792909491635,0</v>
    <v>2</v>
    <v>a1mv7w</v>
    <v>XNAS:ADBE</v>
    <v>58</v>
  </rv>
  <rv s="8">
    <v>14</v>
    <v>NVDA</v>
    <v>Monthly</v>
    <v>43831</v>
    <v>45657</v>
    <v>0</v>
    <v>1</v>
    <v>638693856000000000,638695477437488005,0</v>
    <v>2</v>
    <v>a1yv52</v>
    <v>XNAS:NVDA</v>
    <v>59</v>
  </rv>
  <rv s="8">
    <v>14</v>
    <v>a1u3p2</v>
    <v>Daily</v>
    <v>45272</v>
    <v>45637</v>
    <v>0</v>
    <v>1</v>
    <v>638693856000000000,638695385022355876,0</v>
    <v>0</v>
    <v>a1u3p2</v>
    <v/>
    <v>60</v>
  </rv>
  <rv s="8">
    <v>14</v>
    <v>MCD</v>
    <v>Monthly</v>
    <v>43831</v>
    <v>45657</v>
    <v>0</v>
    <v>1</v>
    <v>638693856000000000,638695477437931795,0</v>
    <v>2</v>
    <v>a1xdec</v>
    <v>XNYS:MCD</v>
    <v>61</v>
  </rv>
  <rv s="8">
    <v>14</v>
    <v>NFLX</v>
    <v>Monthly</v>
    <v>43831</v>
    <v>45657</v>
    <v>0</v>
    <v>1</v>
    <v>638693856000000000,638695477437993725,0</v>
    <v>2</v>
    <v>a1ygoc</v>
    <v>XNAS:NFLX</v>
    <v>62</v>
  </rv>
  <rv s="8">
    <v>14</v>
    <v>VZ</v>
    <v>Monthly</v>
    <v>43831</v>
    <v>45657</v>
    <v>0</v>
    <v>1</v>
    <v>638693856000000000,638695477440049443,0</v>
    <v>2</v>
    <v>a25obh</v>
    <v>XNYS:VZ</v>
    <v>63</v>
  </rv>
  <rv s="8">
    <v>14</v>
    <v>BRK.B</v>
    <v>Monthly</v>
    <v>43831</v>
    <v>45657</v>
    <v>0</v>
    <v>1</v>
    <v>638693856000000000,638695477437954449,0</v>
    <v>2</v>
    <v>a1otrw</v>
    <v>XNYS:BRK.B</v>
    <v>64</v>
  </rv>
  <rv s="8">
    <v>14</v>
    <v>CVX</v>
    <v>Monthly</v>
    <v>43831</v>
    <v>45657</v>
    <v>0</v>
    <v>1</v>
    <v>638693856000000000,638695477437583869,0</v>
    <v>2</v>
    <v>a1qlz2</v>
    <v>XNYS:CVX</v>
    <v>65</v>
  </rv>
  <rv s="8">
    <v>14</v>
    <v>a251gh</v>
    <v>Daily</v>
    <v>45272</v>
    <v>45637</v>
    <v>0</v>
    <v>1</v>
    <v>638693856000000000,638695385021941703,0</v>
    <v>0</v>
    <v>a251gh</v>
    <v/>
    <v>66</v>
  </rv>
  <rv s="8">
    <v>14</v>
    <v>a23i8m</v>
    <v>Daily</v>
    <v>45272</v>
    <v>45637</v>
    <v>0</v>
    <v>1</v>
    <v>638693856000000000,638695385022176847,0</v>
    <v>0</v>
    <v>a23i8m</v>
    <v/>
    <v>67</v>
  </rv>
  <rv s="8">
    <v>14</v>
    <v>SQ</v>
    <v>Monthly</v>
    <v>43831</v>
    <v>45657</v>
    <v>0</v>
    <v>1</v>
    <v>638693856000000000,638695477438501692,0</v>
    <v>2</v>
    <v>a23i8m</v>
    <v>XNYS:SQ</v>
    <v>68</v>
  </rv>
  <rv s="8">
    <v>14</v>
    <v>a22k9c</v>
    <v>Daily</v>
    <v>45272</v>
    <v>45637</v>
    <v>0</v>
    <v>1</v>
    <v>638693856000000000,638695385022081076,0</v>
    <v>0</v>
    <v>a22k9c</v>
    <v/>
    <v>69</v>
  </rv>
  <rv s="8">
    <v>14</v>
    <v>JNJ</v>
    <v>Monthly</v>
    <v>43831</v>
    <v>45657</v>
    <v>0</v>
    <v>1</v>
    <v>638693856000000000,638695477438073924,0</v>
    <v>2</v>
    <v>a1w8ec</v>
    <v>XNYS:JNJ</v>
    <v>70</v>
  </rv>
  <rv s="8">
    <v>14</v>
    <v>a1xyjc</v>
    <v>Daily</v>
    <v>45272</v>
    <v>45637</v>
    <v>0</v>
    <v>1</v>
    <v>638693856000000000,638695385022385754,0</v>
    <v>0</v>
    <v>a1xyjc</v>
    <v/>
    <v>71</v>
  </rv>
  <rv s="8">
    <v>14</v>
    <v>a256cw</v>
    <v>Daily</v>
    <v>45272</v>
    <v>45637</v>
    <v>0</v>
    <v>1</v>
    <v>638693856000000000,638695385021886096,0</v>
    <v>0</v>
    <v>a256cw</v>
    <v/>
    <v>72</v>
  </rv>
  <rv s="8">
    <v>14</v>
    <v>a1waa2</v>
    <v>Daily</v>
    <v>45272</v>
    <v>45637</v>
    <v>0</v>
    <v>1</v>
    <v>638693856000000000,638695385022595468,0</v>
    <v>0</v>
    <v>a1waa2</v>
    <v/>
    <v>73</v>
  </rv>
  <rv s="8">
    <v>14</v>
    <v>a1xzim</v>
    <v>Daily</v>
    <v>45272</v>
    <v>45637</v>
    <v>0</v>
    <v>1</v>
    <v>638693856000000000,638695385021902597,0</v>
    <v>0</v>
    <v>a1xzim</v>
    <v/>
    <v>74</v>
  </rv>
  <rv s="8">
    <v>14</v>
    <v>a1q6k2</v>
    <v>Daily</v>
    <v>45272</v>
    <v>45637</v>
    <v>0</v>
    <v>1</v>
    <v>638693856000000000,638695385022108225,0</v>
    <v>0</v>
    <v>a1q6k2</v>
    <v/>
    <v>75</v>
  </rv>
  <rv s="8">
    <v>14</v>
    <v>a25tgh</v>
    <v>Daily</v>
    <v>45272</v>
    <v>45637</v>
    <v>0</v>
    <v>1</v>
    <v>638693856000000000,638695385021998705,0</v>
    <v>0</v>
    <v>a25tgh</v>
    <v/>
    <v>76</v>
  </rv>
  <rv s="8">
    <v>14</v>
    <v>CSCO</v>
    <v>Monthly</v>
    <v>43831</v>
    <v>45657</v>
    <v>0</v>
    <v>1</v>
    <v>638693856000000000,638695477437669673,0</v>
    <v>2</v>
    <v>a1qe5r</v>
    <v>XNAS:CSCO</v>
    <v>77</v>
  </rv>
  <rv s="8">
    <v>14</v>
    <v>IBM</v>
    <v>Monthly</v>
    <v>43831</v>
    <v>45657</v>
    <v>0</v>
    <v>1</v>
    <v>638693856000000000,638695477437695549,0</v>
    <v>2</v>
    <v>a1v6nm</v>
    <v>XNYS:IBM</v>
    <v>78</v>
  </rv>
  <rv s="8">
    <v>14</v>
    <v>a1o4sm</v>
    <v>Daily</v>
    <v>45272</v>
    <v>45637</v>
    <v>0</v>
    <v>1</v>
    <v>638693856000000000,638695385022495912,0</v>
    <v>0</v>
    <v>a1o4sm</v>
    <v/>
    <v>79</v>
  </rv>
  <rv s="8">
    <v>14</v>
    <v>a1otrw</v>
    <v>Daily</v>
    <v>45272</v>
    <v>45637</v>
    <v>0</v>
    <v>1</v>
    <v>638693856000000000,638695385022474926,0</v>
    <v>0</v>
    <v>a1otrw</v>
    <v/>
    <v>80</v>
  </rv>
  <rv s="8">
    <v>14</v>
    <v>a246z2</v>
    <v>Daily</v>
    <v>45272</v>
    <v>45637</v>
    <v>0</v>
    <v>1</v>
    <v>638693856000000000,638695385021988137,0</v>
    <v>0</v>
    <v>a246z2</v>
    <v/>
    <v>81</v>
  </rv>
  <rv s="8">
    <v>14</v>
    <v>a1p3ww</v>
    <v>Daily</v>
    <v>45272</v>
    <v>45637</v>
    <v>0</v>
    <v>1</v>
    <v>638693856000000000,638695385021941703,0</v>
    <v>0</v>
    <v>a1p3ww</v>
    <v/>
    <v>82</v>
  </rv>
  <rv s="8">
    <v>14</v>
    <v>a25obh</v>
    <v>Daily</v>
    <v>45272</v>
    <v>45637</v>
    <v>0</v>
    <v>1</v>
    <v>638693856000000000,638695385021905874,0</v>
    <v>0</v>
    <v>a25obh</v>
    <v/>
    <v>83</v>
  </rv>
  <rv s="8">
    <v>14</v>
    <v>a1vmf2</v>
    <v>Daily</v>
    <v>45272</v>
    <v>45637</v>
    <v>0</v>
    <v>1</v>
    <v>638693856000000000,638695385021955934,0</v>
    <v>0</v>
    <v>a1vmf2</v>
    <v/>
    <v>84</v>
  </rv>
  <rv s="8">
    <v>14</v>
    <v>a1r2z2</v>
    <v>Daily</v>
    <v>45272</v>
    <v>45637</v>
    <v>0</v>
    <v>1</v>
    <v>638693856000000000,638695385022045941,0</v>
    <v>0</v>
    <v>a1r2z2</v>
    <v/>
    <v>85</v>
  </rv>
  <rv s="8">
    <v>14</v>
    <v>a1yjxm</v>
    <v>Daily</v>
    <v>45272</v>
    <v>45637</v>
    <v>0</v>
    <v>1</v>
    <v>638693856000000000,638695385021963080,0</v>
    <v>0</v>
    <v>a1yjxm</v>
    <v/>
    <v>86</v>
  </rv>
  <rv s="8">
    <v>14</v>
    <v>a1mou2</v>
    <v>Daily</v>
    <v>45272</v>
    <v>45637</v>
    <v>0</v>
    <v>1</v>
    <v>638693856000000000,638695385021829956,0</v>
    <v>0</v>
    <v>a1mou2</v>
    <v/>
    <v>87</v>
  </rv>
  <rv s="8">
    <v>14</v>
    <v>a1zqnm</v>
    <v>Daily</v>
    <v>45272</v>
    <v>45637</v>
    <v>0</v>
    <v>1</v>
    <v>638693856000000000,638695385022520685,0</v>
    <v>0</v>
    <v>a1zqnm</v>
    <v/>
    <v>88</v>
  </rv>
  <rv s="8">
    <v>14</v>
    <v>a1qlz2</v>
    <v>Daily</v>
    <v>45272</v>
    <v>45637</v>
    <v>0</v>
    <v>1</v>
    <v>638693856000000000,638695385021981517,0</v>
    <v>0</v>
    <v>a1qlz2</v>
    <v/>
    <v>89</v>
  </rv>
  <rv s="8">
    <v>14</v>
    <v>a1w8ec</v>
    <v>Daily</v>
    <v>45272</v>
    <v>45637</v>
    <v>0</v>
    <v>1</v>
    <v>638693856000000000,638695385021879244,0</v>
    <v>0</v>
    <v>a1w8ec</v>
    <v/>
    <v>90</v>
  </rv>
  <rv s="8">
    <v>14</v>
    <v>LOW</v>
    <v>Monthly</v>
    <v>43831</v>
    <v>45657</v>
    <v>0</v>
    <v>1</v>
    <v>638693856000000000,638695477438135334,0</v>
    <v>2</v>
    <v>a1x2ur</v>
    <v>XNYS:LOW</v>
    <v>91</v>
  </rv>
  <rv s="8">
    <v>14</v>
    <v>a1u7xm</v>
    <v>Daily</v>
    <v>45272</v>
    <v>45637</v>
    <v>0</v>
    <v>1</v>
    <v>638693856000000000,638695385021858705,0</v>
    <v>0</v>
    <v>a1u7xm</v>
    <v/>
    <v>92</v>
  </rv>
  <rv s="8">
    <v>14</v>
    <v>a1qc1h</v>
    <v>Daily</v>
    <v>45272</v>
    <v>45637</v>
    <v>0</v>
    <v>1</v>
    <v>638693856000000000,638695385022012922,0</v>
    <v>0</v>
    <v>a1qc1h</v>
    <v/>
    <v>93</v>
  </rv>
  <rv s="8">
    <v>14</v>
    <v>a1x8w7</v>
    <v>Daily</v>
    <v>45272</v>
    <v>45637</v>
    <v>0</v>
    <v>1</v>
    <v>638693856000000000,638695385021999853,0</v>
    <v>0</v>
    <v>a1x8w7</v>
    <v/>
    <v>94</v>
  </rv>
  <rv s="8">
    <v>14</v>
    <v>a1ygoc</v>
    <v>Daily</v>
    <v>45272</v>
    <v>45637</v>
    <v>0</v>
    <v>1</v>
    <v>638693856000000000,638695385022035415,0</v>
    <v>0</v>
    <v>a1ygoc</v>
    <v/>
    <v>95</v>
  </rv>
  <rv s="8">
    <v>14</v>
    <v>a1o4ec</v>
    <v>Daily</v>
    <v>45272</v>
    <v>45637</v>
    <v>0</v>
    <v>1</v>
    <v>638693856000000000,638695385022021817,0</v>
    <v>0</v>
    <v>a1o4ec</v>
    <v/>
    <v>96</v>
  </rv>
</rvData>
</file>

<file path=xl/richData/rdrichvaluestructure.xml><?xml version="1.0" encoding="utf-8"?>
<rvStructures xmlns="http://schemas.microsoft.com/office/spreadsheetml/2017/richdata" count="9">
  <s t="_hyperlink">
    <k n="Address" t="s"/>
    <k n="Text" t="s"/>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3">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spbArrays>
  <spbData count="15">
    <spb s="0">
      <v>0</v>
      <v>Name</v>
      <v>LearnMoreOnLink</v>
    </spb>
    <spb s="1">
      <v>0</v>
      <v>0</v>
    </spb>
    <spb s="2">
      <v>0</v>
      <v>0</v>
      <v>0</v>
    </spb>
    <spb s="3">
      <v>1</v>
      <v>2</v>
      <v>2</v>
      <v>2</v>
      <v>2</v>
    </spb>
    <spb s="4">
      <v>1</v>
      <v>2</v>
      <v>2</v>
      <v>1</v>
      <v>3</v>
      <v>1</v>
      <v>4</v>
      <v>1</v>
      <v>1</v>
      <v>5</v>
      <v>5</v>
      <v>6</v>
      <v>7</v>
      <v>1</v>
      <v>1</v>
      <v>1</v>
      <v>5</v>
      <v>8</v>
      <v>9</v>
      <v>10</v>
      <v>5</v>
    </spb>
    <spb s="5">
      <v>Real-Time Nasdaq Last Sale</v>
      <v>from previous close</v>
      <v>from previous close</v>
      <v>Source: Nasdaq Last Sale</v>
      <v>GMT</v>
    </spb>
    <spb s="6">
      <v>Powered by Refinitiv</v>
    </spb>
    <spb s="0">
      <v>1</v>
      <v>Name</v>
      <v>LearnMoreOnLink</v>
    </spb>
    <spb s="7">
      <v>2</v>
      <v>2</v>
      <v>2</v>
      <v>2</v>
    </spb>
    <spb s="8">
      <v>1</v>
      <v>2</v>
      <v>2</v>
      <v>1</v>
      <v>3</v>
      <v>1</v>
      <v>1</v>
      <v>1</v>
      <v>5</v>
      <v>5</v>
      <v>6</v>
      <v>7</v>
      <v>1</v>
      <v>1</v>
      <v>1</v>
      <v>5</v>
      <v>8</v>
      <v>9</v>
      <v>10</v>
      <v>5</v>
    </spb>
    <spb s="0">
      <v>2</v>
      <v>Name</v>
      <v>LearnMoreOnLink</v>
    </spb>
    <spb s="9">
      <v>1</v>
      <v>2</v>
      <v>1</v>
      <v>3</v>
      <v>1</v>
      <v>1</v>
      <v>1</v>
      <v>5</v>
      <v>5</v>
      <v>6</v>
      <v>7</v>
      <v>1</v>
      <v>1</v>
      <v>1</v>
      <v>5</v>
      <v>8</v>
      <v>9</v>
      <v>10</v>
      <v>5</v>
    </spb>
    <spb s="10">
      <v>11</v>
    </spb>
    <spb s="10">
      <v>1</v>
    </spb>
    <spb s="11">
      <v>11</v>
      <v>1</v>
    </spb>
  </spbData>
</supportingPropertyBags>
</file>

<file path=xl/richData/rdsupportingpropertybagstructure.xml><?xml version="1.0" encoding="utf-8"?>
<spbStructures xmlns="http://schemas.microsoft.com/office/spreadsheetml/2017/richdata2" count="12">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9" formatCode="m/d/yy"/>
    </x:dxf>
    <x:dxf>
      <x:numFmt numFmtId="0" formatCode="General"/>
    </x:dxf>
    <x:dxf>
      <x:numFmt numFmtId="4" formatCode="#,##0.00"/>
    </x:dxf>
    <x:dxf>
      <x:numFmt numFmtId="3" formatCode="#,##0"/>
    </x:dxf>
    <x:dxf>
      <x:numFmt numFmtId="14" formatCode="0.00%"/>
    </x:dxf>
    <x:dxf>
      <x:numFmt numFmtId="27" formatCode="m/d/yy\ hh:mm"/>
    </x:dxf>
    <x:dxf>
      <x:numFmt numFmtId="1" formatCode="0"/>
    </x:dxf>
    <x:dxf>
      <x:numFmt numFmtId="2" formatCode="0.00"/>
    </x:dxf>
  </dxfs>
  <richProperties>
    <rPr n="NumberFormat" t="s"/>
    <rPr n="IsTitleField" t="b"/>
    <rPr n="IsHeroField" t="b"/>
  </richProperties>
  <richStyles>
    <rSty dxfid="1">
      <rpv i="0">_([$$-en-US]* #,##0.00_);_([$$-en-US]* (#,##0.00);_([$$-en-US]* "-"??_);_(@_)</rpv>
    </rSty>
    <rSty dxfid="2">
      <rpv i="0">#,##0.00</rpv>
    </rSty>
    <rSty>
      <rpv i="1">1</rpv>
    </rSty>
    <rSty>
      <rpv i="2">1</rpv>
    </rSty>
    <rSty dxfid="3">
      <rpv i="0">#,##0</rpv>
    </rSty>
    <rSty dxfid="4"/>
    <rSty dxfid="1">
      <rpv i="0">_([$$-en-US]* #,##0_);_([$$-en-US]* (#,##0);_([$$-en-US]* "-"_);_(@_)</rpv>
    </rSty>
    <rSty dxfid="5"/>
    <rSty dxfid="6">
      <rpv i="0">0</rpv>
    </rSty>
    <rSty dxfid="7">
      <rpv i="0">0.00</rpv>
    </rSty>
    <rSty dxfid="0"/>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6FC02B-3B34-3C40-8261-98E41D71B452}" name="Table3" displayName="Table3" ref="A3:F51" totalsRowShown="0" headerRowDxfId="8">
  <autoFilter ref="A3:F51" xr:uid="{5AC8D490-A419-7442-B629-A556EF2BEB7B}"/>
  <sortState xmlns:xlrd2="http://schemas.microsoft.com/office/spreadsheetml/2017/richdata2" ref="A4:F51">
    <sortCondition ref="A3:A51"/>
  </sortState>
  <tableColumns count="6">
    <tableColumn id="1" xr3:uid="{3468246C-C1BB-074C-9963-537622498C0F}" name="Stock Name " dataDxfId="7" dataCellStyle="Percent"/>
    <tableColumn id="2" xr3:uid="{25C7A3DB-D192-3F48-B4D6-40A5F8E73F6C}" name="Industry ">
      <calculatedColumnFormula array="1">_FV(A4,"Industry")</calculatedColumnFormula>
    </tableColumn>
    <tableColumn id="3" xr3:uid="{4C9D9B7C-CD19-6C4F-B27C-E5887ACB71B7}" name="Current Price " dataDxfId="6">
      <calculatedColumnFormula array="1">_FV(A4,"Price")</calculatedColumnFormula>
    </tableColumn>
    <tableColumn id="4" xr3:uid="{24D8118B-E754-3048-9D4C-DC23F859CFC8}" name="Market Value " dataDxfId="5">
      <calculatedColumnFormula array="1">_FV(A4,"Market cap",TRUE)</calculatedColumnFormula>
    </tableColumn>
    <tableColumn id="5" xr3:uid="{980B8C4E-1E12-6349-8143-0E7485EF3862}" name="Todays Change " dataDxfId="4" dataCellStyle="Percent">
      <calculatedColumnFormula array="1">_FV(A4,"Change (%)",TRUE)</calculatedColumnFormula>
    </tableColumn>
    <tableColumn id="6" xr3:uid="{ABFE3D84-0EDC-AC4C-A525-7525A1D91BE2}" name="Price over the 12 months" dataDxfId="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1783B3-D7B6-45B1-9578-AD0FB166DD95}" name="Table1" displayName="Table1" ref="A1:B1048576" totalsRowShown="0" headerRowDxfId="2" headerRowBorderDxfId="1" tableBorderDxfId="0">
  <autoFilter ref="A1:B1048576" xr:uid="{F51783B3-D7B6-45B1-9578-AD0FB166DD95}"/>
  <tableColumns count="2">
    <tableColumn id="1" xr3:uid="{AE69B90F-F74F-4B34-BB8A-4060ADF7EDC5}" name="Stock Name"/>
    <tableColumn id="2" xr3:uid="{A409E433-1ECF-4DAB-A315-91FE3A256F32}" name="Expected Return (%)"/>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5C4F5-5804-5F4A-9443-611ACFD97101}">
  <dimension ref="A1:G77"/>
  <sheetViews>
    <sheetView showGridLines="0" zoomScaleNormal="86" workbookViewId="0">
      <selection sqref="A1:XFD1048576"/>
    </sheetView>
  </sheetViews>
  <sheetFormatPr baseColWidth="10" defaultColWidth="11.5" defaultRowHeight="15" outlineLevelRow="1"/>
  <cols>
    <col min="1" max="1" width="60.33203125" customWidth="1"/>
    <col min="2" max="2" width="28.6640625" customWidth="1"/>
    <col min="3" max="3" width="24.6640625" style="8" customWidth="1"/>
    <col min="4" max="5" width="28.6640625" customWidth="1"/>
    <col min="6" max="6" width="37.6640625" customWidth="1"/>
    <col min="7" max="7" width="14.1640625" customWidth="1"/>
  </cols>
  <sheetData>
    <row r="1" spans="1:7" ht="40">
      <c r="A1" s="31" t="s">
        <v>77</v>
      </c>
      <c r="B1" s="27"/>
      <c r="C1" s="30"/>
      <c r="D1" s="29" t="s">
        <v>76</v>
      </c>
      <c r="E1" s="28"/>
      <c r="F1" s="27"/>
      <c r="G1" s="26"/>
    </row>
    <row r="2" spans="1:7">
      <c r="A2" s="22"/>
      <c r="B2" s="22"/>
      <c r="C2" s="25"/>
      <c r="D2" s="24">
        <f ca="1">SUM(Table3[[Market Value ]])</f>
        <v>30995601258940</v>
      </c>
      <c r="E2" s="23"/>
      <c r="F2" s="22"/>
    </row>
    <row r="3" spans="1:7">
      <c r="A3" s="21" t="s">
        <v>75</v>
      </c>
      <c r="B3" s="21" t="s">
        <v>71</v>
      </c>
      <c r="C3" s="8" t="s">
        <v>74</v>
      </c>
      <c r="D3" s="21" t="s">
        <v>70</v>
      </c>
      <c r="E3" s="21" t="s">
        <v>73</v>
      </c>
      <c r="F3" s="21" t="s">
        <v>72</v>
      </c>
    </row>
    <row r="4" spans="1:7">
      <c r="A4" s="20" t="e" vm="1">
        <v>#VALUE!</v>
      </c>
      <c r="B4" t="str" cm="1">
        <f t="array" aca="1" ref="B4" ca="1">_FV(A4,"Industry")</f>
        <v>Software &amp; IT Services</v>
      </c>
      <c r="C4" s="19" cm="1">
        <f t="array" aca="1" ref="C4" ca="1">_FV(A4,"Price")</f>
        <v>549.54</v>
      </c>
      <c r="D4" s="18" cm="1">
        <f t="array" aca="1" ref="D4" ca="1">_FV(A4,"Market cap",TRUE)</f>
        <v>241907507999</v>
      </c>
      <c r="E4" s="17" cm="1">
        <f t="array" aca="1" ref="E4" ca="1">_FV(A4,"Change (%)",TRUE)</f>
        <v>4.5519999999999996E-3</v>
      </c>
      <c r="F4" s="11"/>
    </row>
    <row r="5" spans="1:7">
      <c r="A5" s="20" t="e" vm="2">
        <v>#VALUE!</v>
      </c>
      <c r="B5" t="str" cm="1">
        <f t="array" aca="1" ref="B5" ca="1">_FV(A5,"Industry")</f>
        <v>Semiconductors &amp; Semiconductor Equipment</v>
      </c>
      <c r="C5" s="19" cm="1">
        <f t="array" aca="1" ref="C5" ca="1">_FV(A5,"Price")</f>
        <v>130.13</v>
      </c>
      <c r="D5" s="18" cm="1">
        <f t="array" aca="1" ref="D5" ca="1">_FV(A5,"Market cap",TRUE)</f>
        <v>211175874910</v>
      </c>
      <c r="E5" s="17" cm="1">
        <f t="array" aca="1" ref="E5" ca="1">_FV(A5,"Change (%)",TRUE)</f>
        <v>1.8710000000000001E-2</v>
      </c>
      <c r="F5" s="11"/>
    </row>
    <row r="6" spans="1:7">
      <c r="A6" t="e" vm="3">
        <v>#VALUE!</v>
      </c>
      <c r="B6" t="str" cm="1">
        <f t="array" aca="1" ref="B6" ca="1">_FV(A6,"Industry")</f>
        <v>Software &amp; IT Services</v>
      </c>
      <c r="C6" s="19" cm="1">
        <f t="array" aca="1" ref="C6" ca="1">_FV(A6,"Price")</f>
        <v>196.72499999999999</v>
      </c>
      <c r="D6" s="18" cm="1">
        <f t="array" aca="1" ref="D6" ca="1">_FV(A6,"Market cap",TRUE)</f>
        <v>2274192000000</v>
      </c>
      <c r="E6" s="17" cm="1">
        <f t="array" aca="1" ref="E6" ca="1">_FV(A6,"Change (%)",TRUE)</f>
        <v>5.4656000000000003E-2</v>
      </c>
      <c r="F6" s="11"/>
    </row>
    <row r="7" spans="1:7">
      <c r="A7" s="20" t="e" vm="4">
        <v>#VALUE!</v>
      </c>
      <c r="B7" t="str" cm="1">
        <f t="array" aca="1" ref="B7" ca="1">_FV(A7,"Industry")</f>
        <v>Software &amp; IT Services</v>
      </c>
      <c r="C7" s="19" cm="1">
        <f t="array" aca="1" ref="C7" ca="1">_FV(A7,"Price")</f>
        <v>195.45249999999999</v>
      </c>
      <c r="D7" s="18" cm="1">
        <f t="array" aca="1" ref="D7" ca="1">_FV(A7,"Market cap",TRUE)</f>
        <v>2274192000000</v>
      </c>
      <c r="E7" s="17" cm="1">
        <f t="array" aca="1" ref="E7" ca="1">_FV(A7,"Change (%)",TRUE)</f>
        <v>5.5529999999999996E-2</v>
      </c>
      <c r="F7" s="11"/>
    </row>
    <row r="8" spans="1:7">
      <c r="A8" t="e" vm="5">
        <v>#VALUE!</v>
      </c>
      <c r="B8" t="str" cm="1">
        <f t="array" aca="1" ref="B8" ca="1">_FV(A8,"Industry")</f>
        <v>Diversified Retail</v>
      </c>
      <c r="C8" s="19" cm="1">
        <f t="array" aca="1" ref="C8" ca="1">_FV(A8,"Price")</f>
        <v>230.095</v>
      </c>
      <c r="D8" s="18" cm="1">
        <f t="array" aca="1" ref="D8" ca="1">_FV(A8,"Market cap",TRUE)</f>
        <v>2419451225950</v>
      </c>
      <c r="E8" s="17" cm="1">
        <f t="array" aca="1" ref="E8" ca="1">_FV(A8,"Change (%)",TRUE)</f>
        <v>2.2463E-2</v>
      </c>
      <c r="F8" s="11"/>
    </row>
    <row r="9" spans="1:7">
      <c r="A9" t="e" vm="6">
        <v>#VALUE!</v>
      </c>
      <c r="B9" t="str" cm="1">
        <f t="array" aca="1" ref="B9" ca="1">_FV(A9,"Industry")</f>
        <v>Computers, Phones &amp; Household Electronics</v>
      </c>
      <c r="C9" s="19" cm="1">
        <f t="array" aca="1" ref="C9" ca="1">_FV(A9,"Price")</f>
        <v>246.49</v>
      </c>
      <c r="D9" s="18" cm="1">
        <f t="array" aca="1" ref="D9" ca="1">_FV(A9,"Market cap",TRUE)</f>
        <v>3725898471800</v>
      </c>
      <c r="E9" s="17" cm="1">
        <f t="array" aca="1" ref="E9" ca="1">_FV(A9,"Change (%)",TRUE)</f>
        <v>-5.1659999999999996E-3</v>
      </c>
      <c r="F9" s="11"/>
    </row>
    <row r="10" spans="1:7">
      <c r="A10" s="20" t="e" vm="7">
        <v>#VALUE!</v>
      </c>
      <c r="B10" t="str" cm="1">
        <f t="array" aca="1" ref="B10" ca="1">_FV(A10,"Industry")</f>
        <v>Telecommunications Services</v>
      </c>
      <c r="C10" s="19" cm="1">
        <f t="array" aca="1" ref="C10" ca="1">_FV(A10,"Price")</f>
        <v>23.49</v>
      </c>
      <c r="D10" s="18" cm="1">
        <f t="array" aca="1" ref="D10" ca="1">_FV(A10,"Market cap",TRUE)</f>
        <v>168547538610</v>
      </c>
      <c r="E10" s="17" cm="1">
        <f t="array" aca="1" ref="E10" ca="1">_FV(A10,"Change (%)",TRUE)</f>
        <v>-8.5070000000000002E-4</v>
      </c>
      <c r="F10" s="11"/>
    </row>
    <row r="11" spans="1:7">
      <c r="A11" s="20" t="e" vm="8">
        <v>#VALUE!</v>
      </c>
      <c r="B11" t="str" cm="1">
        <f t="array" aca="1" ref="B11" ca="1">_FV(A11,"Industry")</f>
        <v>Banking Services</v>
      </c>
      <c r="C11" s="19" cm="1">
        <f t="array" aca="1" ref="C11" ca="1">_FV(A11,"Price")</f>
        <v>45.99</v>
      </c>
      <c r="D11" s="18" cm="1">
        <f t="array" aca="1" ref="D11" ca="1">_FV(A11,"Market cap",TRUE)</f>
        <v>352875705210</v>
      </c>
      <c r="E11" s="17" cm="1">
        <f t="array" aca="1" ref="E11" ca="1">_FV(A11,"Change (%)",TRUE)</f>
        <v>5.2459999999999998E-3</v>
      </c>
      <c r="F11" s="11"/>
    </row>
    <row r="12" spans="1:7">
      <c r="A12" s="20" t="e" vm="9">
        <v>#VALUE!</v>
      </c>
      <c r="B12" t="str" cm="1">
        <f t="array" aca="1" ref="B12" ca="1">_FV(A12,"Industry")</f>
        <v>Consumer Goods Conglomerates</v>
      </c>
      <c r="C12" s="19" cm="1">
        <f t="array" aca="1" ref="C12" ca="1">_FV(A12,"Price")</f>
        <v>461.56</v>
      </c>
      <c r="D12" s="18" cm="1">
        <f t="array" aca="1" ref="D12" ca="1">_FV(A12,"Market cap",TRUE)</f>
        <v>997807500000</v>
      </c>
      <c r="E12" s="17" cm="1">
        <f t="array" aca="1" ref="E12" ca="1">_FV(A12,"Change (%)",TRUE)</f>
        <v>-2.0110000000000002E-3</v>
      </c>
      <c r="F12" s="11"/>
    </row>
    <row r="13" spans="1:7">
      <c r="A13" s="20" t="e" vm="10">
        <v>#VALUE!</v>
      </c>
      <c r="B13" t="str" cm="1">
        <f t="array" aca="1" ref="B13" ca="1">_FV(A13,"Industry")</f>
        <v>Professional &amp; Commercial Services</v>
      </c>
      <c r="C13" s="19" cm="1">
        <f t="array" aca="1" ref="C13" ca="1">_FV(A13,"Price")</f>
        <v>98.32</v>
      </c>
      <c r="D13" s="18" cm="1">
        <f t="array" aca="1" ref="D13" ca="1">_FV(A13,"Market cap",TRUE)</f>
        <v>60940112479</v>
      </c>
      <c r="E13" s="17" cm="1">
        <f t="array" aca="1" ref="E13" ca="1">_FV(A13,"Change (%)",TRUE)</f>
        <v>4.5513000000000005E-2</v>
      </c>
      <c r="F13" s="11"/>
    </row>
    <row r="14" spans="1:7">
      <c r="A14" s="20" t="e" vm="11">
        <v>#VALUE!</v>
      </c>
      <c r="B14" t="str" cm="1">
        <f t="array" aca="1" ref="B14" ca="1">_FV(A14,"Industry")</f>
        <v>Oil &amp; Gas</v>
      </c>
      <c r="C14" s="19" cm="1">
        <f t="array" aca="1" ref="C14" ca="1">_FV(A14,"Price")</f>
        <v>156.29</v>
      </c>
      <c r="D14" s="18" cm="1">
        <f t="array" aca="1" ref="D14" ca="1">_FV(A14,"Market cap",TRUE)</f>
        <v>280867352390</v>
      </c>
      <c r="E14" s="17" cm="1">
        <f t="array" aca="1" ref="E14" ca="1">_FV(A14,"Change (%)",TRUE)</f>
        <v>-4.522E-3</v>
      </c>
      <c r="F14" s="11"/>
    </row>
    <row r="15" spans="1:7">
      <c r="A15" s="20" t="e" vm="12">
        <v>#VALUE!</v>
      </c>
      <c r="B15" t="str" cm="1">
        <f t="array" aca="1" ref="B15" ca="1">_FV(A15,"Industry")</f>
        <v>Communications &amp; Networking</v>
      </c>
      <c r="C15" s="19" cm="1">
        <f t="array" aca="1" ref="C15" ca="1">_FV(A15,"Price")</f>
        <v>58.52</v>
      </c>
      <c r="D15" s="18" cm="1">
        <f t="array" aca="1" ref="D15" ca="1">_FV(A15,"Market cap",TRUE)</f>
        <v>233070998160</v>
      </c>
      <c r="E15" s="17" cm="1">
        <f t="array" aca="1" ref="E15" ca="1">_FV(A15,"Change (%)",TRUE)</f>
        <v>-3.4060000000000002E-3</v>
      </c>
      <c r="F15" s="11"/>
    </row>
    <row r="16" spans="1:7">
      <c r="A16" s="20" t="e" vm="13">
        <v>#VALUE!</v>
      </c>
      <c r="B16" t="str" cm="1">
        <f t="array" aca="1" ref="B16" ca="1">_FV(A16,"Industry")</f>
        <v>Investment Banking &amp; Investment Services</v>
      </c>
      <c r="C16" s="19" cm="1">
        <f t="array" aca="1" ref="C16" ca="1">_FV(A16,"Price")</f>
        <v>71.739999999999995</v>
      </c>
      <c r="D16" s="18" cm="1">
        <f t="array" aca="1" ref="D16" ca="1">_FV(A16,"Market cap",TRUE)</f>
        <v>135679351099</v>
      </c>
      <c r="E16" s="17" cm="1">
        <f t="array" aca="1" ref="E16" ca="1">_FV(A16,"Change (%)",TRUE)</f>
        <v>-1.0482999999999999E-2</v>
      </c>
      <c r="F16" s="11"/>
    </row>
    <row r="17" spans="1:6">
      <c r="A17" s="20" t="e" vm="14">
        <v>#VALUE!</v>
      </c>
      <c r="B17" t="str" cm="1">
        <f t="array" aca="1" ref="B17" ca="1">_FV(A17,"Industry")</f>
        <v>Diversified Retail</v>
      </c>
      <c r="C17" s="19" cm="1">
        <f t="array" aca="1" ref="C17" ca="1">_FV(A17,"Price")</f>
        <v>994.11</v>
      </c>
      <c r="D17" s="18" cm="1">
        <f t="array" aca="1" ref="D17" ca="1">_FV(A17,"Market cap",TRUE)</f>
        <v>440463797085</v>
      </c>
      <c r="E17" s="17" cm="1">
        <f t="array" aca="1" ref="E17" ca="1">_FV(A17,"Change (%)",TRUE)</f>
        <v>7.1470000000000008E-4</v>
      </c>
      <c r="F17" s="11"/>
    </row>
    <row r="18" spans="1:6">
      <c r="A18" s="20" t="e" vm="15">
        <v>#VALUE!</v>
      </c>
      <c r="B18" t="str" cm="1">
        <f t="array" aca="1" ref="B18" ca="1">_FV(A18,"Industry")</f>
        <v>Oil &amp; Gas</v>
      </c>
      <c r="C18" s="19" cm="1">
        <f t="array" aca="1" ref="C18" ca="1">_FV(A18,"Price")</f>
        <v>111.68</v>
      </c>
      <c r="D18" s="18" cm="1">
        <f t="array" aca="1" ref="D18" ca="1">_FV(A18,"Market cap",TRUE)</f>
        <v>490844209600</v>
      </c>
      <c r="E18" s="17" cm="1">
        <f t="array" aca="1" ref="E18" ca="1">_FV(A18,"Change (%)",TRUE)</f>
        <v>-8.7869999999999997E-3</v>
      </c>
      <c r="F18" s="11"/>
    </row>
    <row r="19" spans="1:6">
      <c r="A19" s="20" t="e" vm="16">
        <v>#VALUE!</v>
      </c>
      <c r="B19" t="str" cm="1">
        <f t="array" aca="1" ref="B19" ca="1">_FV(A19,"Industry")</f>
        <v>Semiconductors &amp; Semiconductor Equipment</v>
      </c>
      <c r="C19" s="19" cm="1">
        <f t="array" aca="1" ref="C19" ca="1">_FV(A19,"Price")</f>
        <v>20.100000000000001</v>
      </c>
      <c r="D19" s="18" cm="1">
        <f t="array" aca="1" ref="D19" ca="1">_FV(A19,"Market cap",TRUE)</f>
        <v>86691300000</v>
      </c>
      <c r="E19" s="17" cm="1">
        <f t="array" aca="1" ref="E19" ca="1">_FV(A19,"Change (%)",TRUE)</f>
        <v>-2.9759999999999999E-3</v>
      </c>
      <c r="F19" s="11"/>
    </row>
    <row r="20" spans="1:6" outlineLevel="1">
      <c r="A20" s="20" t="e" vm="17">
        <v>#VALUE!</v>
      </c>
      <c r="B20" t="str" cm="1">
        <f t="array" aca="1" ref="B20" ca="1">_FV(A20,"Industry")</f>
        <v>Software &amp; IT Services</v>
      </c>
      <c r="C20" s="19" cm="1">
        <f t="array" aca="1" ref="C20" ca="1">_FV(A20,"Price")</f>
        <v>230.17</v>
      </c>
      <c r="D20" s="18" cm="1">
        <f t="array" aca="1" ref="D20" ca="1">_FV(A20,"Market cap",TRUE)</f>
        <v>212825562667</v>
      </c>
      <c r="E20" s="17" cm="1">
        <f t="array" aca="1" ref="E20" ca="1">_FV(A20,"Change (%)",TRUE)</f>
        <v>-6.6890000000000005E-3</v>
      </c>
      <c r="F20" s="11"/>
    </row>
    <row r="21" spans="1:6" outlineLevel="1">
      <c r="A21" s="20" t="e" vm="18">
        <v>#VALUE!</v>
      </c>
      <c r="B21" t="str" cm="1">
        <f t="array" aca="1" ref="B21" ca="1">_FV(A21,"Industry")</f>
        <v>Pharmaceuticals</v>
      </c>
      <c r="C21" s="19" cm="1">
        <f t="array" aca="1" ref="C21" ca="1">_FV(A21,"Price")</f>
        <v>146.69999999999999</v>
      </c>
      <c r="D21" s="18" cm="1">
        <f t="array" aca="1" ref="D21" ca="1">_FV(A21,"Market cap",TRUE)</f>
        <v>353198294100</v>
      </c>
      <c r="E21" s="17" cm="1">
        <f t="array" aca="1" ref="E21" ca="1">_FV(A21,"Change (%)",TRUE)</f>
        <v>-1.6954E-2</v>
      </c>
      <c r="F21" s="11"/>
    </row>
    <row r="22" spans="1:6" outlineLevel="1">
      <c r="A22" s="20" t="e" vm="19">
        <v>#VALUE!</v>
      </c>
      <c r="B22" t="str" cm="1">
        <f t="array" aca="1" ref="B22" ca="1">_FV(A22,"Industry")</f>
        <v>Banking Services</v>
      </c>
      <c r="C22" s="19" cm="1">
        <f t="array" aca="1" ref="C22" ca="1">_FV(A22,"Price")</f>
        <v>243.71</v>
      </c>
      <c r="D22" s="18" cm="1">
        <f t="array" aca="1" ref="D22" ca="1">_FV(A22,"Market cap",TRUE)</f>
        <v>686126511400</v>
      </c>
      <c r="E22" s="17" cm="1">
        <f t="array" aca="1" ref="E22" ca="1">_FV(A22,"Change (%)",TRUE)</f>
        <v>3.4999999999999996E-3</v>
      </c>
      <c r="F22" s="11"/>
    </row>
    <row r="23" spans="1:6" outlineLevel="1">
      <c r="A23" s="20" t="e" vm="20">
        <v>#VALUE!</v>
      </c>
      <c r="B23" t="str" cm="1">
        <f t="array" aca="1" ref="B23" ca="1">_FV(A23,"Industry")</f>
        <v>Specialty Retailers</v>
      </c>
      <c r="C23" s="19" cm="1">
        <f t="array" aca="1" ref="C23" ca="1">_FV(A23,"Price")</f>
        <v>267.48500000000001</v>
      </c>
      <c r="D23" s="18" cm="1">
        <f t="array" aca="1" ref="D23" ca="1">_FV(A23,"Market cap",TRUE)</f>
        <v>151035405250</v>
      </c>
      <c r="E23" s="17" cm="1">
        <f t="array" aca="1" ref="E23" ca="1">_FV(A23,"Change (%)",TRUE)</f>
        <v>-9.7179999999999992E-3</v>
      </c>
      <c r="F23" s="11"/>
    </row>
    <row r="24" spans="1:6" outlineLevel="1">
      <c r="A24" s="20" t="e" vm="21">
        <v>#VALUE!</v>
      </c>
      <c r="B24" t="str" cm="1">
        <f t="array" aca="1" ref="B24" ca="1">_FV(A24,"Industry")</f>
        <v>Software &amp; IT Services</v>
      </c>
      <c r="C24" s="19" cm="1">
        <f t="array" aca="1" ref="C24" ca="1">_FV(A24,"Price")</f>
        <v>534.12</v>
      </c>
      <c r="D24" s="18" cm="1">
        <f t="array" aca="1" ref="D24" ca="1">_FV(A24,"Market cap",TRUE)</f>
        <v>490231947132</v>
      </c>
      <c r="E24" s="17" cm="1">
        <f t="array" aca="1" ref="E24" ca="1">_FV(A24,"Change (%)",TRUE)</f>
        <v>9.6600000000000002E-3</v>
      </c>
      <c r="F24" s="11"/>
    </row>
    <row r="25" spans="1:6" outlineLevel="1">
      <c r="A25" s="20" t="e" vm="22">
        <v>#VALUE!</v>
      </c>
      <c r="B25" t="str" cm="1">
        <f t="array" aca="1" ref="B25" ca="1">_FV(A25,"Industry")</f>
        <v>Hotels &amp; Entertainment Services</v>
      </c>
      <c r="C25" s="19" cm="1">
        <f t="array" aca="1" ref="C25" ca="1">_FV(A25,"Price")</f>
        <v>296.339</v>
      </c>
      <c r="D25" s="18" cm="1">
        <f t="array" aca="1" ref="D25" ca="1">_FV(A25,"Market cap",TRUE)</f>
        <v>212362365278</v>
      </c>
      <c r="E25" s="17" cm="1">
        <f t="array" aca="1" ref="E25" ca="1">_FV(A25,"Change (%)",TRUE)</f>
        <v>-1.4536E-2</v>
      </c>
      <c r="F25" s="11"/>
    </row>
    <row r="26" spans="1:6" outlineLevel="1">
      <c r="A26" s="20" t="e" vm="23">
        <v>#VALUE!</v>
      </c>
      <c r="B26" t="str" cm="1">
        <f t="array" aca="1" ref="B26" ca="1">_FV(A26,"Industry")</f>
        <v>Software &amp; IT Services</v>
      </c>
      <c r="C26" s="19" cm="1">
        <f t="array" aca="1" ref="C26" ca="1">_FV(A26,"Price")</f>
        <v>632.90660000000003</v>
      </c>
      <c r="D26" s="18" cm="1">
        <f t="array" aca="1" ref="D26" ca="1">_FV(A26,"Market cap",TRUE)</f>
        <v>1597765749727</v>
      </c>
      <c r="E26" s="17" cm="1">
        <f t="array" aca="1" ref="E26" ca="1">_FV(A26,"Change (%)",TRUE)</f>
        <v>2.1937999999999999E-2</v>
      </c>
      <c r="F26" s="11"/>
    </row>
    <row r="27" spans="1:6" outlineLevel="1">
      <c r="A27" t="e" vm="24">
        <v>#VALUE!</v>
      </c>
      <c r="B27" t="str" cm="1">
        <f t="array" aca="1" ref="B27" ca="1">_FV(A27,"Industry")</f>
        <v>Software &amp; IT Services</v>
      </c>
      <c r="C27" s="19" cm="1">
        <f t="array" aca="1" ref="C27" ca="1">_FV(A27,"Price")</f>
        <v>448.95</v>
      </c>
      <c r="D27" s="18" cm="1">
        <f t="array" aca="1" ref="D27" ca="1">_FV(A27,"Market cap",TRUE)</f>
        <v>3337889824950</v>
      </c>
      <c r="E27" s="17" cm="1">
        <f t="array" aca="1" ref="E27" ca="1">_FV(A27,"Change (%)",TRUE)</f>
        <v>1.2677000000000001E-2</v>
      </c>
      <c r="F27" s="11"/>
    </row>
    <row r="28" spans="1:6" outlineLevel="1">
      <c r="A28" s="20" t="e" vm="25">
        <v>#VALUE!</v>
      </c>
      <c r="B28" t="str" cm="1">
        <f t="array" aca="1" ref="B28" ca="1">_FV(A28,"Industry")</f>
        <v>Investment Banking &amp; Investment Services</v>
      </c>
      <c r="C28" s="19" cm="1">
        <f t="array" aca="1" ref="C28" ca="1">_FV(A28,"Price")</f>
        <v>127.65</v>
      </c>
      <c r="D28" s="18" cm="1">
        <f t="array" aca="1" ref="D28" ca="1">_FV(A28,"Market cap",TRUE)</f>
        <v>205648745400</v>
      </c>
      <c r="E28" s="17" cm="1">
        <f t="array" aca="1" ref="E28" ca="1">_FV(A28,"Change (%)",TRUE)</f>
        <v>6.783E-3</v>
      </c>
      <c r="F28" s="11"/>
    </row>
    <row r="29" spans="1:6" outlineLevel="1">
      <c r="A29" s="20" t="e" vm="26">
        <v>#VALUE!</v>
      </c>
      <c r="B29" t="str" cm="1">
        <f t="array" aca="1" ref="B29" ca="1">_FV(A29,"Industry")</f>
        <v>Software &amp; IT Services</v>
      </c>
      <c r="C29" s="19" cm="1">
        <f t="array" aca="1" ref="C29" ca="1">_FV(A29,"Price")</f>
        <v>937.22</v>
      </c>
      <c r="D29" s="18" cm="1">
        <f t="array" aca="1" ref="D29" ca="1">_FV(A29,"Market cap",TRUE)</f>
        <v>400622280482</v>
      </c>
      <c r="E29" s="17" cm="1">
        <f t="array" aca="1" ref="E29" ca="1">_FV(A29,"Change (%)",TRUE)</f>
        <v>2.6135000000000002E-2</v>
      </c>
      <c r="F29" s="11"/>
    </row>
    <row r="30" spans="1:6" outlineLevel="1">
      <c r="A30" s="20" t="e" vm="27">
        <v>#VALUE!</v>
      </c>
      <c r="B30" t="str" cm="1">
        <f t="array" aca="1" ref="B30" ca="1">_FV(A30,"Industry")</f>
        <v>Textiles &amp; Apparel</v>
      </c>
      <c r="C30" s="19" cm="1">
        <f t="array" aca="1" ref="C30" ca="1">_FV(A30,"Price")</f>
        <v>78.754999999999995</v>
      </c>
      <c r="D30" s="18" cm="1">
        <f t="array" aca="1" ref="D30" ca="1">_FV(A30,"Market cap",TRUE)</f>
        <v>117226502480</v>
      </c>
      <c r="E30" s="17" cm="1">
        <f t="array" aca="1" ref="E30" ca="1">_FV(A30,"Change (%)",TRUE)</f>
        <v>2.6257000000000003E-2</v>
      </c>
      <c r="F30" s="11"/>
    </row>
    <row r="31" spans="1:6" outlineLevel="1">
      <c r="A31" s="20" t="e" vm="28">
        <v>#VALUE!</v>
      </c>
      <c r="B31" t="str" cm="1">
        <f t="array" aca="1" ref="B31" ca="1">_FV(A31,"Industry")</f>
        <v>Semiconductors &amp; Semiconductor Equipment</v>
      </c>
      <c r="C31" s="19" cm="1">
        <f t="array" aca="1" ref="C31" ca="1">_FV(A31,"Price")</f>
        <v>139.35</v>
      </c>
      <c r="D31" s="18" cm="1">
        <f t="array" aca="1" ref="D31" ca="1">_FV(A31,"Market cap",TRUE)</f>
        <v>3412681500000</v>
      </c>
      <c r="E31" s="17" cm="1">
        <f t="array" aca="1" ref="E31" ca="1">_FV(A31,"Change (%)",TRUE)</f>
        <v>3.1687E-2</v>
      </c>
      <c r="F31" s="11"/>
    </row>
    <row r="32" spans="1:6" outlineLevel="1">
      <c r="A32" s="20" t="e" vm="29">
        <v>#VALUE!</v>
      </c>
      <c r="B32" t="str" cm="1">
        <f t="array" aca="1" ref="B32" ca="1">_FV(A32,"Industry")</f>
        <v>Software &amp; IT Services</v>
      </c>
      <c r="C32" s="19" cm="1">
        <f t="array" aca="1" ref="C32" ca="1">_FV(A32,"Price")</f>
        <v>178.72499999999999</v>
      </c>
      <c r="D32" s="18" cm="1">
        <f t="array" aca="1" ref="D32" ca="1">_FV(A32,"Market cap",TRUE)</f>
        <v>495258234675</v>
      </c>
      <c r="E32" s="17" cm="1">
        <f t="array" aca="1" ref="E32" ca="1">_FV(A32,"Change (%)",TRUE)</f>
        <v>5.5420000000000001E-3</v>
      </c>
      <c r="F32" s="11"/>
    </row>
    <row r="33" spans="1:6" outlineLevel="1">
      <c r="A33" s="20" t="e" vm="30">
        <v>#VALUE!</v>
      </c>
      <c r="B33" t="str" cm="1">
        <f t="array" aca="1" ref="B33" ca="1">_FV(A33,"Industry")</f>
        <v>Professional &amp; Commercial Services</v>
      </c>
      <c r="C33" s="19" cm="1">
        <f t="array" aca="1" ref="C33" ca="1">_FV(A33,"Price")</f>
        <v>90.84</v>
      </c>
      <c r="D33" s="18" cm="1">
        <f t="array" aca="1" ref="D33" ca="1">_FV(A33,"Market cap",TRUE)</f>
        <v>91070642760</v>
      </c>
      <c r="E33" s="17" cm="1">
        <f t="array" aca="1" ref="E33" ca="1">_FV(A33,"Change (%)",TRUE)</f>
        <v>2.3434E-2</v>
      </c>
      <c r="F33" s="11"/>
    </row>
    <row r="34" spans="1:6" outlineLevel="1">
      <c r="A34" s="20" t="e" vm="31">
        <v>#VALUE!</v>
      </c>
      <c r="B34" t="str" cm="1">
        <f t="array" aca="1" ref="B34" ca="1">_FV(A34,"Industry")</f>
        <v>Pharmaceuticals</v>
      </c>
      <c r="C34" s="19" cm="1">
        <f t="array" aca="1" ref="C34" ca="1">_FV(A34,"Price")</f>
        <v>25.25</v>
      </c>
      <c r="D34" s="18" cm="1">
        <f t="array" aca="1" ref="D34" ca="1">_FV(A34,"Market cap",TRUE)</f>
        <v>143091497500</v>
      </c>
      <c r="E34" s="17" cm="1">
        <f t="array" aca="1" ref="E34" ca="1">_FV(A34,"Change (%)",TRUE)</f>
        <v>-1.2515E-2</v>
      </c>
      <c r="F34" s="11"/>
    </row>
    <row r="35" spans="1:6" outlineLevel="1">
      <c r="A35" s="20" t="e" vm="32">
        <v>#VALUE!</v>
      </c>
      <c r="B35" t="str" cm="1">
        <f t="array" aca="1" ref="B35" ca="1">_FV(A35,"Industry")</f>
        <v>Residential &amp; Commercial REIT</v>
      </c>
      <c r="C35" s="19" cm="1">
        <f t="array" aca="1" ref="C35" ca="1">_FV(A35,"Price")</f>
        <v>111.97</v>
      </c>
      <c r="D35" s="18" cm="1">
        <f t="array" aca="1" ref="D35" ca="1">_FV(A35,"Market cap",TRUE)</f>
        <v>103703814750</v>
      </c>
      <c r="E35" s="17" cm="1">
        <f t="array" aca="1" ref="E35" ca="1">_FV(A35,"Change (%)",TRUE)</f>
        <v>-1.0428999999999999E-2</v>
      </c>
      <c r="F35" s="11"/>
    </row>
    <row r="36" spans="1:6" outlineLevel="1">
      <c r="A36" s="20" t="e" vm="33">
        <v>#VALUE!</v>
      </c>
      <c r="B36" t="str" cm="1">
        <f t="array" aca="1" ref="B36" ca="1">_FV(A36,"Industry")</f>
        <v>Software &amp; IT Services</v>
      </c>
      <c r="C36" s="19" cm="1">
        <f t="array" aca="1" ref="C36" ca="1">_FV(A36,"Price")</f>
        <v>355.71</v>
      </c>
      <c r="D36" s="18" cm="1">
        <f t="array" aca="1" ref="D36" ca="1">_FV(A36,"Market cap",TRUE)</f>
        <v>340414470000</v>
      </c>
      <c r="E36" s="17" cm="1">
        <f t="array" aca="1" ref="E36" ca="1">_FV(A36,"Change (%)",TRUE)</f>
        <v>1.9752000000000002E-2</v>
      </c>
      <c r="F36" s="11"/>
    </row>
    <row r="37" spans="1:6" outlineLevel="1">
      <c r="A37" s="20" t="e" vm="34">
        <v>#VALUE!</v>
      </c>
      <c r="B37" t="str" cm="1">
        <f t="array" aca="1" ref="B37" ca="1">_FV(A37,"Industry")</f>
        <v>Hotels &amp; Entertainment Services</v>
      </c>
      <c r="C37" s="19" cm="1">
        <f t="array" aca="1" ref="C37" ca="1">_FV(A37,"Price")</f>
        <v>98.385000000000005</v>
      </c>
      <c r="D37" s="18" cm="1">
        <f t="array" aca="1" ref="D37" ca="1">_FV(A37,"Market cap",TRUE)</f>
        <v>111548913000</v>
      </c>
      <c r="E37" s="17" cm="1">
        <f t="array" aca="1" ref="E37" ca="1">_FV(A37,"Change (%)",TRUE)</f>
        <v>2.2919999999999998E-3</v>
      </c>
      <c r="F37" s="11"/>
    </row>
    <row r="38" spans="1:6" outlineLevel="1">
      <c r="A38" s="20" t="e" vm="35">
        <v>#VALUE!</v>
      </c>
      <c r="B38" t="str" cm="1">
        <f t="array" aca="1" ref="B38" ca="1">_FV(A38,"Industry")</f>
        <v>Diversified Retail</v>
      </c>
      <c r="C38" s="19" cm="1">
        <f t="array" aca="1" ref="C38" ca="1">_FV(A38,"Price")</f>
        <v>136.065</v>
      </c>
      <c r="D38" s="18" cm="1">
        <f t="array" aca="1" ref="D38" ca="1">_FV(A38,"Market cap",TRUE)</f>
        <v>62346602173</v>
      </c>
      <c r="E38" s="17" cm="1">
        <f t="array" aca="1" ref="E38" ca="1">_FV(A38,"Change (%)",TRUE)</f>
        <v>7.5160000000000001E-3</v>
      </c>
      <c r="F38" s="11"/>
    </row>
    <row r="39" spans="1:6" outlineLevel="1">
      <c r="A39" s="32" t="e" vm="32">
        <v>#VALUE!</v>
      </c>
      <c r="B39" t="str" cm="1">
        <f t="array" aca="1" ref="B39" ca="1">_FV(A39,"Industry")</f>
        <v>Residential &amp; Commercial REIT</v>
      </c>
      <c r="C39" s="19" cm="1">
        <f t="array" aca="1" ref="C39" ca="1">_FV(A39,"Price")</f>
        <v>111.97</v>
      </c>
      <c r="D39" s="18" cm="1">
        <f t="array" aca="1" ref="D39" ca="1">_FV(A39,"Market cap",TRUE)</f>
        <v>103703814750</v>
      </c>
      <c r="E39" s="17" cm="1">
        <f t="array" aca="1" ref="E39" ca="1">_FV(A39,"Change (%)",TRUE)</f>
        <v>-1.0428999999999999E-2</v>
      </c>
      <c r="F39" s="11"/>
    </row>
    <row r="40" spans="1:6" outlineLevel="1">
      <c r="A40" s="20" t="e" vm="36">
        <v>#VALUE!</v>
      </c>
      <c r="B40" t="str" cm="1">
        <f t="array" aca="1" ref="B40" ca="1">_FV(A40,"Industry")</f>
        <v>Aerospace &amp; Defense</v>
      </c>
      <c r="C40" s="19" cm="1">
        <f t="array" aca="1" ref="C40" ca="1">_FV(A40,"Price")</f>
        <v>166.03</v>
      </c>
      <c r="D40" s="18" cm="1">
        <f t="array" aca="1" ref="D40" ca="1">_FV(A40,"Market cap",TRUE)</f>
        <v>124052767924</v>
      </c>
      <c r="E40" s="17" cm="1">
        <f t="array" aca="1" ref="E40" ca="1">_FV(A40,"Change (%)",TRUE)</f>
        <v>1.1760999999999999E-2</v>
      </c>
      <c r="F40" s="11"/>
    </row>
    <row r="41" spans="1:6" outlineLevel="1">
      <c r="A41" s="20" t="e" vm="37">
        <v>#VALUE!</v>
      </c>
      <c r="B41" t="str" cm="1">
        <f t="array" aca="1" ref="B41" ca="1">_FV(A41,"Industry")</f>
        <v>Beverages</v>
      </c>
      <c r="C41" s="19" cm="1">
        <f t="array" aca="1" ref="C41" ca="1">_FV(A41,"Price")</f>
        <v>62.695</v>
      </c>
      <c r="D41" s="18" cm="1">
        <f t="array" aca="1" ref="D41" ca="1">_FV(A41,"Market cap",TRUE)</f>
        <v>270077332915</v>
      </c>
      <c r="E41" s="17" cm="1">
        <f t="array" aca="1" ref="E41" ca="1">_FV(A41,"Change (%)",TRUE)</f>
        <v>-3.418E-3</v>
      </c>
      <c r="F41" s="11"/>
    </row>
    <row r="42" spans="1:6" outlineLevel="1">
      <c r="A42" s="20" t="e" vm="38">
        <v>#VALUE!</v>
      </c>
      <c r="B42" t="str" cm="1">
        <f t="array" aca="1" ref="B42" ca="1">_FV(A42,"Industry")</f>
        <v>Investment Banking &amp; Investment Services</v>
      </c>
      <c r="C42" s="19" cm="1">
        <f t="array" aca="1" ref="C42" ca="1">_FV(A42,"Price")</f>
        <v>592.79999999999995</v>
      </c>
      <c r="D42" s="18" cm="1">
        <f t="array" aca="1" ref="D42" ca="1">_FV(A42,"Market cap",TRUE)</f>
        <v>186085729440</v>
      </c>
      <c r="E42" s="17" cm="1">
        <f t="array" aca="1" ref="E42" ca="1">_FV(A42,"Change (%)",TRUE)</f>
        <v>1.3281000000000001E-2</v>
      </c>
      <c r="F42" s="11"/>
    </row>
    <row r="43" spans="1:6" outlineLevel="1">
      <c r="A43" s="20" t="e" vm="39">
        <v>#VALUE!</v>
      </c>
      <c r="B43" t="str" cm="1">
        <f t="array" aca="1" ref="B43" ca="1">_FV(A43,"Industry")</f>
        <v>Specialty Retailers</v>
      </c>
      <c r="C43" s="19" cm="1">
        <f t="array" aca="1" ref="C43" ca="1">_FV(A43,"Price")</f>
        <v>421.32</v>
      </c>
      <c r="D43" s="18" cm="1">
        <f t="array" aca="1" ref="D43" ca="1">_FV(A43,"Market cap",TRUE)</f>
        <v>418523530632</v>
      </c>
      <c r="E43" s="17" cm="1">
        <f t="array" aca="1" ref="E43" ca="1">_FV(A43,"Change (%)",TRUE)</f>
        <v>-3.0049999999999999E-3</v>
      </c>
      <c r="F43" s="11"/>
    </row>
    <row r="44" spans="1:6" outlineLevel="1">
      <c r="A44" s="20" t="e" vm="40">
        <v>#VALUE!</v>
      </c>
      <c r="B44" t="str" cm="1">
        <f t="array" aca="1" ref="B44" ca="1">_FV(A44,"Industry")</f>
        <v>Personal &amp; Household Products &amp; Services</v>
      </c>
      <c r="C44" s="19" cm="1">
        <f t="array" aca="1" ref="C44" ca="1">_FV(A44,"Price")</f>
        <v>170.495</v>
      </c>
      <c r="D44" s="18" cm="1">
        <f t="array" aca="1" ref="D44" ca="1">_FV(A44,"Market cap",TRUE)</f>
        <v>401522885790</v>
      </c>
      <c r="E44" s="17" cm="1">
        <f t="array" aca="1" ref="E44" ca="1">_FV(A44,"Change (%)",TRUE)</f>
        <v>-1.0361E-2</v>
      </c>
      <c r="F44" s="11"/>
    </row>
    <row r="45" spans="1:6" outlineLevel="1">
      <c r="A45" s="20" t="e" vm="41">
        <v>#VALUE!</v>
      </c>
      <c r="B45" t="str" cm="1">
        <f t="array" aca="1" ref="B45" ca="1">_FV(A45,"Industry")</f>
        <v>Media &amp; Publishing</v>
      </c>
      <c r="C45" s="19" cm="1">
        <f t="array" aca="1" ref="C45" ca="1">_FV(A45,"Price")</f>
        <v>114.69499999999999</v>
      </c>
      <c r="D45" s="18" cm="1">
        <f t="array" aca="1" ref="D45" ca="1">_FV(A45,"Market cap",TRUE)</f>
        <v>207705648605</v>
      </c>
      <c r="E45" s="17" cm="1">
        <f t="array" aca="1" ref="E45" ca="1">_FV(A45,"Change (%)",TRUE)</f>
        <v>-3.0509999999999999E-4</v>
      </c>
      <c r="F45" s="11"/>
    </row>
    <row r="46" spans="1:6" outlineLevel="1">
      <c r="A46" s="20" t="e" vm="42">
        <v>#VALUE!</v>
      </c>
      <c r="B46" t="str" cm="1">
        <f t="array" aca="1" ref="B46" ca="1">_FV(A46,"Industry")</f>
        <v>Banking Services</v>
      </c>
      <c r="C46" s="19" cm="1">
        <f t="array" aca="1" ref="C46" ca="1">_FV(A46,"Price")</f>
        <v>51.305</v>
      </c>
      <c r="D46" s="18" cm="1">
        <f t="array" aca="1" ref="D46" ca="1">_FV(A46,"Market cap",TRUE)</f>
        <v>80037441760</v>
      </c>
      <c r="E46" s="17" cm="1">
        <f t="array" aca="1" ref="E46" ca="1">_FV(A46,"Change (%)",TRUE)</f>
        <v>-5.1390000000000003E-3</v>
      </c>
      <c r="F46" s="11"/>
    </row>
    <row r="47" spans="1:6" outlineLevel="1">
      <c r="A47" s="20" t="e" vm="43">
        <v>#VALUE!</v>
      </c>
      <c r="B47" t="str" cm="1">
        <f t="array" aca="1" ref="B47" ca="1">_FV(A47,"Industry")</f>
        <v>Healthcare Providers &amp; Services</v>
      </c>
      <c r="C47" s="19" cm="1">
        <f t="array" aca="1" ref="C47" ca="1">_FV(A47,"Price")</f>
        <v>533.36</v>
      </c>
      <c r="D47" s="18" cm="1">
        <f t="array" aca="1" ref="D47" ca="1">_FV(A47,"Market cap",TRUE)</f>
        <v>490842834248</v>
      </c>
      <c r="E47" s="17" cm="1">
        <f t="array" aca="1" ref="E47" ca="1">_FV(A47,"Change (%)",TRUE)</f>
        <v>-5.6317000000000006E-2</v>
      </c>
      <c r="F47" s="11"/>
    </row>
    <row r="48" spans="1:6" outlineLevel="1">
      <c r="A48" s="20" t="e" vm="44">
        <v>#VALUE!</v>
      </c>
      <c r="B48" t="str" cm="1">
        <f t="array" aca="1" ref="B48" ca="1">_FV(A48,"Industry")</f>
        <v>Telecommunications Services</v>
      </c>
      <c r="C48" s="19" cm="1">
        <f t="array" aca="1" ref="C48" ca="1">_FV(A48,"Price")</f>
        <v>42.06</v>
      </c>
      <c r="D48" s="18" cm="1">
        <f t="array" aca="1" ref="D48" ca="1">_FV(A48,"Market cap",TRUE)</f>
        <v>177056869560</v>
      </c>
      <c r="E48" s="17" cm="1">
        <f t="array" aca="1" ref="E48" ca="1">_FV(A48,"Change (%)",TRUE)</f>
        <v>-5.6740000000000002E-3</v>
      </c>
      <c r="F48" s="11"/>
    </row>
    <row r="49" spans="1:6" outlineLevel="1">
      <c r="A49" s="20" t="e" vm="45">
        <v>#VALUE!</v>
      </c>
      <c r="B49" t="str" cm="1">
        <f t="array" aca="1" ref="B49" ca="1">_FV(A49,"Industry")</f>
        <v>Software &amp; IT Services</v>
      </c>
      <c r="C49" s="19" cm="1">
        <f t="array" aca="1" ref="C49" ca="1">_FV(A49,"Price")</f>
        <v>313.5</v>
      </c>
      <c r="D49" s="18" cm="1">
        <f t="array" aca="1" ref="D49" ca="1">_FV(A49,"Market cap",TRUE)</f>
        <v>614784159000</v>
      </c>
      <c r="E49" s="17" cm="1">
        <f t="array" aca="1" ref="E49" ca="1">_FV(A49,"Change (%)",TRUE)</f>
        <v>3.5849999999999996E-3</v>
      </c>
      <c r="F49" s="11"/>
    </row>
    <row r="50" spans="1:6" outlineLevel="1">
      <c r="A50" s="20" t="e" vm="46">
        <v>#VALUE!</v>
      </c>
      <c r="B50" t="str" cm="1">
        <f t="array" aca="1" ref="B50" ca="1">_FV(A50,"Industry")</f>
        <v>Food &amp; Drug Retailing</v>
      </c>
      <c r="C50" s="19" cm="1">
        <f t="array" aca="1" ref="C50" ca="1">_FV(A50,"Price")</f>
        <v>94.8</v>
      </c>
      <c r="D50" s="18" cm="1">
        <f t="array" aca="1" ref="D50" ca="1">_FV(A50,"Market cap",TRUE)</f>
        <v>761564992800</v>
      </c>
      <c r="E50" s="17" cm="1">
        <f t="array" aca="1" ref="E50" ca="1">_FV(A50,"Change (%)",TRUE)</f>
        <v>2.6440000000000001E-3</v>
      </c>
      <c r="F50" s="11"/>
    </row>
    <row r="51" spans="1:6" ht="16" outlineLevel="1" thickBot="1">
      <c r="A51" s="16" t="e" vm="47">
        <v>#VALUE!</v>
      </c>
      <c r="B51" s="15" t="str" cm="1">
        <f t="array" aca="1" ref="B51" ca="1">_FV(A51,"Industry")</f>
        <v>Banking Services</v>
      </c>
      <c r="C51" s="14" cm="1">
        <f t="array" aca="1" ref="C51" ca="1">_FV(A51,"Price")</f>
        <v>71.734999999999999</v>
      </c>
      <c r="D51" s="13" cm="1">
        <f t="array" aca="1" ref="D51" ca="1">_FV(A51,"Market cap",TRUE)</f>
        <v>239989442500</v>
      </c>
      <c r="E51" s="12" cm="1">
        <f t="array" aca="1" ref="E51" ca="1">_FV(A51,"Change (%)",TRUE)</f>
        <v>-4.372E-3</v>
      </c>
      <c r="F51" s="11"/>
    </row>
    <row r="53" spans="1:6" ht="25">
      <c r="A53" s="10" t="s">
        <v>71</v>
      </c>
      <c r="B53" s="10" t="s">
        <v>70</v>
      </c>
    </row>
    <row r="54" spans="1:6" ht="18">
      <c r="A54" s="7" t="str" cm="1">
        <f t="array" aca="1" ref="A54:A75" ca="1">_xlfn.UNIQUE(Table3[[Industry ]])</f>
        <v>Software &amp; IT Services</v>
      </c>
      <c r="B54" s="9" cm="1">
        <f t="array" aca="1" ref="B54:B75" ca="1">SUMIF(Table3[[Industry ]],_xlfn.ANCHORARRAY(A54),Table3[[Market Value ]])</f>
        <v>12280083736632</v>
      </c>
    </row>
    <row r="55" spans="1:6" ht="18">
      <c r="A55" s="7" t="str">
        <f ca="1"/>
        <v>Semiconductors &amp; Semiconductor Equipment</v>
      </c>
      <c r="B55" s="9">
        <f ca="1"/>
        <v>3710548674910</v>
      </c>
    </row>
    <row r="56" spans="1:6" ht="18">
      <c r="A56" s="7" t="str">
        <f ca="1"/>
        <v>Diversified Retail</v>
      </c>
      <c r="B56" s="9">
        <f ca="1"/>
        <v>2922261625208</v>
      </c>
    </row>
    <row r="57" spans="1:6" ht="18">
      <c r="A57" s="7" t="str">
        <f ca="1"/>
        <v>Computers, Phones &amp; Household Electronics</v>
      </c>
      <c r="B57" s="9">
        <f ca="1"/>
        <v>3725898471800</v>
      </c>
    </row>
    <row r="58" spans="1:6" ht="18">
      <c r="A58" s="7" t="str">
        <f ca="1"/>
        <v>Telecommunications Services</v>
      </c>
      <c r="B58" s="9">
        <f ca="1"/>
        <v>345604408170</v>
      </c>
    </row>
    <row r="59" spans="1:6" ht="18">
      <c r="A59" s="7" t="str">
        <f ca="1"/>
        <v>Banking Services</v>
      </c>
      <c r="B59" s="9">
        <f ca="1"/>
        <v>1359029100870</v>
      </c>
    </row>
    <row r="60" spans="1:6" ht="18">
      <c r="A60" s="7" t="str">
        <f ca="1"/>
        <v>Consumer Goods Conglomerates</v>
      </c>
      <c r="B60" s="9">
        <f ca="1"/>
        <v>997807500000</v>
      </c>
    </row>
    <row r="61" spans="1:6" ht="18">
      <c r="A61" s="7" t="str">
        <f ca="1"/>
        <v>Professional &amp; Commercial Services</v>
      </c>
      <c r="B61" s="9">
        <f ca="1"/>
        <v>152010755239</v>
      </c>
    </row>
    <row r="62" spans="1:6" ht="18">
      <c r="A62" s="7" t="str">
        <f ca="1"/>
        <v>Oil &amp; Gas</v>
      </c>
      <c r="B62" s="9">
        <f ca="1"/>
        <v>771711561990</v>
      </c>
    </row>
    <row r="63" spans="1:6" ht="18">
      <c r="A63" s="7" t="str">
        <f ca="1"/>
        <v>Communications &amp; Networking</v>
      </c>
      <c r="B63" s="9">
        <f ca="1"/>
        <v>233070998160</v>
      </c>
    </row>
    <row r="64" spans="1:6" ht="18">
      <c r="A64" s="7" t="str">
        <f ca="1"/>
        <v>Investment Banking &amp; Investment Services</v>
      </c>
      <c r="B64" s="9">
        <f ca="1"/>
        <v>527413825939</v>
      </c>
    </row>
    <row r="65" spans="1:2" ht="18">
      <c r="A65" s="7" t="str">
        <f ca="1"/>
        <v>Pharmaceuticals</v>
      </c>
      <c r="B65" s="9">
        <f ca="1"/>
        <v>496289791600</v>
      </c>
    </row>
    <row r="66" spans="1:2" ht="18">
      <c r="A66" s="7" t="str">
        <f ca="1"/>
        <v>Specialty Retailers</v>
      </c>
      <c r="B66" s="9">
        <f ca="1"/>
        <v>569558935882</v>
      </c>
    </row>
    <row r="67" spans="1:2" ht="18">
      <c r="A67" s="7" t="str">
        <f ca="1"/>
        <v>Hotels &amp; Entertainment Services</v>
      </c>
      <c r="B67" s="9">
        <f ca="1"/>
        <v>323911278278</v>
      </c>
    </row>
    <row r="68" spans="1:2" ht="18">
      <c r="A68" s="7" t="str">
        <f ca="1"/>
        <v>Textiles &amp; Apparel</v>
      </c>
      <c r="B68" s="9">
        <f ca="1"/>
        <v>117226502480</v>
      </c>
    </row>
    <row r="69" spans="1:2" ht="18">
      <c r="A69" s="7" t="str">
        <f ca="1"/>
        <v>Residential &amp; Commercial REIT</v>
      </c>
      <c r="B69" s="9">
        <f ca="1"/>
        <v>207407629500</v>
      </c>
    </row>
    <row r="70" spans="1:2" ht="18">
      <c r="A70" s="7" t="str">
        <f ca="1"/>
        <v>Aerospace &amp; Defense</v>
      </c>
      <c r="B70" s="9">
        <f ca="1"/>
        <v>124052767924</v>
      </c>
    </row>
    <row r="71" spans="1:2" ht="18">
      <c r="A71" s="7" t="str">
        <f ca="1"/>
        <v>Beverages</v>
      </c>
      <c r="B71" s="9">
        <f ca="1"/>
        <v>270077332915</v>
      </c>
    </row>
    <row r="72" spans="1:2" ht="18">
      <c r="A72" s="7" t="str">
        <f ca="1"/>
        <v>Personal &amp; Household Products &amp; Services</v>
      </c>
      <c r="B72" s="9">
        <f ca="1"/>
        <v>401522885790</v>
      </c>
    </row>
    <row r="73" spans="1:2" ht="18">
      <c r="A73" s="7" t="str">
        <f ca="1"/>
        <v>Media &amp; Publishing</v>
      </c>
      <c r="B73" s="9">
        <f ca="1"/>
        <v>207705648605</v>
      </c>
    </row>
    <row r="74" spans="1:2" ht="18">
      <c r="A74" s="7" t="str">
        <f ca="1"/>
        <v>Healthcare Providers &amp; Services</v>
      </c>
      <c r="B74" s="9">
        <f ca="1"/>
        <v>490842834248</v>
      </c>
    </row>
    <row r="75" spans="1:2" ht="18">
      <c r="A75" s="7" t="str">
        <f ca="1"/>
        <v>Food &amp; Drug Retailing</v>
      </c>
      <c r="B75" s="9">
        <f ca="1"/>
        <v>761564992800</v>
      </c>
    </row>
    <row r="76" spans="1:2" ht="18">
      <c r="A76" s="7"/>
      <c r="B76" s="9"/>
    </row>
    <row r="77" spans="1:2" ht="18">
      <c r="A77" s="7" t="s">
        <v>69</v>
      </c>
      <c r="B77" s="9">
        <f ca="1">SUM(_xlfn.ANCHORARRAY(B54))</f>
        <v>30995601258940</v>
      </c>
    </row>
  </sheetData>
  <sheetProtection algorithmName="SHA-512" hashValue="EqMdoD+gsOji9YcE64l2MmhubmFSuvyZRb/WYr8AQr1HDnwABhbU6tHco3fMONkNnpfexBeiKWtV6BAl0Ldn0A==" saltValue="wYDAXyHAeKFaMpIX+BxIKg==" spinCount="100000" sheet="1" objects="1" scenarios="1" selectLockedCells="1"/>
  <conditionalFormatting sqref="E4:E51">
    <cfRule type="cellIs" dxfId="9" priority="7" operator="lessThan">
      <formula>0</formula>
    </cfRule>
  </conditionalFormatting>
  <conditionalFormatting sqref="D4:D51">
    <cfRule type="dataBar" priority="5">
      <dataBar>
        <cfvo type="min"/>
        <cfvo type="max"/>
        <color theme="3" tint="0.89999084444715716"/>
      </dataBar>
      <extLst>
        <ext xmlns:x14="http://schemas.microsoft.com/office/spreadsheetml/2009/9/main" uri="{B025F937-C7B1-47D3-B67F-A62EFF666E3E}">
          <x14:id>{FCE30706-DCED-024C-A9EE-A20F5875BAFB}</x14:id>
        </ext>
      </extLst>
    </cfRule>
    <cfRule type="dataBar" priority="6">
      <dataBar>
        <cfvo type="min"/>
        <cfvo type="max"/>
        <color rgb="FF638EC6"/>
      </dataBar>
      <extLst>
        <ext xmlns:x14="http://schemas.microsoft.com/office/spreadsheetml/2009/9/main" uri="{B025F937-C7B1-47D3-B67F-A62EFF666E3E}">
          <x14:id>{53682DD1-2D13-7C4B-A988-5FCD246E8E2F}</x14:id>
        </ext>
      </extLst>
    </cfRule>
  </conditionalFormatting>
  <conditionalFormatting sqref="D14:D51">
    <cfRule type="dataBar" priority="2">
      <dataBar>
        <cfvo type="min"/>
        <cfvo type="max"/>
        <color theme="3" tint="0.749992370372631"/>
      </dataBar>
      <extLst>
        <ext xmlns:x14="http://schemas.microsoft.com/office/spreadsheetml/2009/9/main" uri="{B025F937-C7B1-47D3-B67F-A62EFF666E3E}">
          <x14:id>{848892B4-C52F-EA4E-B69B-0999A392EC25}</x14:id>
        </ext>
      </extLst>
    </cfRule>
  </conditionalFormatting>
  <conditionalFormatting sqref="B54:B76">
    <cfRule type="dataBar" priority="1">
      <dataBar>
        <cfvo type="min"/>
        <cfvo type="max"/>
        <color rgb="FF638EC6"/>
      </dataBar>
      <extLst>
        <ext xmlns:x14="http://schemas.microsoft.com/office/spreadsheetml/2009/9/main" uri="{B025F937-C7B1-47D3-B67F-A62EFF666E3E}">
          <x14:id>{8FA0CC2E-260F-EE45-8A68-72713E5072D5}</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CE30706-DCED-024C-A9EE-A20F5875BAFB}">
            <x14:dataBar minLength="0" maxLength="100" gradient="0">
              <x14:cfvo type="autoMin"/>
              <x14:cfvo type="autoMax"/>
              <x14:negativeFillColor rgb="FFFF0000"/>
              <x14:axisColor rgb="FF000000"/>
            </x14:dataBar>
          </x14:cfRule>
          <x14:cfRule type="dataBar" id="{53682DD1-2D13-7C4B-A988-5FCD246E8E2F}">
            <x14:dataBar minLength="0" maxLength="100" border="1" negativeBarBorderColorSameAsPositive="0">
              <x14:cfvo type="autoMin"/>
              <x14:cfvo type="autoMax"/>
              <x14:borderColor rgb="FF638EC6"/>
              <x14:negativeFillColor rgb="FFFF0000"/>
              <x14:negativeBorderColor rgb="FFFF0000"/>
              <x14:axisColor rgb="FF000000"/>
            </x14:dataBar>
          </x14:cfRule>
          <xm:sqref>D4:D51</xm:sqref>
        </x14:conditionalFormatting>
        <x14:conditionalFormatting xmlns:xm="http://schemas.microsoft.com/office/excel/2006/main">
          <x14:cfRule type="dataBar" id="{848892B4-C52F-EA4E-B69B-0999A392EC25}">
            <x14:dataBar minLength="0" maxLength="100" gradient="0">
              <x14:cfvo type="autoMin"/>
              <x14:cfvo type="autoMax"/>
              <x14:negativeFillColor rgb="FFFF0000"/>
              <x14:axisColor rgb="FF000000"/>
            </x14:dataBar>
          </x14:cfRule>
          <xm:sqref>D14:D51</xm:sqref>
        </x14:conditionalFormatting>
        <x14:conditionalFormatting xmlns:xm="http://schemas.microsoft.com/office/excel/2006/main">
          <x14:cfRule type="dataBar" id="{8FA0CC2E-260F-EE45-8A68-72713E5072D5}">
            <x14:dataBar minLength="0" maxLength="100" border="1" negativeBarBorderColorSameAsPositive="0">
              <x14:cfvo type="autoMin"/>
              <x14:cfvo type="autoMax"/>
              <x14:borderColor rgb="FF638EC6"/>
              <x14:negativeFillColor rgb="FFFF0000"/>
              <x14:negativeBorderColor rgb="FFFF0000"/>
              <x14:axisColor rgb="FF000000"/>
            </x14:dataBar>
          </x14:cfRule>
          <xm:sqref>B54:B76</xm:sqref>
        </x14:conditionalFormatting>
        <x14:conditionalFormatting xmlns:xm="http://schemas.microsoft.com/office/excel/2006/main">
          <x14:cfRule type="iconSet" priority="3" id="{60B65DA1-3540-1C46-AF23-59A027F94E96}">
            <x14:iconSet custom="1">
              <x14:cfvo type="percent">
                <xm:f>0</xm:f>
              </x14:cfvo>
              <x14:cfvo type="num">
                <xm:f>0</xm:f>
              </x14:cfvo>
              <x14:cfvo type="num" gte="0">
                <xm:f>0</xm:f>
              </x14:cfvo>
              <x14:cfIcon iconSet="3Triangles" iconId="0"/>
              <x14:cfIcon iconSet="3Triangles" iconId="0"/>
              <x14:cfIcon iconSet="3Triangles" iconId="2"/>
            </x14:iconSet>
          </x14:cfRule>
          <x14:cfRule type="iconSet" priority="4" id="{5EC0A7FB-C243-E94B-A688-D7F476EC4DEC}">
            <x14:iconSet iconSet="3Triangles">
              <x14:cfvo type="percent">
                <xm:f>0</xm:f>
              </x14:cfvo>
              <x14:cfvo type="percent">
                <xm:f>33</xm:f>
              </x14:cfvo>
              <x14:cfvo type="percent">
                <xm:f>67</xm:f>
              </x14:cfvo>
            </x14:iconSet>
          </x14:cfRule>
          <xm:sqref>E4:E51</xm:sqref>
        </x14:conditionalFormatting>
      </x14:conditionalFormattings>
    </ext>
    <ext xmlns:x14="http://schemas.microsoft.com/office/spreadsheetml/2009/9/main" uri="{05C60535-1F16-4fd2-B633-F4F36F0B64E0}">
      <x14:sparklineGroups xmlns:xm="http://schemas.microsoft.com/office/excel/2006/main">
        <x14:sparklineGroup displayEmptyCellsAs="gap" xr2:uid="{D28C1694-AEFC-9844-8206-16CF87E4A5A2}">
          <x14:colorSeries rgb="FF376092"/>
          <x14:colorNegative rgb="FFD00000"/>
          <x14:colorAxis rgb="FF000000"/>
          <x14:colorMarkers rgb="FFD00000"/>
          <x14:colorFirst rgb="FFD00000"/>
          <x14:colorLast rgb="FFD00000"/>
          <x14:colorHigh rgb="FFD00000"/>
          <x14:colorLow rgb="FFD00000"/>
          <x14:sparklines>
            <x14:sparkline>
              <xm:f>'Sparkline Data'!A4:IP4</xm:f>
              <xm:sqref>F4</xm:sqref>
            </x14:sparkline>
            <x14:sparkline>
              <xm:f>'Sparkline Data'!A5:IP5</xm:f>
              <xm:sqref>F5</xm:sqref>
            </x14:sparkline>
            <x14:sparkline>
              <xm:f>'Sparkline Data'!A6:IP6</xm:f>
              <xm:sqref>F6</xm:sqref>
            </x14:sparkline>
            <x14:sparkline>
              <xm:f>'Sparkline Data'!A7:IP7</xm:f>
              <xm:sqref>F7</xm:sqref>
            </x14:sparkline>
            <x14:sparkline>
              <xm:f>'Sparkline Data'!A8:IP8</xm:f>
              <xm:sqref>F8</xm:sqref>
            </x14:sparkline>
            <x14:sparkline>
              <xm:f>'Sparkline Data'!A9:IP9</xm:f>
              <xm:sqref>F9</xm:sqref>
            </x14:sparkline>
            <x14:sparkline>
              <xm:f>'Sparkline Data'!A10:IP10</xm:f>
              <xm:sqref>F10</xm:sqref>
            </x14:sparkline>
            <x14:sparkline>
              <xm:f>'Sparkline Data'!A11:IP11</xm:f>
              <xm:sqref>F11</xm:sqref>
            </x14:sparkline>
            <x14:sparkline>
              <xm:f>'Sparkline Data'!A12:IP12</xm:f>
              <xm:sqref>F12</xm:sqref>
            </x14:sparkline>
            <x14:sparkline>
              <xm:f>'Sparkline Data'!A13:IP13</xm:f>
              <xm:sqref>F13</xm:sqref>
            </x14:sparkline>
            <x14:sparkline>
              <xm:f>'Sparkline Data'!A14:IP14</xm:f>
              <xm:sqref>F14</xm:sqref>
            </x14:sparkline>
            <x14:sparkline>
              <xm:f>'Sparkline Data'!A15:IP15</xm:f>
              <xm:sqref>F15</xm:sqref>
            </x14:sparkline>
            <x14:sparkline>
              <xm:f>'Sparkline Data'!A16:IP16</xm:f>
              <xm:sqref>F16</xm:sqref>
            </x14:sparkline>
            <x14:sparkline>
              <xm:f>'Sparkline Data'!A17:IP17</xm:f>
              <xm:sqref>F17</xm:sqref>
            </x14:sparkline>
            <x14:sparkline>
              <xm:f>'Sparkline Data'!A18:IP18</xm:f>
              <xm:sqref>F18</xm:sqref>
            </x14:sparkline>
            <x14:sparkline>
              <xm:f>'Sparkline Data'!A19:IP19</xm:f>
              <xm:sqref>F19</xm:sqref>
            </x14:sparkline>
            <x14:sparkline>
              <xm:f>'Sparkline Data'!A20:IP20</xm:f>
              <xm:sqref>F20</xm:sqref>
            </x14:sparkline>
            <x14:sparkline>
              <xm:f>'Sparkline Data'!A21:IP21</xm:f>
              <xm:sqref>F21</xm:sqref>
            </x14:sparkline>
            <x14:sparkline>
              <xm:f>'Sparkline Data'!A22:IP22</xm:f>
              <xm:sqref>F22</xm:sqref>
            </x14:sparkline>
            <x14:sparkline>
              <xm:f>'Sparkline Data'!A23:IP23</xm:f>
              <xm:sqref>F23</xm:sqref>
            </x14:sparkline>
            <x14:sparkline>
              <xm:f>'Sparkline Data'!A24:IP24</xm:f>
              <xm:sqref>F24</xm:sqref>
            </x14:sparkline>
            <x14:sparkline>
              <xm:f>'Sparkline Data'!A25:IP25</xm:f>
              <xm:sqref>F25</xm:sqref>
            </x14:sparkline>
            <x14:sparkline>
              <xm:f>'Sparkline Data'!A26:IP26</xm:f>
              <xm:sqref>F26</xm:sqref>
            </x14:sparkline>
            <x14:sparkline>
              <xm:f>'Sparkline Data'!A27:IP27</xm:f>
              <xm:sqref>F27</xm:sqref>
            </x14:sparkline>
            <x14:sparkline>
              <xm:f>'Sparkline Data'!A28:IP28</xm:f>
              <xm:sqref>F28</xm:sqref>
            </x14:sparkline>
            <x14:sparkline>
              <xm:f>'Sparkline Data'!A29:IP29</xm:f>
              <xm:sqref>F29</xm:sqref>
            </x14:sparkline>
            <x14:sparkline>
              <xm:f>'Sparkline Data'!A30:IP30</xm:f>
              <xm:sqref>F30</xm:sqref>
            </x14:sparkline>
            <x14:sparkline>
              <xm:f>'Sparkline Data'!A31:IP31</xm:f>
              <xm:sqref>F31</xm:sqref>
            </x14:sparkline>
            <x14:sparkline>
              <xm:f>'Sparkline Data'!A32:IP32</xm:f>
              <xm:sqref>F32</xm:sqref>
            </x14:sparkline>
            <x14:sparkline>
              <xm:f>'Sparkline Data'!A33:IP33</xm:f>
              <xm:sqref>F33</xm:sqref>
            </x14:sparkline>
            <x14:sparkline>
              <xm:f>'Sparkline Data'!A34:IP34</xm:f>
              <xm:sqref>F34</xm:sqref>
            </x14:sparkline>
            <x14:sparkline>
              <xm:f>'Sparkline Data'!A35:IP35</xm:f>
              <xm:sqref>F35</xm:sqref>
            </x14:sparkline>
            <x14:sparkline>
              <xm:f>'Sparkline Data'!A36:IP36</xm:f>
              <xm:sqref>F36</xm:sqref>
            </x14:sparkline>
            <x14:sparkline>
              <xm:f>'Sparkline Data'!A37:IP37</xm:f>
              <xm:sqref>F37</xm:sqref>
            </x14:sparkline>
            <x14:sparkline>
              <xm:f>'Sparkline Data'!A38:IP38</xm:f>
              <xm:sqref>F38</xm:sqref>
            </x14:sparkline>
            <x14:sparkline>
              <xm:f>'Sparkline Data'!A39:IP39</xm:f>
              <xm:sqref>F39</xm:sqref>
            </x14:sparkline>
            <x14:sparkline>
              <xm:f>'Sparkline Data'!A40:IP40</xm:f>
              <xm:sqref>F40</xm:sqref>
            </x14:sparkline>
            <x14:sparkline>
              <xm:f>'Sparkline Data'!A41:IP41</xm:f>
              <xm:sqref>F41</xm:sqref>
            </x14:sparkline>
            <x14:sparkline>
              <xm:f>'Sparkline Data'!A42:IP42</xm:f>
              <xm:sqref>F42</xm:sqref>
            </x14:sparkline>
            <x14:sparkline>
              <xm:f>'Sparkline Data'!A43:IP43</xm:f>
              <xm:sqref>F43</xm:sqref>
            </x14:sparkline>
            <x14:sparkline>
              <xm:f>'Sparkline Data'!A44:IP44</xm:f>
              <xm:sqref>F44</xm:sqref>
            </x14:sparkline>
            <x14:sparkline>
              <xm:f>'Sparkline Data'!A45:IP45</xm:f>
              <xm:sqref>F45</xm:sqref>
            </x14:sparkline>
            <x14:sparkline>
              <xm:f>'Sparkline Data'!A46:IP46</xm:f>
              <xm:sqref>F46</xm:sqref>
            </x14:sparkline>
            <x14:sparkline>
              <xm:f>'Sparkline Data'!A47:IP47</xm:f>
              <xm:sqref>F47</xm:sqref>
            </x14:sparkline>
            <x14:sparkline>
              <xm:f>'Sparkline Data'!A48:IP48</xm:f>
              <xm:sqref>F48</xm:sqref>
            </x14:sparkline>
            <x14:sparkline>
              <xm:f>'Sparkline Data'!A49:IP49</xm:f>
              <xm:sqref>F49</xm:sqref>
            </x14:sparkline>
            <x14:sparkline>
              <xm:f>'Sparkline Data'!A50:IP50</xm:f>
              <xm:sqref>F50</xm:sqref>
            </x14:sparkline>
            <x14:sparkline>
              <xm:f>'Sparkline Data'!A51:IP51</xm:f>
              <xm:sqref>F51</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35239-00CB-47AE-914E-AF8FE0413F3E}">
  <sheetPr codeName="Sheet1"/>
  <dimension ref="A1:AA50"/>
  <sheetViews>
    <sheetView showGridLines="0" tabSelected="1" topLeftCell="A13" zoomScale="80" zoomScaleNormal="80" workbookViewId="0">
      <selection activeCell="E40" sqref="E40"/>
    </sheetView>
  </sheetViews>
  <sheetFormatPr baseColWidth="10" defaultColWidth="12.5" defaultRowHeight="15"/>
  <cols>
    <col min="1" max="1" width="33.33203125" style="34" customWidth="1"/>
    <col min="2" max="2" width="15.33203125" style="34" customWidth="1"/>
    <col min="3" max="3" width="13.6640625" style="34" customWidth="1"/>
    <col min="4" max="4" width="17.5" style="34" customWidth="1"/>
    <col min="5" max="5" width="17" style="34" customWidth="1"/>
    <col min="6" max="6" width="19" style="34" customWidth="1"/>
    <col min="7" max="16384" width="12.5" style="34"/>
  </cols>
  <sheetData>
    <row r="1" spans="1:27" ht="93">
      <c r="A1" s="62" t="s">
        <v>61</v>
      </c>
      <c r="AA1" s="34" t="s">
        <v>0</v>
      </c>
    </row>
    <row r="2" spans="1:27" ht="93">
      <c r="A2" s="62" t="s">
        <v>61</v>
      </c>
      <c r="B2" s="63" t="str">
        <f>IF(OR($B$3=$B$4, $B$3=$B$5, $B$4=$B$5,B6=B5,B6=B4,B6=B3), "Duplicate Stocks Selected!", "")</f>
        <v/>
      </c>
      <c r="D2" s="64"/>
      <c r="E2" s="64"/>
      <c r="AA2" s="34" t="s">
        <v>1</v>
      </c>
    </row>
    <row r="3" spans="1:27" ht="28">
      <c r="A3" s="59" t="s">
        <v>2</v>
      </c>
      <c r="B3" s="47" t="s">
        <v>8</v>
      </c>
      <c r="D3" s="55"/>
      <c r="E3" s="56"/>
      <c r="F3" s="57"/>
      <c r="AA3" s="34" t="s">
        <v>4</v>
      </c>
    </row>
    <row r="4" spans="1:27" ht="28">
      <c r="A4" s="60" t="s">
        <v>5</v>
      </c>
      <c r="B4" s="48" t="s">
        <v>13</v>
      </c>
      <c r="D4" s="55"/>
      <c r="E4" s="56"/>
      <c r="F4" s="57"/>
      <c r="AA4" s="34" t="s">
        <v>6</v>
      </c>
    </row>
    <row r="5" spans="1:27" ht="28">
      <c r="A5" s="60" t="s">
        <v>7</v>
      </c>
      <c r="B5" s="49" t="s">
        <v>4</v>
      </c>
      <c r="C5" s="58"/>
      <c r="D5" s="55"/>
      <c r="E5" s="56"/>
      <c r="F5" s="57"/>
      <c r="AA5" s="34" t="s">
        <v>8</v>
      </c>
    </row>
    <row r="6" spans="1:27" ht="28">
      <c r="A6" s="61" t="s">
        <v>9</v>
      </c>
      <c r="B6" s="50" t="s">
        <v>15</v>
      </c>
      <c r="AA6" s="35" t="s">
        <v>11</v>
      </c>
    </row>
    <row r="7" spans="1:27">
      <c r="AA7" s="35" t="s">
        <v>12</v>
      </c>
    </row>
    <row r="8" spans="1:27" hidden="1">
      <c r="AA8" s="35" t="s">
        <v>13</v>
      </c>
    </row>
    <row r="9" spans="1:27" hidden="1">
      <c r="A9" s="40" t="s">
        <v>14</v>
      </c>
      <c r="B9" s="41"/>
      <c r="AA9" s="35" t="s">
        <v>15</v>
      </c>
    </row>
    <row r="10" spans="1:27" hidden="1">
      <c r="A10" s="42" t="s">
        <v>16</v>
      </c>
      <c r="B10" s="43">
        <v>0.01</v>
      </c>
      <c r="AA10" s="35" t="s">
        <v>17</v>
      </c>
    </row>
    <row r="11" spans="1:27" hidden="1">
      <c r="AA11" s="35" t="s">
        <v>18</v>
      </c>
    </row>
    <row r="12" spans="1:27">
      <c r="AA12" s="35" t="s">
        <v>19</v>
      </c>
    </row>
    <row r="13" spans="1:27">
      <c r="AA13" s="35" t="s">
        <v>20</v>
      </c>
    </row>
    <row r="14" spans="1:27" ht="26" thickBot="1">
      <c r="A14" s="40"/>
      <c r="B14" s="84" t="str">
        <f>B3</f>
        <v>AMZN</v>
      </c>
      <c r="C14" s="85" t="str">
        <f>B4</f>
        <v>BRK.B</v>
      </c>
      <c r="D14" s="86" t="str">
        <f>B5</f>
        <v>GOOG</v>
      </c>
      <c r="E14" s="87" t="str">
        <f>B6</f>
        <v>NVDA</v>
      </c>
      <c r="F14" s="80"/>
      <c r="AA14" s="35" t="s">
        <v>21</v>
      </c>
    </row>
    <row r="15" spans="1:27" ht="26" thickBot="1">
      <c r="A15" s="44" t="s">
        <v>22</v>
      </c>
      <c r="B15" s="88">
        <f ca="1">VLOOKUP(B3, Table1[], 2, FALSE)</f>
        <v>1.8131252394959302E-2</v>
      </c>
      <c r="C15" s="88">
        <f ca="1">VLOOKUP(B4, Table1[], 2, FALSE)</f>
        <v>1.4115929187241284E-2</v>
      </c>
      <c r="D15" s="88">
        <f ca="1">VLOOKUP(B5, Table1[], 2, FALSE)</f>
        <v>1.9367583782975189E-2</v>
      </c>
      <c r="E15" s="89">
        <f ca="1">VLOOKUP(B6, Table1[], 2, FALSE)</f>
        <v>6.4544084529740378E-2</v>
      </c>
      <c r="F15" s="80"/>
      <c r="AA15" s="35" t="s">
        <v>23</v>
      </c>
    </row>
    <row r="16" spans="1:27">
      <c r="B16" s="80"/>
      <c r="C16" s="80"/>
      <c r="D16" s="80"/>
      <c r="E16" s="80"/>
      <c r="F16" s="80"/>
      <c r="AA16" s="35" t="s">
        <v>24</v>
      </c>
    </row>
    <row r="17" spans="1:27">
      <c r="B17" s="80"/>
      <c r="C17" s="80"/>
      <c r="D17" s="80"/>
      <c r="E17" s="80"/>
      <c r="F17" s="80"/>
      <c r="AA17" s="35" t="s">
        <v>25</v>
      </c>
    </row>
    <row r="18" spans="1:27">
      <c r="B18" s="80"/>
      <c r="C18" s="80"/>
      <c r="D18" s="80"/>
      <c r="E18" s="80"/>
      <c r="F18" s="80"/>
      <c r="AA18" s="35" t="s">
        <v>26</v>
      </c>
    </row>
    <row r="19" spans="1:27" ht="19">
      <c r="A19" s="45" t="s">
        <v>68</v>
      </c>
      <c r="B19" s="90"/>
      <c r="C19" s="90"/>
      <c r="D19" s="90"/>
      <c r="E19" s="90"/>
      <c r="F19" s="91"/>
      <c r="AA19" s="35" t="s">
        <v>27</v>
      </c>
    </row>
    <row r="20" spans="1:27" ht="26" thickBot="1">
      <c r="A20" s="46"/>
      <c r="B20" s="80"/>
      <c r="C20" s="92" t="str">
        <f>B14</f>
        <v>AMZN</v>
      </c>
      <c r="D20" s="85" t="str">
        <f>C14</f>
        <v>BRK.B</v>
      </c>
      <c r="E20" s="86" t="str">
        <f>D14</f>
        <v>GOOG</v>
      </c>
      <c r="F20" s="87" t="str">
        <f>E14</f>
        <v>NVDA</v>
      </c>
      <c r="AA20" s="35" t="s">
        <v>28</v>
      </c>
    </row>
    <row r="21" spans="1:27" ht="19">
      <c r="A21" s="46"/>
      <c r="B21" s="71" t="s">
        <v>29</v>
      </c>
      <c r="C21" s="72">
        <v>7.0358516204700544E-2</v>
      </c>
      <c r="D21" s="72">
        <v>0.6975594342631416</v>
      </c>
      <c r="E21" s="72">
        <v>0.23208210913680624</v>
      </c>
      <c r="F21" s="73">
        <v>0</v>
      </c>
      <c r="AA21" s="35" t="s">
        <v>30</v>
      </c>
    </row>
    <row r="22" spans="1:27" ht="28">
      <c r="A22" s="47" t="str">
        <f>C20</f>
        <v>AMZN</v>
      </c>
      <c r="B22" s="74">
        <f>C21</f>
        <v>7.0358516204700544E-2</v>
      </c>
      <c r="C22" s="75">
        <f>IFERROR(INDEX(metric!$B$2:$AW$49, MATCH(A22, metric!$A$2:$A$49, 0), MATCH($C$20, metric!$B$1:$AW$1, 0)), "未找到")</f>
        <v>8.9756124606151701E-3</v>
      </c>
      <c r="D22" s="75">
        <f>IFERROR(INDEX(metric!$B$2:$AW$49, MATCH(A22, metric!$A$2:$A$49, 0), MATCH($D$20, metric!$B$1:$AW$1, 0)), "未找到")</f>
        <v>1.91550792143038E-3</v>
      </c>
      <c r="E22" s="75">
        <f>IFERROR(INDEX(metric!$B$2:$AW$49, MATCH(A22, metric!$A$2:$A$49, 0), MATCH($E$20, metric!$B$1:$AW$1, 0)), "未找到")</f>
        <v>4.5645665786188099E-3</v>
      </c>
      <c r="F22" s="76">
        <f>IFERROR(INDEX(metric!$B$2:$AW$49, MATCH(A22, metric!$A$2:$A$49, 0), MATCH($F$20, metric!$B$1:$AW$1, 0)), "未找到")</f>
        <v>8.3894137096312497E-3</v>
      </c>
      <c r="AA22" s="35" t="s">
        <v>31</v>
      </c>
    </row>
    <row r="23" spans="1:27" ht="28">
      <c r="A23" s="48" t="str">
        <f>D20</f>
        <v>BRK.B</v>
      </c>
      <c r="B23" s="74">
        <f>D21</f>
        <v>0.6975594342631416</v>
      </c>
      <c r="C23" s="75">
        <f>IFERROR(INDEX(metric!$B$2:$AW$49, MATCH(A23, metric!$A$2:$A$49, 0), MATCH($C$20, metric!$B$1:$AW$1, 0)), "未找到")</f>
        <v>1.91550792143038E-3</v>
      </c>
      <c r="D23" s="75">
        <f>IFERROR(INDEX(metric!$B$2:$AW$49, MATCH(A23, metric!$A$2:$A$49, 0), MATCH($D$20, metric!$B$1:$AW$1, 0)), "未找到")</f>
        <v>3.5208650460527599E-3</v>
      </c>
      <c r="E23" s="75">
        <f>IFERROR(INDEX(metric!$B$2:$AW$49, MATCH(A23, metric!$A$2:$A$49, 0), MATCH($E$20, metric!$B$1:$AW$1, 0)), "未找到")</f>
        <v>1.87978013343489E-3</v>
      </c>
      <c r="F23" s="76">
        <f>IFERROR(INDEX(metric!$B$2:$AW$49, MATCH(A23, metric!$A$2:$A$49, 0), MATCH($F$20, metric!$B$1:$AW$1, 0)), "未找到")</f>
        <v>3.3180382457472899E-3</v>
      </c>
      <c r="AA23" s="35" t="s">
        <v>32</v>
      </c>
    </row>
    <row r="24" spans="1:27" ht="28">
      <c r="A24" s="49" t="str">
        <f>E20</f>
        <v>GOOG</v>
      </c>
      <c r="B24" s="74">
        <f>E21</f>
        <v>0.23208210913680624</v>
      </c>
      <c r="C24" s="75">
        <f>IFERROR(INDEX(metric!$B$2:$AW$49, MATCH(A24, metric!$A$2:$A$49, 0), MATCH($C$20, metric!$B$1:$AW$1, 0)), "未找到")</f>
        <v>4.5645665786188099E-3</v>
      </c>
      <c r="D24" s="75">
        <f>IFERROR(INDEX(metric!$B$2:$AW$49, MATCH(A24, metric!$A$2:$A$49, 0), MATCH($D$20, metric!$B$1:$AW$1, 0)), "未找到")</f>
        <v>1.87978013343489E-3</v>
      </c>
      <c r="E24" s="75">
        <f>IFERROR(INDEX(metric!$B$2:$AW$49, MATCH(A24, metric!$A$2:$A$49, 0), MATCH($E$20, metric!$B$1:$AW$1, 0)), "未找到")</f>
        <v>6.0092212672773499E-3</v>
      </c>
      <c r="F24" s="76">
        <f>IFERROR(INDEX(metric!$B$2:$AW$49, MATCH(A24, metric!$A$2:$A$49, 0), MATCH($F$20, metric!$B$1:$AW$1, 0)), "未找到")</f>
        <v>6.3421139252451599E-3</v>
      </c>
      <c r="AA24" s="35" t="s">
        <v>33</v>
      </c>
    </row>
    <row r="25" spans="1:27" ht="28">
      <c r="A25" s="50" t="str">
        <f>F20</f>
        <v>NVDA</v>
      </c>
      <c r="B25" s="77">
        <f>F21</f>
        <v>0</v>
      </c>
      <c r="C25" s="78">
        <f>IFERROR(INDEX(metric!$B$2:$AW$49, MATCH(A25, metric!$A$2:$A$49, 0), MATCH($C$20, metric!$B$1:$AW$1, 0)), "未找到")</f>
        <v>8.3894137096312497E-3</v>
      </c>
      <c r="D25" s="78">
        <f>IFERROR(INDEX(metric!$B$2:$AW$49, MATCH(A25, metric!$A$2:$A$49, 0), MATCH($D$20, metric!$B$1:$AW$1, 0)), "未找到")</f>
        <v>3.3180382457472899E-3</v>
      </c>
      <c r="E25" s="78">
        <f>IFERROR(INDEX(metric!$B$2:$AW$49, MATCH(A25, metric!$A$2:$A$49, 0), MATCH($E$20, metric!$B$1:$AW$1, 0)), "未找到")</f>
        <v>6.3421139252451599E-3</v>
      </c>
      <c r="F25" s="79">
        <f>IFERROR(INDEX(metric!$B$2:$AW$49, MATCH(A25, metric!$A$2:$A$49, 0), MATCH($F$20, metric!$B$1:$AW$1, 0)), "未找到")</f>
        <v>2.0587056364941202E-2</v>
      </c>
      <c r="AA25" s="35" t="s">
        <v>34</v>
      </c>
    </row>
    <row r="26" spans="1:27">
      <c r="A26" s="46"/>
      <c r="B26" s="80"/>
      <c r="C26" s="80"/>
      <c r="D26" s="80"/>
      <c r="E26" s="80"/>
      <c r="F26" s="81"/>
      <c r="AA26" s="35" t="s">
        <v>35</v>
      </c>
    </row>
    <row r="27" spans="1:27">
      <c r="A27" s="46"/>
      <c r="B27" s="80"/>
      <c r="C27" s="80"/>
      <c r="D27" s="80"/>
      <c r="E27" s="80"/>
      <c r="F27" s="81"/>
      <c r="AA27" s="35" t="s">
        <v>36</v>
      </c>
    </row>
    <row r="28" spans="1:27" ht="19">
      <c r="A28" s="51" t="s">
        <v>67</v>
      </c>
      <c r="B28" s="82"/>
      <c r="C28" s="83">
        <f>C21*SUMPRODUCT($B$22:$B$25,C22:C25)</f>
        <v>2.1297843940600242E-4</v>
      </c>
      <c r="D28" s="83">
        <f t="shared" ref="D28:F28" si="0">D21*SUMPRODUCT($B$22:$B$25,D22:D25)</f>
        <v>2.1115460737227277E-3</v>
      </c>
      <c r="E28" s="83">
        <f t="shared" si="0"/>
        <v>7.0252350884116661E-4</v>
      </c>
      <c r="F28" s="83">
        <f t="shared" si="0"/>
        <v>0</v>
      </c>
      <c r="AA28" s="35" t="s">
        <v>37</v>
      </c>
    </row>
    <row r="29" spans="1:27" ht="19">
      <c r="A29" s="52"/>
      <c r="B29" s="53"/>
      <c r="C29" s="53"/>
      <c r="D29" s="53"/>
      <c r="E29" s="53"/>
      <c r="F29" s="54"/>
      <c r="AA29" s="35" t="s">
        <v>38</v>
      </c>
    </row>
    <row r="30" spans="1:27">
      <c r="AA30" s="35" t="s">
        <v>39</v>
      </c>
    </row>
    <row r="31" spans="1:27">
      <c r="AA31" s="35" t="s">
        <v>40</v>
      </c>
    </row>
    <row r="32" spans="1:27">
      <c r="AA32" s="35" t="s">
        <v>41</v>
      </c>
    </row>
    <row r="33" spans="1:27">
      <c r="AA33" s="35" t="s">
        <v>42</v>
      </c>
    </row>
    <row r="34" spans="1:27">
      <c r="AA34" s="35" t="s">
        <v>43</v>
      </c>
    </row>
    <row r="35" spans="1:27">
      <c r="AA35" s="35" t="s">
        <v>44</v>
      </c>
    </row>
    <row r="36" spans="1:27">
      <c r="AA36" s="35" t="s">
        <v>45</v>
      </c>
    </row>
    <row r="37" spans="1:27" ht="96">
      <c r="F37" s="93" t="s">
        <v>79</v>
      </c>
      <c r="G37" s="39"/>
      <c r="H37" s="39"/>
      <c r="AA37" s="35" t="s">
        <v>46</v>
      </c>
    </row>
    <row r="38" spans="1:27">
      <c r="AA38" s="35" t="s">
        <v>47</v>
      </c>
    </row>
    <row r="39" spans="1:27">
      <c r="AA39" s="35" t="s">
        <v>48</v>
      </c>
    </row>
    <row r="40" spans="1:27">
      <c r="AA40" s="35" t="s">
        <v>49</v>
      </c>
    </row>
    <row r="41" spans="1:27">
      <c r="AA41" s="35" t="s">
        <v>50</v>
      </c>
    </row>
    <row r="42" spans="1:27">
      <c r="AA42" s="35" t="s">
        <v>51</v>
      </c>
    </row>
    <row r="43" spans="1:27">
      <c r="AA43" s="35" t="s">
        <v>52</v>
      </c>
    </row>
    <row r="44" spans="1:27" ht="28">
      <c r="A44" s="65" t="s">
        <v>66</v>
      </c>
      <c r="B44" s="66"/>
      <c r="AA44" s="35" t="s">
        <v>53</v>
      </c>
    </row>
    <row r="45" spans="1:27" ht="25">
      <c r="A45" s="36" t="s">
        <v>62</v>
      </c>
      <c r="B45" s="68">
        <f>SUM(C21:F21)</f>
        <v>1.0000000596046483</v>
      </c>
      <c r="AA45" s="35" t="s">
        <v>10</v>
      </c>
    </row>
    <row r="46" spans="1:27" ht="25">
      <c r="A46" s="37" t="s">
        <v>63</v>
      </c>
      <c r="B46" s="69">
        <f ca="1">SUMPRODUCT(B15:E15,C21:F21)</f>
        <v>1.5617257286629545E-2</v>
      </c>
      <c r="AA46" s="35" t="s">
        <v>54</v>
      </c>
    </row>
    <row r="47" spans="1:27" ht="25">
      <c r="A47" s="37" t="s">
        <v>64</v>
      </c>
      <c r="B47" s="69">
        <f>SUM(C28:F28)^0.5</f>
        <v>5.5018615231300548E-2</v>
      </c>
      <c r="AA47" s="35" t="s">
        <v>55</v>
      </c>
    </row>
    <row r="48" spans="1:27" ht="25">
      <c r="A48" s="38" t="s">
        <v>65</v>
      </c>
      <c r="B48" s="70">
        <f ca="1">(B46-B10)/B47</f>
        <v>0.10209739490923866</v>
      </c>
      <c r="AA48" s="35" t="s">
        <v>56</v>
      </c>
    </row>
    <row r="49" spans="27:27">
      <c r="AA49" s="35" t="s">
        <v>57</v>
      </c>
    </row>
    <row r="50" spans="27:27">
      <c r="AA50" s="35" t="s">
        <v>3</v>
      </c>
    </row>
  </sheetData>
  <sheetProtection selectLockedCells="1" autoFilter="0" pivotTables="0"/>
  <mergeCells count="1">
    <mergeCell ref="A44:B44"/>
  </mergeCells>
  <dataValidations count="2">
    <dataValidation type="list" allowBlank="1" showInputMessage="1" showErrorMessage="1" sqref="B3:B6" xr:uid="{4318401F-974A-4242-88EE-3712214DD406}">
      <formula1>$AA$1:$AA$50</formula1>
    </dataValidation>
    <dataValidation type="list" allowBlank="1" showInputMessage="1" showErrorMessage="1" errorTitle="Invalid data" promptTitle="Choose Optimization Goal" sqref="F37" xr:uid="{77522BB0-8F88-400B-A1D0-D1747672617E}">
      <formula1>"Minimize Standard Deviation, Maximize Sharpe Ratio"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ynamicOptimizePortfolio">
                <anchor moveWithCells="1">
                  <from>
                    <xdr:col>5</xdr:col>
                    <xdr:colOff>114300</xdr:colOff>
                    <xdr:row>45</xdr:row>
                    <xdr:rowOff>139700</xdr:rowOff>
                  </from>
                  <to>
                    <xdr:col>8</xdr:col>
                    <xdr:colOff>939800</xdr:colOff>
                    <xdr:row>47</xdr:row>
                    <xdr:rowOff>215900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A450F-818D-E446-9DD9-F401589CE730}">
  <dimension ref="A1:IQ51"/>
  <sheetViews>
    <sheetView topLeftCell="HV13" workbookViewId="0">
      <selection activeCell="IC44" sqref="IC43:IC44"/>
    </sheetView>
  </sheetViews>
  <sheetFormatPr baseColWidth="10" defaultColWidth="11.5" defaultRowHeight="15"/>
  <cols>
    <col min="1" max="1" width="19.5" customWidth="1"/>
  </cols>
  <sheetData>
    <row r="1" spans="1:251" ht="15" customHeight="1">
      <c r="A1" s="67" t="s">
        <v>78</v>
      </c>
      <c r="B1" s="67"/>
      <c r="C1" s="67"/>
    </row>
    <row r="2" spans="1:251">
      <c r="A2" s="67"/>
      <c r="B2" s="67"/>
      <c r="C2" s="67"/>
    </row>
    <row r="3" spans="1:251">
      <c r="A3" cm="1" vm="48">
        <f t="array" aca="1" ref="A3:IQ4" ca="1">TRANSPOSE(_xlfn.STOCKHISTORY('Stock Portfolio Optimization '!A4,TODAY()-365,TODAY(),0,0,0,1))</f>
        <v>45272</v>
      </c>
      <c r="B3" vm="49">
        <f ca="1"/>
        <v>45273</v>
      </c>
      <c r="C3" vm="50">
        <f ca="1"/>
        <v>45274</v>
      </c>
      <c r="D3" vm="51">
        <f ca="1"/>
        <v>45275</v>
      </c>
      <c r="E3" vm="52">
        <f ca="1"/>
        <v>45278</v>
      </c>
      <c r="F3" vm="53">
        <f ca="1"/>
        <v>45279</v>
      </c>
      <c r="G3" vm="54">
        <f ca="1"/>
        <v>45280</v>
      </c>
      <c r="H3" vm="55">
        <f ca="1"/>
        <v>45281</v>
      </c>
      <c r="I3" vm="56">
        <f ca="1"/>
        <v>45282</v>
      </c>
      <c r="J3" vm="57">
        <f ca="1"/>
        <v>45286</v>
      </c>
      <c r="K3" vm="58">
        <f ca="1"/>
        <v>45287</v>
      </c>
      <c r="L3" vm="59">
        <f ca="1"/>
        <v>45288</v>
      </c>
      <c r="M3" vm="60">
        <f ca="1"/>
        <v>45289</v>
      </c>
      <c r="N3" vm="61">
        <f ca="1"/>
        <v>45293</v>
      </c>
      <c r="O3" vm="62">
        <f ca="1"/>
        <v>45294</v>
      </c>
      <c r="P3" vm="63">
        <f ca="1"/>
        <v>45295</v>
      </c>
      <c r="Q3" vm="64">
        <f ca="1"/>
        <v>45296</v>
      </c>
      <c r="R3" vm="65">
        <f ca="1"/>
        <v>45299</v>
      </c>
      <c r="S3" vm="66">
        <f ca="1"/>
        <v>45300</v>
      </c>
      <c r="T3" vm="67">
        <f ca="1"/>
        <v>45301</v>
      </c>
      <c r="U3" vm="68">
        <f ca="1"/>
        <v>45302</v>
      </c>
      <c r="V3" vm="69">
        <f ca="1"/>
        <v>45303</v>
      </c>
      <c r="W3" vm="70">
        <f ca="1"/>
        <v>45307</v>
      </c>
      <c r="X3" vm="71">
        <f ca="1"/>
        <v>45308</v>
      </c>
      <c r="Y3" vm="72">
        <f ca="1"/>
        <v>45309</v>
      </c>
      <c r="Z3" vm="73">
        <f ca="1"/>
        <v>45310</v>
      </c>
      <c r="AA3" vm="74">
        <f ca="1"/>
        <v>45313</v>
      </c>
      <c r="AB3" vm="75">
        <f ca="1"/>
        <v>45314</v>
      </c>
      <c r="AC3" vm="76">
        <f ca="1"/>
        <v>45315</v>
      </c>
      <c r="AD3" vm="77">
        <f ca="1"/>
        <v>45316</v>
      </c>
      <c r="AE3" vm="78">
        <f ca="1"/>
        <v>45317</v>
      </c>
      <c r="AF3" vm="79">
        <f ca="1"/>
        <v>45320</v>
      </c>
      <c r="AG3" vm="80">
        <f ca="1"/>
        <v>45321</v>
      </c>
      <c r="AH3" vm="81">
        <f ca="1"/>
        <v>45322</v>
      </c>
      <c r="AI3" vm="82">
        <f ca="1"/>
        <v>45323</v>
      </c>
      <c r="AJ3" vm="83">
        <f ca="1"/>
        <v>45324</v>
      </c>
      <c r="AK3" vm="84">
        <f ca="1"/>
        <v>45327</v>
      </c>
      <c r="AL3" vm="85">
        <f ca="1"/>
        <v>45328</v>
      </c>
      <c r="AM3" vm="86">
        <f ca="1"/>
        <v>45329</v>
      </c>
      <c r="AN3" vm="87">
        <f ca="1"/>
        <v>45330</v>
      </c>
      <c r="AO3" vm="88">
        <f ca="1"/>
        <v>45331</v>
      </c>
      <c r="AP3" vm="89">
        <f ca="1"/>
        <v>45334</v>
      </c>
      <c r="AQ3" vm="90">
        <f ca="1"/>
        <v>45335</v>
      </c>
      <c r="AR3" vm="91">
        <f ca="1"/>
        <v>45336</v>
      </c>
      <c r="AS3" vm="92">
        <f ca="1"/>
        <v>45337</v>
      </c>
      <c r="AT3" vm="93">
        <f ca="1"/>
        <v>45338</v>
      </c>
      <c r="AU3" vm="94">
        <f ca="1"/>
        <v>45342</v>
      </c>
      <c r="AV3" vm="95">
        <f ca="1"/>
        <v>45343</v>
      </c>
      <c r="AW3" vm="96">
        <f ca="1"/>
        <v>45344</v>
      </c>
      <c r="AX3" vm="97">
        <f ca="1"/>
        <v>45345</v>
      </c>
      <c r="AY3" vm="98">
        <f ca="1"/>
        <v>45348</v>
      </c>
      <c r="AZ3" vm="99">
        <f ca="1"/>
        <v>45349</v>
      </c>
      <c r="BA3" vm="100">
        <f ca="1"/>
        <v>45350</v>
      </c>
      <c r="BB3" vm="101">
        <f ca="1"/>
        <v>45351</v>
      </c>
      <c r="BC3" vm="102">
        <f ca="1"/>
        <v>45352</v>
      </c>
      <c r="BD3" vm="103">
        <f ca="1"/>
        <v>45355</v>
      </c>
      <c r="BE3" vm="104">
        <f ca="1"/>
        <v>45356</v>
      </c>
      <c r="BF3" vm="105">
        <f ca="1"/>
        <v>45357</v>
      </c>
      <c r="BG3" vm="106">
        <f ca="1"/>
        <v>45358</v>
      </c>
      <c r="BH3" vm="107">
        <f ca="1"/>
        <v>45359</v>
      </c>
      <c r="BI3" vm="108">
        <f ca="1"/>
        <v>45362</v>
      </c>
      <c r="BJ3" vm="109">
        <f ca="1"/>
        <v>45363</v>
      </c>
      <c r="BK3" vm="110">
        <f ca="1"/>
        <v>45364</v>
      </c>
      <c r="BL3" vm="111">
        <f ca="1"/>
        <v>45365</v>
      </c>
      <c r="BM3" vm="112">
        <f ca="1"/>
        <v>45366</v>
      </c>
      <c r="BN3" vm="113">
        <f ca="1"/>
        <v>45369</v>
      </c>
      <c r="BO3" vm="114">
        <f ca="1"/>
        <v>45370</v>
      </c>
      <c r="BP3" vm="115">
        <f ca="1"/>
        <v>45371</v>
      </c>
      <c r="BQ3" vm="116">
        <f ca="1"/>
        <v>45372</v>
      </c>
      <c r="BR3" vm="117">
        <f ca="1"/>
        <v>45373</v>
      </c>
      <c r="BS3" vm="118">
        <f ca="1"/>
        <v>45376</v>
      </c>
      <c r="BT3" vm="119">
        <f ca="1"/>
        <v>45377</v>
      </c>
      <c r="BU3" vm="120">
        <f ca="1"/>
        <v>45378</v>
      </c>
      <c r="BV3" vm="121">
        <f ca="1"/>
        <v>45379</v>
      </c>
      <c r="BW3" vm="122">
        <f ca="1"/>
        <v>45383</v>
      </c>
      <c r="BX3" vm="123">
        <f ca="1"/>
        <v>45384</v>
      </c>
      <c r="BY3" vm="124">
        <f ca="1"/>
        <v>45385</v>
      </c>
      <c r="BZ3" vm="125">
        <f ca="1"/>
        <v>45386</v>
      </c>
      <c r="CA3" vm="126">
        <f ca="1"/>
        <v>45387</v>
      </c>
      <c r="CB3" vm="127">
        <f ca="1"/>
        <v>45390</v>
      </c>
      <c r="CC3" vm="128">
        <f ca="1"/>
        <v>45391</v>
      </c>
      <c r="CD3" vm="129">
        <f ca="1"/>
        <v>45392</v>
      </c>
      <c r="CE3" vm="130">
        <f ca="1"/>
        <v>45393</v>
      </c>
      <c r="CF3" vm="131">
        <f ca="1"/>
        <v>45394</v>
      </c>
      <c r="CG3" vm="132">
        <f ca="1"/>
        <v>45397</v>
      </c>
      <c r="CH3" vm="133">
        <f ca="1"/>
        <v>45398</v>
      </c>
      <c r="CI3" vm="134">
        <f ca="1"/>
        <v>45399</v>
      </c>
      <c r="CJ3" vm="135">
        <f ca="1"/>
        <v>45400</v>
      </c>
      <c r="CK3" vm="136">
        <f ca="1"/>
        <v>45401</v>
      </c>
      <c r="CL3" vm="137">
        <f ca="1"/>
        <v>45404</v>
      </c>
      <c r="CM3" vm="138">
        <f ca="1"/>
        <v>45405</v>
      </c>
      <c r="CN3" vm="139">
        <f ca="1"/>
        <v>45406</v>
      </c>
      <c r="CO3" vm="140">
        <f ca="1"/>
        <v>45407</v>
      </c>
      <c r="CP3" vm="141">
        <f ca="1"/>
        <v>45408</v>
      </c>
      <c r="CQ3" vm="142">
        <f ca="1"/>
        <v>45411</v>
      </c>
      <c r="CR3" vm="143">
        <f ca="1"/>
        <v>45412</v>
      </c>
      <c r="CS3" vm="144">
        <f ca="1"/>
        <v>45413</v>
      </c>
      <c r="CT3" vm="145">
        <f ca="1"/>
        <v>45414</v>
      </c>
      <c r="CU3" vm="146">
        <f ca="1"/>
        <v>45415</v>
      </c>
      <c r="CV3" vm="147">
        <f ca="1"/>
        <v>45418</v>
      </c>
      <c r="CW3" vm="148">
        <f ca="1"/>
        <v>45419</v>
      </c>
      <c r="CX3" vm="149">
        <f ca="1"/>
        <v>45420</v>
      </c>
      <c r="CY3" vm="150">
        <f ca="1"/>
        <v>45421</v>
      </c>
      <c r="CZ3" vm="151">
        <f ca="1"/>
        <v>45422</v>
      </c>
      <c r="DA3" vm="152">
        <f ca="1"/>
        <v>45425</v>
      </c>
      <c r="DB3" vm="153">
        <f ca="1"/>
        <v>45426</v>
      </c>
      <c r="DC3" vm="154">
        <f ca="1"/>
        <v>45427</v>
      </c>
      <c r="DD3" vm="155">
        <f ca="1"/>
        <v>45428</v>
      </c>
      <c r="DE3" vm="156">
        <f ca="1"/>
        <v>45429</v>
      </c>
      <c r="DF3" vm="157">
        <f ca="1"/>
        <v>45432</v>
      </c>
      <c r="DG3" vm="158">
        <f ca="1"/>
        <v>45433</v>
      </c>
      <c r="DH3" vm="159">
        <f ca="1"/>
        <v>45434</v>
      </c>
      <c r="DI3" vm="160">
        <f ca="1"/>
        <v>45435</v>
      </c>
      <c r="DJ3" vm="161">
        <f ca="1"/>
        <v>45436</v>
      </c>
      <c r="DK3" vm="162">
        <f ca="1"/>
        <v>45440</v>
      </c>
      <c r="DL3" vm="163">
        <f ca="1"/>
        <v>45441</v>
      </c>
      <c r="DM3" vm="164">
        <f ca="1"/>
        <v>45442</v>
      </c>
      <c r="DN3" vm="165">
        <f ca="1"/>
        <v>45443</v>
      </c>
      <c r="DO3" vm="166">
        <f ca="1"/>
        <v>45446</v>
      </c>
      <c r="DP3" vm="167">
        <f ca="1"/>
        <v>45447</v>
      </c>
      <c r="DQ3" vm="168">
        <f ca="1"/>
        <v>45448</v>
      </c>
      <c r="DR3" vm="169">
        <f ca="1"/>
        <v>45449</v>
      </c>
      <c r="DS3" vm="170">
        <f ca="1"/>
        <v>45450</v>
      </c>
      <c r="DT3" vm="171">
        <f ca="1"/>
        <v>45453</v>
      </c>
      <c r="DU3" vm="172">
        <f ca="1"/>
        <v>45454</v>
      </c>
      <c r="DV3" vm="173">
        <f ca="1"/>
        <v>45455</v>
      </c>
      <c r="DW3" vm="174">
        <f ca="1"/>
        <v>45456</v>
      </c>
      <c r="DX3" vm="175">
        <f ca="1"/>
        <v>45457</v>
      </c>
      <c r="DY3" vm="176">
        <f ca="1"/>
        <v>45460</v>
      </c>
      <c r="DZ3" vm="177">
        <f ca="1"/>
        <v>45461</v>
      </c>
      <c r="EA3" vm="178">
        <f ca="1"/>
        <v>45463</v>
      </c>
      <c r="EB3" vm="179">
        <f ca="1"/>
        <v>45464</v>
      </c>
      <c r="EC3" vm="180">
        <f ca="1"/>
        <v>45467</v>
      </c>
      <c r="ED3" vm="181">
        <f ca="1"/>
        <v>45468</v>
      </c>
      <c r="EE3" vm="182">
        <f ca="1"/>
        <v>45469</v>
      </c>
      <c r="EF3" vm="183">
        <f ca="1"/>
        <v>45470</v>
      </c>
      <c r="EG3" vm="184">
        <f ca="1"/>
        <v>45471</v>
      </c>
      <c r="EH3" vm="185">
        <f ca="1"/>
        <v>45474</v>
      </c>
      <c r="EI3" vm="186">
        <f ca="1"/>
        <v>45475</v>
      </c>
      <c r="EJ3" vm="187">
        <f ca="1"/>
        <v>45476</v>
      </c>
      <c r="EK3" vm="188">
        <f ca="1"/>
        <v>45478</v>
      </c>
      <c r="EL3" vm="189">
        <f ca="1"/>
        <v>45481</v>
      </c>
      <c r="EM3" vm="190">
        <f ca="1"/>
        <v>45482</v>
      </c>
      <c r="EN3" vm="191">
        <f ca="1"/>
        <v>45483</v>
      </c>
      <c r="EO3" vm="192">
        <f ca="1"/>
        <v>45484</v>
      </c>
      <c r="EP3" vm="193">
        <f ca="1"/>
        <v>45485</v>
      </c>
      <c r="EQ3" vm="194">
        <f ca="1"/>
        <v>45488</v>
      </c>
      <c r="ER3" vm="195">
        <f ca="1"/>
        <v>45489</v>
      </c>
      <c r="ES3" vm="196">
        <f ca="1"/>
        <v>45490</v>
      </c>
      <c r="ET3" vm="197">
        <f ca="1"/>
        <v>45491</v>
      </c>
      <c r="EU3" vm="198">
        <f ca="1"/>
        <v>45492</v>
      </c>
      <c r="EV3" vm="199">
        <f ca="1"/>
        <v>45495</v>
      </c>
      <c r="EW3" vm="200">
        <f ca="1"/>
        <v>45496</v>
      </c>
      <c r="EX3" vm="201">
        <f ca="1"/>
        <v>45497</v>
      </c>
      <c r="EY3" vm="202">
        <f ca="1"/>
        <v>45498</v>
      </c>
      <c r="EZ3" vm="203">
        <f ca="1"/>
        <v>45499</v>
      </c>
      <c r="FA3" vm="204">
        <f ca="1"/>
        <v>45502</v>
      </c>
      <c r="FB3" vm="205">
        <f ca="1"/>
        <v>45503</v>
      </c>
      <c r="FC3" vm="206">
        <f ca="1"/>
        <v>45504</v>
      </c>
      <c r="FD3" vm="207">
        <f ca="1"/>
        <v>45505</v>
      </c>
      <c r="FE3" vm="208">
        <f ca="1"/>
        <v>45506</v>
      </c>
      <c r="FF3" vm="209">
        <f ca="1"/>
        <v>45509</v>
      </c>
      <c r="FG3" vm="210">
        <f ca="1"/>
        <v>45510</v>
      </c>
      <c r="FH3" vm="211">
        <f ca="1"/>
        <v>45511</v>
      </c>
      <c r="FI3" vm="212">
        <f ca="1"/>
        <v>45512</v>
      </c>
      <c r="FJ3" vm="213">
        <f ca="1"/>
        <v>45513</v>
      </c>
      <c r="FK3" vm="214">
        <f ca="1"/>
        <v>45516</v>
      </c>
      <c r="FL3" vm="215">
        <f ca="1"/>
        <v>45517</v>
      </c>
      <c r="FM3" vm="216">
        <f ca="1"/>
        <v>45518</v>
      </c>
      <c r="FN3" vm="217">
        <f ca="1"/>
        <v>45519</v>
      </c>
      <c r="FO3" vm="218">
        <f ca="1"/>
        <v>45520</v>
      </c>
      <c r="FP3" vm="219">
        <f ca="1"/>
        <v>45523</v>
      </c>
      <c r="FQ3" vm="220">
        <f ca="1"/>
        <v>45524</v>
      </c>
      <c r="FR3" vm="221">
        <f ca="1"/>
        <v>45525</v>
      </c>
      <c r="FS3" vm="222">
        <f ca="1"/>
        <v>45526</v>
      </c>
      <c r="FT3" vm="223">
        <f ca="1"/>
        <v>45527</v>
      </c>
      <c r="FU3" vm="224">
        <f ca="1"/>
        <v>45530</v>
      </c>
      <c r="FV3" vm="225">
        <f ca="1"/>
        <v>45531</v>
      </c>
      <c r="FW3" vm="226">
        <f ca="1"/>
        <v>45532</v>
      </c>
      <c r="FX3" vm="227">
        <f ca="1"/>
        <v>45533</v>
      </c>
      <c r="FY3" vm="228">
        <f ca="1"/>
        <v>45534</v>
      </c>
      <c r="FZ3" vm="229">
        <f ca="1"/>
        <v>45538</v>
      </c>
      <c r="GA3" vm="230">
        <f ca="1"/>
        <v>45539</v>
      </c>
      <c r="GB3" vm="231">
        <f ca="1"/>
        <v>45540</v>
      </c>
      <c r="GC3" vm="232">
        <f ca="1"/>
        <v>45541</v>
      </c>
      <c r="GD3" vm="233">
        <f ca="1"/>
        <v>45544</v>
      </c>
      <c r="GE3" vm="234">
        <f ca="1"/>
        <v>45545</v>
      </c>
      <c r="GF3" vm="235">
        <f ca="1"/>
        <v>45546</v>
      </c>
      <c r="GG3" vm="236">
        <f ca="1"/>
        <v>45547</v>
      </c>
      <c r="GH3" vm="237">
        <f ca="1"/>
        <v>45548</v>
      </c>
      <c r="GI3" vm="238">
        <f ca="1"/>
        <v>45551</v>
      </c>
      <c r="GJ3" vm="239">
        <f ca="1"/>
        <v>45552</v>
      </c>
      <c r="GK3" vm="240">
        <f ca="1"/>
        <v>45553</v>
      </c>
      <c r="GL3" vm="241">
        <f ca="1"/>
        <v>45554</v>
      </c>
      <c r="GM3" vm="242">
        <f ca="1"/>
        <v>45555</v>
      </c>
      <c r="GN3" vm="243">
        <f ca="1"/>
        <v>45558</v>
      </c>
      <c r="GO3" vm="244">
        <f ca="1"/>
        <v>45559</v>
      </c>
      <c r="GP3" vm="245">
        <f ca="1"/>
        <v>45560</v>
      </c>
      <c r="GQ3" vm="246">
        <f ca="1"/>
        <v>45561</v>
      </c>
      <c r="GR3" vm="247">
        <f ca="1"/>
        <v>45562</v>
      </c>
      <c r="GS3" vm="248">
        <f ca="1"/>
        <v>45565</v>
      </c>
      <c r="GT3" vm="249">
        <f ca="1"/>
        <v>45566</v>
      </c>
      <c r="GU3" vm="250">
        <f ca="1"/>
        <v>45567</v>
      </c>
      <c r="GV3" vm="251">
        <f ca="1"/>
        <v>45568</v>
      </c>
      <c r="GW3" vm="252">
        <f ca="1"/>
        <v>45569</v>
      </c>
      <c r="GX3" vm="253">
        <f ca="1"/>
        <v>45572</v>
      </c>
      <c r="GY3" vm="254">
        <f ca="1"/>
        <v>45573</v>
      </c>
      <c r="GZ3" vm="255">
        <f ca="1"/>
        <v>45574</v>
      </c>
      <c r="HA3" vm="256">
        <f ca="1"/>
        <v>45575</v>
      </c>
      <c r="HB3" vm="257">
        <f ca="1"/>
        <v>45576</v>
      </c>
      <c r="HC3" vm="258">
        <f ca="1"/>
        <v>45579</v>
      </c>
      <c r="HD3" vm="259">
        <f ca="1"/>
        <v>45580</v>
      </c>
      <c r="HE3" vm="260">
        <f ca="1"/>
        <v>45581</v>
      </c>
      <c r="HF3" vm="261">
        <f ca="1"/>
        <v>45582</v>
      </c>
      <c r="HG3" vm="262">
        <f ca="1"/>
        <v>45583</v>
      </c>
      <c r="HH3" vm="263">
        <f ca="1"/>
        <v>45586</v>
      </c>
      <c r="HI3" vm="264">
        <f ca="1"/>
        <v>45587</v>
      </c>
      <c r="HJ3" vm="265">
        <f ca="1"/>
        <v>45588</v>
      </c>
      <c r="HK3" vm="266">
        <f ca="1"/>
        <v>45589</v>
      </c>
      <c r="HL3" vm="267">
        <f ca="1"/>
        <v>45590</v>
      </c>
      <c r="HM3" vm="268">
        <f ca="1"/>
        <v>45593</v>
      </c>
      <c r="HN3" vm="269">
        <f ca="1"/>
        <v>45594</v>
      </c>
      <c r="HO3" vm="270">
        <f ca="1"/>
        <v>45595</v>
      </c>
      <c r="HP3" vm="271">
        <f ca="1"/>
        <v>45596</v>
      </c>
      <c r="HQ3" vm="272">
        <f ca="1"/>
        <v>45597</v>
      </c>
      <c r="HR3" vm="273">
        <f ca="1"/>
        <v>45600</v>
      </c>
      <c r="HS3" vm="274">
        <f ca="1"/>
        <v>45601</v>
      </c>
      <c r="HT3" vm="275">
        <f ca="1"/>
        <v>45602</v>
      </c>
      <c r="HU3" vm="276">
        <f ca="1"/>
        <v>45603</v>
      </c>
      <c r="HV3" vm="277">
        <f ca="1"/>
        <v>45604</v>
      </c>
      <c r="HW3" vm="278">
        <f ca="1"/>
        <v>45607</v>
      </c>
      <c r="HX3" vm="279">
        <f ca="1"/>
        <v>45608</v>
      </c>
      <c r="HY3" vm="280">
        <f ca="1"/>
        <v>45609</v>
      </c>
      <c r="HZ3" vm="281">
        <f ca="1"/>
        <v>45610</v>
      </c>
      <c r="IA3" vm="282">
        <f ca="1"/>
        <v>45611</v>
      </c>
      <c r="IB3" vm="283">
        <f ca="1"/>
        <v>45614</v>
      </c>
      <c r="IC3" vm="284">
        <f ca="1"/>
        <v>45615</v>
      </c>
      <c r="ID3" vm="285">
        <f ca="1"/>
        <v>45616</v>
      </c>
      <c r="IE3" vm="286">
        <f ca="1"/>
        <v>45617</v>
      </c>
      <c r="IF3" vm="287">
        <f ca="1"/>
        <v>45618</v>
      </c>
      <c r="IG3" vm="288">
        <f ca="1"/>
        <v>45621</v>
      </c>
      <c r="IH3" vm="289">
        <f ca="1"/>
        <v>45622</v>
      </c>
      <c r="II3" vm="290">
        <f ca="1"/>
        <v>45623</v>
      </c>
      <c r="IJ3" vm="291">
        <f ca="1"/>
        <v>45625</v>
      </c>
      <c r="IK3" vm="292">
        <f ca="1"/>
        <v>45628</v>
      </c>
      <c r="IL3" vm="293">
        <f ca="1"/>
        <v>45629</v>
      </c>
      <c r="IM3" vm="294">
        <f ca="1"/>
        <v>45630</v>
      </c>
      <c r="IN3" vm="295">
        <f ca="1"/>
        <v>45631</v>
      </c>
      <c r="IO3" vm="296">
        <f ca="1"/>
        <v>45632</v>
      </c>
      <c r="IP3" vm="297">
        <f ca="1"/>
        <v>45635</v>
      </c>
      <c r="IQ3" vm="298">
        <f ca="1"/>
        <v>45636</v>
      </c>
    </row>
    <row r="4" spans="1:251">
      <c r="A4" vm="299">
        <f ca="1"/>
        <v>633.66</v>
      </c>
      <c r="B4" vm="300">
        <f ca="1"/>
        <v>624.26</v>
      </c>
      <c r="C4" vm="301">
        <f ca="1"/>
        <v>584.64</v>
      </c>
      <c r="D4" vm="302">
        <f ca="1"/>
        <v>584.67999999999995</v>
      </c>
      <c r="E4" vm="303">
        <f ca="1"/>
        <v>599.13</v>
      </c>
      <c r="F4" vm="304">
        <f ca="1"/>
        <v>604.64</v>
      </c>
      <c r="G4" vm="305">
        <f ca="1"/>
        <v>596.05999999999995</v>
      </c>
      <c r="H4" vm="306">
        <f ca="1"/>
        <v>600.14</v>
      </c>
      <c r="I4" vm="307">
        <f ca="1"/>
        <v>598.75</v>
      </c>
      <c r="J4" vm="308">
        <f ca="1"/>
        <v>598.26</v>
      </c>
      <c r="K4" vm="309">
        <f ca="1"/>
        <v>596.08000000000004</v>
      </c>
      <c r="L4" vm="310">
        <f ca="1"/>
        <v>595.52</v>
      </c>
      <c r="M4" vm="311">
        <f ca="1"/>
        <v>596.6</v>
      </c>
      <c r="N4" vm="312">
        <f ca="1"/>
        <v>580.07000000000005</v>
      </c>
      <c r="O4" vm="313">
        <f ca="1"/>
        <v>571.79</v>
      </c>
      <c r="P4" vm="314">
        <f ca="1"/>
        <v>567.04999999999995</v>
      </c>
      <c r="Q4" vm="315">
        <f ca="1"/>
        <v>564.6</v>
      </c>
      <c r="R4" vm="316">
        <f ca="1"/>
        <v>580.54999999999995</v>
      </c>
      <c r="S4" vm="317">
        <f ca="1"/>
        <v>586.20000000000005</v>
      </c>
      <c r="T4" vm="318">
        <f ca="1"/>
        <v>591.03</v>
      </c>
      <c r="U4" vm="319">
        <f ca="1"/>
        <v>597.49</v>
      </c>
      <c r="V4" vm="320">
        <f ca="1"/>
        <v>596.54</v>
      </c>
      <c r="W4" vm="321">
        <f ca="1"/>
        <v>597.67999999999995</v>
      </c>
      <c r="X4" vm="322">
        <f ca="1"/>
        <v>596.1</v>
      </c>
      <c r="Y4" vm="323">
        <f ca="1"/>
        <v>593.70000000000005</v>
      </c>
      <c r="Z4" vm="324">
        <f ca="1"/>
        <v>611.54999999999995</v>
      </c>
      <c r="AA4" vm="325">
        <f ca="1"/>
        <v>603.59</v>
      </c>
      <c r="AB4" vm="326">
        <f ca="1"/>
        <v>597.17999999999995</v>
      </c>
      <c r="AC4" vm="327">
        <f ca="1"/>
        <v>606.48</v>
      </c>
      <c r="AD4" vm="328">
        <f ca="1"/>
        <v>622.58000000000004</v>
      </c>
      <c r="AE4" vm="329">
        <f ca="1"/>
        <v>613.92999999999995</v>
      </c>
      <c r="AF4" vm="330">
        <f ca="1"/>
        <v>630.23</v>
      </c>
      <c r="AG4" vm="331">
        <f ca="1"/>
        <v>627.96</v>
      </c>
      <c r="AH4" vm="332">
        <f ca="1"/>
        <v>617.78</v>
      </c>
      <c r="AI4" vm="333">
        <f ca="1"/>
        <v>627.91</v>
      </c>
      <c r="AJ4" vm="334">
        <f ca="1"/>
        <v>634.76</v>
      </c>
      <c r="AK4" vm="335">
        <f ca="1"/>
        <v>630.5</v>
      </c>
      <c r="AL4" vm="336">
        <f ca="1"/>
        <v>607.14</v>
      </c>
      <c r="AM4" vm="337">
        <f ca="1"/>
        <v>615.85</v>
      </c>
      <c r="AN4" vm="338">
        <f ca="1"/>
        <v>615.86</v>
      </c>
      <c r="AO4" vm="339">
        <f ca="1"/>
        <v>627.21</v>
      </c>
      <c r="AP4" vm="340">
        <f ca="1"/>
        <v>611.84</v>
      </c>
      <c r="AQ4" vm="341">
        <f ca="1"/>
        <v>601.89</v>
      </c>
      <c r="AR4" vm="342">
        <f ca="1"/>
        <v>604.66</v>
      </c>
      <c r="AS4" vm="343">
        <f ca="1"/>
        <v>590.44000000000005</v>
      </c>
      <c r="AT4" vm="344">
        <f ca="1"/>
        <v>546.66</v>
      </c>
      <c r="AU4" vm="345">
        <f ca="1"/>
        <v>541.91</v>
      </c>
      <c r="AV4" vm="346">
        <f ca="1"/>
        <v>538.52</v>
      </c>
      <c r="AW4" vm="347">
        <f ca="1"/>
        <v>537.57000000000005</v>
      </c>
      <c r="AX4" vm="348">
        <f ca="1"/>
        <v>553.44000000000005</v>
      </c>
      <c r="AY4" vm="349">
        <f ca="1"/>
        <v>560.48</v>
      </c>
      <c r="AZ4" vm="350">
        <f ca="1"/>
        <v>552.49</v>
      </c>
      <c r="BA4" vm="351">
        <f ca="1"/>
        <v>551.82000000000005</v>
      </c>
      <c r="BB4" vm="352">
        <f ca="1"/>
        <v>560.28</v>
      </c>
      <c r="BC4" vm="353">
        <f ca="1"/>
        <v>570.92999999999995</v>
      </c>
      <c r="BD4" vm="354">
        <f ca="1"/>
        <v>567.94000000000005</v>
      </c>
      <c r="BE4" vm="355">
        <f ca="1"/>
        <v>544.84</v>
      </c>
      <c r="BF4" vm="356">
        <f ca="1"/>
        <v>543.09</v>
      </c>
      <c r="BG4" vm="357">
        <f ca="1"/>
        <v>556.04</v>
      </c>
      <c r="BH4" vm="358">
        <f ca="1"/>
        <v>551.69000000000005</v>
      </c>
      <c r="BI4" vm="359">
        <f ca="1"/>
        <v>560.41999999999996</v>
      </c>
      <c r="BJ4" vm="360">
        <f ca="1"/>
        <v>579.14</v>
      </c>
      <c r="BK4" vm="361">
        <f ca="1"/>
        <v>573.54999999999995</v>
      </c>
      <c r="BL4" vm="362">
        <f ca="1"/>
        <v>570.45000000000005</v>
      </c>
      <c r="BM4" vm="363">
        <f ca="1"/>
        <v>492.46</v>
      </c>
      <c r="BN4" vm="364">
        <f ca="1"/>
        <v>513.86</v>
      </c>
      <c r="BO4" vm="365">
        <f ca="1"/>
        <v>521.19000000000005</v>
      </c>
      <c r="BP4" vm="366">
        <f ca="1"/>
        <v>519.14</v>
      </c>
      <c r="BQ4" vm="367">
        <f ca="1"/>
        <v>511.25</v>
      </c>
      <c r="BR4" vm="368">
        <f ca="1"/>
        <v>499.52</v>
      </c>
      <c r="BS4" vm="369">
        <f ca="1"/>
        <v>507.23</v>
      </c>
      <c r="BT4" vm="370">
        <f ca="1"/>
        <v>507.6</v>
      </c>
      <c r="BU4" vm="371">
        <f ca="1"/>
        <v>504.4</v>
      </c>
      <c r="BV4" vm="372">
        <f ca="1"/>
        <v>504.6</v>
      </c>
      <c r="BW4" vm="373">
        <f ca="1"/>
        <v>502.09</v>
      </c>
      <c r="BX4" vm="374">
        <f ca="1"/>
        <v>499.21</v>
      </c>
      <c r="BY4" vm="375">
        <f ca="1"/>
        <v>497.01</v>
      </c>
      <c r="BZ4" vm="376">
        <f ca="1"/>
        <v>487.11</v>
      </c>
      <c r="CA4" vm="377">
        <f ca="1"/>
        <v>485.12</v>
      </c>
      <c r="CB4" vm="378">
        <f ca="1"/>
        <v>484.28</v>
      </c>
      <c r="CC4" vm="379">
        <f ca="1"/>
        <v>492.55</v>
      </c>
      <c r="CD4" vm="380">
        <f ca="1"/>
        <v>487.22</v>
      </c>
      <c r="CE4" vm="378">
        <f ca="1"/>
        <v>484.28</v>
      </c>
      <c r="CF4" vm="381">
        <f ca="1"/>
        <v>474.09</v>
      </c>
      <c r="CG4" vm="382">
        <f ca="1"/>
        <v>470.1</v>
      </c>
      <c r="CH4" vm="383">
        <f ca="1"/>
        <v>476.22</v>
      </c>
      <c r="CI4" vm="384">
        <f ca="1"/>
        <v>474.45</v>
      </c>
      <c r="CJ4" vm="385">
        <f ca="1"/>
        <v>473.18</v>
      </c>
      <c r="CK4" vm="386">
        <f ca="1"/>
        <v>465.02</v>
      </c>
      <c r="CL4" vm="387">
        <f ca="1"/>
        <v>466.89</v>
      </c>
      <c r="CM4" vm="388">
        <f ca="1"/>
        <v>472.9</v>
      </c>
      <c r="CN4" vm="389">
        <f ca="1"/>
        <v>477.12</v>
      </c>
      <c r="CO4" vm="390">
        <f ca="1"/>
        <v>473.44</v>
      </c>
      <c r="CP4" vm="391">
        <f ca="1"/>
        <v>477.56</v>
      </c>
      <c r="CQ4" vm="392">
        <f ca="1"/>
        <v>473.07</v>
      </c>
      <c r="CR4" vm="393">
        <f ca="1"/>
        <v>462.83</v>
      </c>
      <c r="CS4" vm="394">
        <f ca="1"/>
        <v>469.39</v>
      </c>
      <c r="CT4" vm="395">
        <f ca="1"/>
        <v>476.57</v>
      </c>
      <c r="CU4" vm="396">
        <f ca="1"/>
        <v>486.18</v>
      </c>
      <c r="CV4" vm="397">
        <f ca="1"/>
        <v>493.59</v>
      </c>
      <c r="CW4" vm="398">
        <f ca="1"/>
        <v>492.27</v>
      </c>
      <c r="CX4" vm="399">
        <f ca="1"/>
        <v>488.1</v>
      </c>
      <c r="CY4" vm="400">
        <f ca="1"/>
        <v>482.65</v>
      </c>
      <c r="CZ4" vm="401">
        <f ca="1"/>
        <v>482.29</v>
      </c>
      <c r="DA4" vm="402">
        <f ca="1"/>
        <v>483.11</v>
      </c>
      <c r="DB4" vm="403">
        <f ca="1"/>
        <v>475.95</v>
      </c>
      <c r="DC4" vm="404">
        <f ca="1"/>
        <v>485.35</v>
      </c>
      <c r="DD4" vm="405">
        <f ca="1"/>
        <v>482.88</v>
      </c>
      <c r="DE4" vm="406">
        <f ca="1"/>
        <v>483.43</v>
      </c>
      <c r="DF4" vm="407">
        <f ca="1"/>
        <v>484.69</v>
      </c>
      <c r="DG4" vm="408">
        <f ca="1"/>
        <v>481.85</v>
      </c>
      <c r="DH4" vm="409">
        <f ca="1"/>
        <v>483.93</v>
      </c>
      <c r="DI4" vm="410">
        <f ca="1"/>
        <v>483.31</v>
      </c>
      <c r="DJ4" vm="411">
        <f ca="1"/>
        <v>475.43</v>
      </c>
      <c r="DK4" vm="412">
        <f ca="1"/>
        <v>478.43</v>
      </c>
      <c r="DL4" vm="413">
        <f ca="1"/>
        <v>477.6</v>
      </c>
      <c r="DM4" vm="414">
        <f ca="1"/>
        <v>445.87</v>
      </c>
      <c r="DN4" vm="415">
        <f ca="1"/>
        <v>444.76</v>
      </c>
      <c r="DO4" vm="416">
        <f ca="1"/>
        <v>439.02</v>
      </c>
      <c r="DP4" vm="417">
        <f ca="1"/>
        <v>448.37</v>
      </c>
      <c r="DQ4" vm="418">
        <f ca="1"/>
        <v>455.8</v>
      </c>
      <c r="DR4" vm="419">
        <f ca="1"/>
        <v>458.13</v>
      </c>
      <c r="DS4" vm="420">
        <f ca="1"/>
        <v>465.43</v>
      </c>
      <c r="DT4" vm="421">
        <f ca="1"/>
        <v>459.94</v>
      </c>
      <c r="DU4" vm="422">
        <f ca="1"/>
        <v>462.69</v>
      </c>
      <c r="DV4" vm="423">
        <f ca="1"/>
        <v>459.87</v>
      </c>
      <c r="DW4" vm="424">
        <f ca="1"/>
        <v>458.74</v>
      </c>
      <c r="DX4" vm="425">
        <f ca="1"/>
        <v>525.30999999999995</v>
      </c>
      <c r="DY4" vm="426">
        <f ca="1"/>
        <v>518.74</v>
      </c>
      <c r="DZ4" vm="427">
        <f ca="1"/>
        <v>522.25</v>
      </c>
      <c r="EA4" vm="428">
        <f ca="1"/>
        <v>522.95000000000005</v>
      </c>
      <c r="EB4" vm="429">
        <f ca="1"/>
        <v>533.44000000000005</v>
      </c>
      <c r="EC4" vm="430">
        <f ca="1"/>
        <v>524.16999999999996</v>
      </c>
      <c r="ED4" vm="431">
        <f ca="1"/>
        <v>526.88</v>
      </c>
      <c r="EE4" vm="432">
        <f ca="1"/>
        <v>528.66</v>
      </c>
      <c r="EF4" vm="433">
        <f ca="1"/>
        <v>546.76</v>
      </c>
      <c r="EG4" vm="434">
        <f ca="1"/>
        <v>555.54</v>
      </c>
      <c r="EH4" vm="435">
        <f ca="1"/>
        <v>560.01</v>
      </c>
      <c r="EI4" vm="436">
        <f ca="1"/>
        <v>567.71</v>
      </c>
      <c r="EJ4" vm="437">
        <f ca="1"/>
        <v>570.15</v>
      </c>
      <c r="EK4" vm="438">
        <f ca="1"/>
        <v>578.34</v>
      </c>
      <c r="EL4" vm="439">
        <f ca="1"/>
        <v>575.4</v>
      </c>
      <c r="EM4" vm="440">
        <f ca="1"/>
        <v>566.02</v>
      </c>
      <c r="EN4" vm="441">
        <f ca="1"/>
        <v>564.54999999999995</v>
      </c>
      <c r="EO4" vm="442">
        <f ca="1"/>
        <v>557.63</v>
      </c>
      <c r="EP4" vm="443">
        <f ca="1"/>
        <v>559.04999999999995</v>
      </c>
      <c r="EQ4" vm="444">
        <f ca="1"/>
        <v>565.71</v>
      </c>
      <c r="ER4" vm="445">
        <f ca="1"/>
        <v>566.54</v>
      </c>
      <c r="ES4" vm="446">
        <f ca="1"/>
        <v>563.09</v>
      </c>
      <c r="ET4" vm="447">
        <f ca="1"/>
        <v>556.85</v>
      </c>
      <c r="EU4" vm="448">
        <f ca="1"/>
        <v>551</v>
      </c>
      <c r="EV4" vm="449">
        <f ca="1"/>
        <v>554.82000000000005</v>
      </c>
      <c r="EW4" vm="450">
        <f ca="1"/>
        <v>546.01</v>
      </c>
      <c r="EX4" vm="451">
        <f ca="1"/>
        <v>531.04</v>
      </c>
      <c r="EY4" vm="452">
        <f ca="1"/>
        <v>532.15</v>
      </c>
      <c r="EZ4" vm="453">
        <f ca="1"/>
        <v>542.44000000000005</v>
      </c>
      <c r="FA4" vm="454">
        <f ca="1"/>
        <v>536.61</v>
      </c>
      <c r="FB4" vm="455">
        <f ca="1"/>
        <v>538.71</v>
      </c>
      <c r="FC4" vm="456">
        <f ca="1"/>
        <v>551.65</v>
      </c>
      <c r="FD4" vm="457">
        <f ca="1"/>
        <v>546.41</v>
      </c>
      <c r="FE4" vm="458">
        <f ca="1"/>
        <v>526.16999999999996</v>
      </c>
      <c r="FF4" vm="459">
        <f ca="1"/>
        <v>509.32</v>
      </c>
      <c r="FG4" vm="460">
        <f ca="1"/>
        <v>514.20000000000005</v>
      </c>
      <c r="FH4" vm="461">
        <f ca="1"/>
        <v>513.62</v>
      </c>
      <c r="FI4" vm="462">
        <f ca="1"/>
        <v>530.24</v>
      </c>
      <c r="FJ4" vm="463">
        <f ca="1"/>
        <v>536.29999999999995</v>
      </c>
      <c r="FK4" vm="464">
        <f ca="1"/>
        <v>530.92999999999995</v>
      </c>
      <c r="FL4" vm="465">
        <f ca="1"/>
        <v>535.22</v>
      </c>
      <c r="FM4" vm="466">
        <f ca="1"/>
        <v>539.79</v>
      </c>
      <c r="FN4" vm="467">
        <f ca="1"/>
        <v>554.16</v>
      </c>
      <c r="FO4" vm="468">
        <f ca="1"/>
        <v>553.46</v>
      </c>
      <c r="FP4" vm="469">
        <f ca="1"/>
        <v>563.12</v>
      </c>
      <c r="FQ4" vm="470">
        <f ca="1"/>
        <v>562.25</v>
      </c>
      <c r="FR4" vm="471">
        <f ca="1"/>
        <v>565.79</v>
      </c>
      <c r="FS4" vm="472">
        <f ca="1"/>
        <v>557.44000000000005</v>
      </c>
      <c r="FT4" vm="473">
        <f ca="1"/>
        <v>558.29999999999995</v>
      </c>
      <c r="FU4" vm="474">
        <f ca="1"/>
        <v>559.44000000000005</v>
      </c>
      <c r="FV4" vm="475">
        <f ca="1"/>
        <v>567.82000000000005</v>
      </c>
      <c r="FW4" vm="476">
        <f ca="1"/>
        <v>560.54</v>
      </c>
      <c r="FX4" vm="477">
        <f ca="1"/>
        <v>569.63</v>
      </c>
      <c r="FY4" vm="478">
        <f ca="1"/>
        <v>574.41</v>
      </c>
      <c r="FZ4" vm="479">
        <f ca="1"/>
        <v>571.04</v>
      </c>
      <c r="GA4" vm="480">
        <f ca="1"/>
        <v>575.25</v>
      </c>
      <c r="GB4" vm="481">
        <f ca="1"/>
        <v>567.92999999999995</v>
      </c>
      <c r="GC4" vm="482">
        <f ca="1"/>
        <v>563.41</v>
      </c>
      <c r="GD4" vm="483">
        <f ca="1"/>
        <v>569.88</v>
      </c>
      <c r="GE4" vm="484">
        <f ca="1"/>
        <v>574.48</v>
      </c>
      <c r="GF4" vm="485">
        <f ca="1"/>
        <v>580.38</v>
      </c>
      <c r="GG4" vm="486">
        <f ca="1"/>
        <v>586.54999999999995</v>
      </c>
      <c r="GH4" vm="487">
        <f ca="1"/>
        <v>536.87</v>
      </c>
      <c r="GI4" vm="488">
        <f ca="1"/>
        <v>521.5</v>
      </c>
      <c r="GJ4" vm="489">
        <f ca="1"/>
        <v>515.03</v>
      </c>
      <c r="GK4" vm="490">
        <f ca="1"/>
        <v>508.13</v>
      </c>
      <c r="GL4" vm="491">
        <f ca="1"/>
        <v>526.44000000000005</v>
      </c>
      <c r="GM4" vm="492">
        <f ca="1"/>
        <v>522.29999999999995</v>
      </c>
      <c r="GN4" vm="493">
        <f ca="1"/>
        <v>527.87</v>
      </c>
      <c r="GO4" vm="494">
        <f ca="1"/>
        <v>524.07000000000005</v>
      </c>
      <c r="GP4" vm="495">
        <f ca="1"/>
        <v>517.9</v>
      </c>
      <c r="GQ4" vm="496">
        <f ca="1"/>
        <v>515.38</v>
      </c>
      <c r="GR4" vm="497">
        <f ca="1"/>
        <v>515.48</v>
      </c>
      <c r="GS4" vm="498">
        <f ca="1"/>
        <v>517.78</v>
      </c>
      <c r="GT4" vm="499">
        <f ca="1"/>
        <v>502.8</v>
      </c>
      <c r="GU4" vm="500">
        <f ca="1"/>
        <v>505.81</v>
      </c>
      <c r="GV4" vm="501">
        <f ca="1"/>
        <v>503.8</v>
      </c>
      <c r="GW4" vm="502">
        <f ca="1"/>
        <v>507.22</v>
      </c>
      <c r="GX4" vm="503">
        <f ca="1"/>
        <v>487.3</v>
      </c>
      <c r="GY4" vm="504">
        <f ca="1"/>
        <v>496.24</v>
      </c>
      <c r="GZ4" vm="505">
        <f ca="1"/>
        <v>494.08</v>
      </c>
      <c r="HA4" vm="506">
        <f ca="1"/>
        <v>503.57</v>
      </c>
      <c r="HB4" vm="507">
        <f ca="1"/>
        <v>495.42</v>
      </c>
      <c r="HC4" vm="508">
        <f ca="1"/>
        <v>509.65</v>
      </c>
      <c r="HD4" vm="509">
        <f ca="1"/>
        <v>508.03</v>
      </c>
      <c r="HE4" vm="510">
        <f ca="1"/>
        <v>502.54</v>
      </c>
      <c r="HF4" vm="511">
        <f ca="1"/>
        <v>496.83</v>
      </c>
      <c r="HG4" vm="512">
        <f ca="1"/>
        <v>494.9</v>
      </c>
      <c r="HH4" vm="513">
        <f ca="1"/>
        <v>497.71</v>
      </c>
      <c r="HI4" vm="514">
        <f ca="1"/>
        <v>493.11</v>
      </c>
      <c r="HJ4" vm="515">
        <f ca="1"/>
        <v>485.03</v>
      </c>
      <c r="HK4" vm="516">
        <f ca="1"/>
        <v>482.87</v>
      </c>
      <c r="HL4" vm="517">
        <f ca="1"/>
        <v>483.72</v>
      </c>
      <c r="HM4" vm="518">
        <f ca="1"/>
        <v>481.04</v>
      </c>
      <c r="HN4" vm="519">
        <f ca="1"/>
        <v>485.39</v>
      </c>
      <c r="HO4" vm="520">
        <f ca="1"/>
        <v>486.68</v>
      </c>
      <c r="HP4" vm="521">
        <f ca="1"/>
        <v>478.08</v>
      </c>
      <c r="HQ4" vm="522">
        <f ca="1"/>
        <v>482.8</v>
      </c>
      <c r="HR4" vm="523">
        <f ca="1"/>
        <v>481.35</v>
      </c>
      <c r="HS4" vm="524">
        <f ca="1"/>
        <v>486.42</v>
      </c>
      <c r="HT4" vm="525">
        <f ca="1"/>
        <v>504.83</v>
      </c>
      <c r="HU4" vm="526">
        <f ca="1"/>
        <v>500.92</v>
      </c>
      <c r="HV4" vm="527">
        <f ca="1"/>
        <v>494.68</v>
      </c>
      <c r="HW4" vm="528">
        <f ca="1"/>
        <v>504.48</v>
      </c>
      <c r="HX4" vm="529">
        <f ca="1"/>
        <v>526.41999999999996</v>
      </c>
      <c r="HY4" vm="530">
        <f ca="1"/>
        <v>532.5</v>
      </c>
      <c r="HZ4" vm="531">
        <f ca="1"/>
        <v>529.87</v>
      </c>
      <c r="IA4" vm="532">
        <f ca="1"/>
        <v>503.37</v>
      </c>
      <c r="IB4" vm="533">
        <f ca="1"/>
        <v>499.51</v>
      </c>
      <c r="IC4" vm="534">
        <f ca="1"/>
        <v>499.61</v>
      </c>
      <c r="ID4" vm="535">
        <f ca="1"/>
        <v>499.5</v>
      </c>
      <c r="IE4" vm="536">
        <f ca="1"/>
        <v>504.44</v>
      </c>
      <c r="IF4" vm="537">
        <f ca="1"/>
        <v>512.15</v>
      </c>
      <c r="IG4" vm="538">
        <f ca="1"/>
        <v>518.73</v>
      </c>
      <c r="IH4" vm="539">
        <f ca="1"/>
        <v>525.29999999999995</v>
      </c>
      <c r="II4" vm="540">
        <f ca="1"/>
        <v>513.67999999999995</v>
      </c>
      <c r="IJ4" vm="541">
        <f ca="1"/>
        <v>515.92999999999995</v>
      </c>
      <c r="IK4" vm="542">
        <f ca="1"/>
        <v>516.20000000000005</v>
      </c>
      <c r="IL4" vm="543">
        <f ca="1"/>
        <v>516.26</v>
      </c>
      <c r="IM4" vm="544">
        <f ca="1"/>
        <v>536.49</v>
      </c>
      <c r="IN4" vm="545">
        <f ca="1"/>
        <v>538.22</v>
      </c>
      <c r="IO4" vm="546">
        <f ca="1"/>
        <v>552.96</v>
      </c>
      <c r="IP4" vm="547">
        <f ca="1"/>
        <v>547.92999999999995</v>
      </c>
      <c r="IQ4" vm="548">
        <f ca="1"/>
        <v>547.04999999999995</v>
      </c>
    </row>
    <row r="5" spans="1:251">
      <c r="A5" cm="1" vm="549">
        <f t="array" aca="1" ref="A5:IQ5" ca="1">TRANSPOSE(_xlfn.STOCKHISTORY(Table3[[#This Row],[Stock Name ]],TODAY()-365,TODAY(),0,0,1))</f>
        <v>137.61000000000001</v>
      </c>
      <c r="B5" vm="550">
        <f ca="1"/>
        <v>138.19</v>
      </c>
      <c r="C5" vm="551">
        <f ca="1"/>
        <v>138</v>
      </c>
      <c r="D5" vm="552">
        <f ca="1"/>
        <v>139.15</v>
      </c>
      <c r="E5" vm="553">
        <f ca="1"/>
        <v>138.9</v>
      </c>
      <c r="F5" vm="554">
        <f ca="1"/>
        <v>140.15</v>
      </c>
      <c r="G5" vm="555">
        <f ca="1"/>
        <v>135.47</v>
      </c>
      <c r="H5" vm="556">
        <f ca="1"/>
        <v>139.91</v>
      </c>
      <c r="I5" vm="557">
        <f ca="1"/>
        <v>139.6</v>
      </c>
      <c r="J5" vm="558">
        <f ca="1"/>
        <v>143.41</v>
      </c>
      <c r="K5" vm="559">
        <f ca="1"/>
        <v>146.07</v>
      </c>
      <c r="L5" vm="560">
        <f ca="1"/>
        <v>148.76</v>
      </c>
      <c r="M5" vm="561">
        <f ca="1"/>
        <v>147.41</v>
      </c>
      <c r="N5" vm="562">
        <f ca="1"/>
        <v>138.58000000000001</v>
      </c>
      <c r="O5" vm="563">
        <f ca="1"/>
        <v>135.32</v>
      </c>
      <c r="P5" vm="564">
        <f ca="1"/>
        <v>136.01</v>
      </c>
      <c r="Q5" vm="562">
        <f ca="1"/>
        <v>138.58000000000001</v>
      </c>
      <c r="R5" vm="565">
        <f ca="1"/>
        <v>146.18</v>
      </c>
      <c r="S5" vm="566">
        <f ca="1"/>
        <v>149.26</v>
      </c>
      <c r="T5" vm="567">
        <f ca="1"/>
        <v>148.54</v>
      </c>
      <c r="U5" vm="568">
        <f ca="1"/>
        <v>148.02000000000001</v>
      </c>
      <c r="V5" vm="569">
        <f ca="1"/>
        <v>146.56</v>
      </c>
      <c r="W5" vm="570">
        <f ca="1"/>
        <v>158.74</v>
      </c>
      <c r="X5" vm="571">
        <f ca="1"/>
        <v>160.16999999999999</v>
      </c>
      <c r="Y5" vm="572">
        <f ca="1"/>
        <v>162.66999999999999</v>
      </c>
      <c r="Z5" vm="573">
        <f ca="1"/>
        <v>174.23</v>
      </c>
      <c r="AA5" vm="574">
        <f ca="1"/>
        <v>168.18</v>
      </c>
      <c r="AB5" vm="575">
        <f ca="1"/>
        <v>168.42</v>
      </c>
      <c r="AC5" vm="576">
        <f ca="1"/>
        <v>178.29</v>
      </c>
      <c r="AD5" vm="577">
        <f ca="1"/>
        <v>180.33</v>
      </c>
      <c r="AE5" vm="578">
        <f ca="1"/>
        <v>177.25</v>
      </c>
      <c r="AF5" vm="579">
        <f ca="1"/>
        <v>177.83</v>
      </c>
      <c r="AG5" vm="580">
        <f ca="1"/>
        <v>172.06</v>
      </c>
      <c r="AH5" vm="581">
        <f ca="1"/>
        <v>167.69</v>
      </c>
      <c r="AI5" vm="582">
        <f ca="1"/>
        <v>170.48</v>
      </c>
      <c r="AJ5" vm="583">
        <f ca="1"/>
        <v>177.66</v>
      </c>
      <c r="AK5" vm="573">
        <f ca="1"/>
        <v>174.23</v>
      </c>
      <c r="AL5" vm="584">
        <f ca="1"/>
        <v>167.88</v>
      </c>
      <c r="AM5" vm="585">
        <f ca="1"/>
        <v>170.94</v>
      </c>
      <c r="AN5" vm="586">
        <f ca="1"/>
        <v>169.35</v>
      </c>
      <c r="AO5" vm="587">
        <f ca="1"/>
        <v>172.48</v>
      </c>
      <c r="AP5" vm="588">
        <f ca="1"/>
        <v>171.91</v>
      </c>
      <c r="AQ5" vm="589">
        <f ca="1"/>
        <v>171.54</v>
      </c>
      <c r="AR5" vm="590">
        <f ca="1"/>
        <v>178.7</v>
      </c>
      <c r="AS5" vm="591">
        <f ca="1"/>
        <v>176.76</v>
      </c>
      <c r="AT5" vm="592">
        <f ca="1"/>
        <v>173.87</v>
      </c>
      <c r="AU5" vm="593">
        <f ca="1"/>
        <v>165.69</v>
      </c>
      <c r="AV5" vm="594">
        <f ca="1"/>
        <v>164.29</v>
      </c>
      <c r="AW5" vm="595">
        <f ca="1"/>
        <v>181.86</v>
      </c>
      <c r="AX5" vm="596">
        <f ca="1"/>
        <v>176.52</v>
      </c>
      <c r="AY5" vm="597">
        <f ca="1"/>
        <v>176.01</v>
      </c>
      <c r="AZ5" vm="598">
        <f ca="1"/>
        <v>178</v>
      </c>
      <c r="BA5" vm="599">
        <f ca="1"/>
        <v>176.54</v>
      </c>
      <c r="BB5" vm="600">
        <f ca="1"/>
        <v>192.53</v>
      </c>
      <c r="BC5" vm="601">
        <f ca="1"/>
        <v>202.64</v>
      </c>
      <c r="BD5" vm="602">
        <f ca="1"/>
        <v>205.36</v>
      </c>
      <c r="BE5" vm="603">
        <f ca="1"/>
        <v>205.13</v>
      </c>
      <c r="BF5" vm="604">
        <f ca="1"/>
        <v>210.63</v>
      </c>
      <c r="BG5" vm="605">
        <f ca="1"/>
        <v>211.38</v>
      </c>
      <c r="BH5" vm="606">
        <f ca="1"/>
        <v>207.39</v>
      </c>
      <c r="BI5" vm="607">
        <f ca="1"/>
        <v>198.39</v>
      </c>
      <c r="BJ5" vm="608">
        <f ca="1"/>
        <v>202.76</v>
      </c>
      <c r="BK5" vm="609">
        <f ca="1"/>
        <v>194.79</v>
      </c>
      <c r="BL5" vm="610">
        <f ca="1"/>
        <v>187.06</v>
      </c>
      <c r="BM5" vm="611">
        <f ca="1"/>
        <v>191.06</v>
      </c>
      <c r="BN5" vm="612">
        <f ca="1"/>
        <v>190.65</v>
      </c>
      <c r="BO5" vm="613">
        <f ca="1"/>
        <v>181.42</v>
      </c>
      <c r="BP5" vm="614">
        <f ca="1"/>
        <v>179.73</v>
      </c>
      <c r="BQ5" vm="615">
        <f ca="1"/>
        <v>178.68</v>
      </c>
      <c r="BR5" vm="616">
        <f ca="1"/>
        <v>179.65</v>
      </c>
      <c r="BS5" vm="617">
        <f ca="1"/>
        <v>178.63</v>
      </c>
      <c r="BT5" vm="618">
        <f ca="1"/>
        <v>177.87</v>
      </c>
      <c r="BU5" vm="619">
        <f ca="1"/>
        <v>179.59</v>
      </c>
      <c r="BV5" vm="620">
        <f ca="1"/>
        <v>180.49</v>
      </c>
      <c r="BW5" vm="621">
        <f ca="1"/>
        <v>183.34</v>
      </c>
      <c r="BX5" vm="590">
        <f ca="1"/>
        <v>178.7</v>
      </c>
      <c r="BY5" vm="622">
        <f ca="1"/>
        <v>180.77</v>
      </c>
      <c r="BZ5" vm="623">
        <f ca="1"/>
        <v>165.83</v>
      </c>
      <c r="CA5" vm="624">
        <f ca="1"/>
        <v>170.42</v>
      </c>
      <c r="CB5" vm="625">
        <f ca="1"/>
        <v>169.9</v>
      </c>
      <c r="CC5" vm="626">
        <f ca="1"/>
        <v>170.78</v>
      </c>
      <c r="CD5" vm="627">
        <f ca="1"/>
        <v>167.14</v>
      </c>
      <c r="CE5" vm="628">
        <f ca="1"/>
        <v>170.5</v>
      </c>
      <c r="CF5" vm="629">
        <f ca="1"/>
        <v>163.28</v>
      </c>
      <c r="CG5" vm="630">
        <f ca="1"/>
        <v>160.32</v>
      </c>
      <c r="CH5" vm="631">
        <f ca="1"/>
        <v>163.46</v>
      </c>
      <c r="CI5" vm="632">
        <f ca="1"/>
        <v>154.02000000000001</v>
      </c>
      <c r="CJ5" vm="633">
        <f ca="1"/>
        <v>155.08000000000001</v>
      </c>
      <c r="CK5" vm="634">
        <f ca="1"/>
        <v>146.63999999999999</v>
      </c>
      <c r="CL5" vm="635">
        <f ca="1"/>
        <v>148.63999999999999</v>
      </c>
      <c r="CM5" vm="636">
        <f ca="1"/>
        <v>152.27000000000001</v>
      </c>
      <c r="CN5" vm="637">
        <f ca="1"/>
        <v>151.74</v>
      </c>
      <c r="CO5" vm="638">
        <f ca="1"/>
        <v>153.76</v>
      </c>
      <c r="CP5" vm="639">
        <f ca="1"/>
        <v>157.4</v>
      </c>
      <c r="CQ5" vm="640">
        <f ca="1"/>
        <v>160.19999999999999</v>
      </c>
      <c r="CR5" vm="641">
        <f ca="1"/>
        <v>158.38</v>
      </c>
      <c r="CS5" vm="642">
        <f ca="1"/>
        <v>144.27000000000001</v>
      </c>
      <c r="CT5" vm="643">
        <f ca="1"/>
        <v>146.16</v>
      </c>
      <c r="CU5" vm="644">
        <f ca="1"/>
        <v>150.6</v>
      </c>
      <c r="CV5" vm="645">
        <f ca="1"/>
        <v>155.78</v>
      </c>
      <c r="CW5" vm="646">
        <f ca="1"/>
        <v>154.43</v>
      </c>
      <c r="CX5" vm="647">
        <f ca="1"/>
        <v>153.62</v>
      </c>
      <c r="CY5" vm="648">
        <f ca="1"/>
        <v>152.38999999999999</v>
      </c>
      <c r="CZ5" vm="649">
        <f ca="1"/>
        <v>151.91999999999999</v>
      </c>
      <c r="DA5" vm="650">
        <f ca="1"/>
        <v>150.56</v>
      </c>
      <c r="DB5" vm="651">
        <f ca="1"/>
        <v>153.16</v>
      </c>
      <c r="DC5" vm="652">
        <f ca="1"/>
        <v>159.66999999999999</v>
      </c>
      <c r="DD5" vm="653">
        <f ca="1"/>
        <v>162.62</v>
      </c>
      <c r="DE5" vm="654">
        <f ca="1"/>
        <v>164.47</v>
      </c>
      <c r="DF5" vm="655">
        <f ca="1"/>
        <v>166.33</v>
      </c>
      <c r="DG5" vm="656">
        <f ca="1"/>
        <v>164.66</v>
      </c>
      <c r="DH5" vm="657">
        <f ca="1"/>
        <v>165.52</v>
      </c>
      <c r="DI5" vm="658">
        <f ca="1"/>
        <v>160.43</v>
      </c>
      <c r="DJ5" vm="659">
        <f ca="1"/>
        <v>166.36</v>
      </c>
      <c r="DK5" vm="660">
        <f ca="1"/>
        <v>171.61</v>
      </c>
      <c r="DL5" vm="661">
        <f ca="1"/>
        <v>165.14</v>
      </c>
      <c r="DM5" vm="662">
        <f ca="1"/>
        <v>166.75</v>
      </c>
      <c r="DN5" vm="663">
        <f ca="1"/>
        <v>166.9</v>
      </c>
      <c r="DO5" vm="664">
        <f ca="1"/>
        <v>163.55000000000001</v>
      </c>
      <c r="DP5" vm="665">
        <f ca="1"/>
        <v>159.99</v>
      </c>
      <c r="DQ5" vm="666">
        <f ca="1"/>
        <v>166.17</v>
      </c>
      <c r="DR5" vm="667">
        <f ca="1"/>
        <v>166.78</v>
      </c>
      <c r="DS5" vm="668">
        <f ca="1"/>
        <v>167.87</v>
      </c>
      <c r="DT5" vm="669">
        <f ca="1"/>
        <v>160.34</v>
      </c>
      <c r="DU5" vm="670">
        <f ca="1"/>
        <v>158.96</v>
      </c>
      <c r="DV5" vm="671">
        <f ca="1"/>
        <v>160.24</v>
      </c>
      <c r="DW5" vm="672">
        <f ca="1"/>
        <v>159.9</v>
      </c>
      <c r="DX5" vm="673">
        <f ca="1"/>
        <v>159.63</v>
      </c>
      <c r="DY5" vm="674">
        <f ca="1"/>
        <v>158.4</v>
      </c>
      <c r="DZ5" vm="675">
        <f ca="1"/>
        <v>154.63</v>
      </c>
      <c r="EA5" vm="676">
        <f ca="1"/>
        <v>161.78</v>
      </c>
      <c r="EB5" vm="677">
        <f ca="1"/>
        <v>161.22999999999999</v>
      </c>
      <c r="EC5" vm="678">
        <f ca="1"/>
        <v>160.25</v>
      </c>
      <c r="ED5" vm="678">
        <f ca="1"/>
        <v>160.25</v>
      </c>
      <c r="EE5" vm="679">
        <f ca="1"/>
        <v>157.54</v>
      </c>
      <c r="EF5" vm="680">
        <f ca="1"/>
        <v>159.47</v>
      </c>
      <c r="EG5" vm="681">
        <f ca="1"/>
        <v>162.21</v>
      </c>
      <c r="EH5" vm="682">
        <f ca="1"/>
        <v>157.69</v>
      </c>
      <c r="EI5" vm="683">
        <f ca="1"/>
        <v>164.31</v>
      </c>
      <c r="EJ5" vm="684">
        <f ca="1"/>
        <v>163.9</v>
      </c>
      <c r="EK5" vm="685">
        <f ca="1"/>
        <v>171.9</v>
      </c>
      <c r="EL5" vm="686">
        <f ca="1"/>
        <v>178.69</v>
      </c>
      <c r="EM5" vm="687">
        <f ca="1"/>
        <v>177.1</v>
      </c>
      <c r="EN5" vm="688">
        <f ca="1"/>
        <v>183.96</v>
      </c>
      <c r="EO5" vm="689">
        <f ca="1"/>
        <v>181.94</v>
      </c>
      <c r="EP5" vm="690">
        <f ca="1"/>
        <v>181.61</v>
      </c>
      <c r="EQ5" vm="691">
        <f ca="1"/>
        <v>179.83</v>
      </c>
      <c r="ER5" vm="692">
        <f ca="1"/>
        <v>177.55</v>
      </c>
      <c r="ES5" vm="693">
        <f ca="1"/>
        <v>159.43</v>
      </c>
      <c r="ET5" vm="694">
        <f ca="1"/>
        <v>155.77000000000001</v>
      </c>
      <c r="EU5" vm="695">
        <f ca="1"/>
        <v>151.58000000000001</v>
      </c>
      <c r="EV5" vm="696">
        <f ca="1"/>
        <v>155.87</v>
      </c>
      <c r="EW5" vm="697">
        <f ca="1"/>
        <v>154</v>
      </c>
      <c r="EX5" vm="698">
        <f ca="1"/>
        <v>144.63</v>
      </c>
      <c r="EY5" vm="699">
        <f ca="1"/>
        <v>138.32</v>
      </c>
      <c r="EZ5" vm="700">
        <f ca="1"/>
        <v>139.99</v>
      </c>
      <c r="FA5" vm="701">
        <f ca="1"/>
        <v>139.75</v>
      </c>
      <c r="FB5" vm="702">
        <f ca="1"/>
        <v>138.44</v>
      </c>
      <c r="FC5" vm="703">
        <f ca="1"/>
        <v>144.47999999999999</v>
      </c>
      <c r="FD5" vm="704">
        <f ca="1"/>
        <v>132.54</v>
      </c>
      <c r="FE5" vm="705">
        <f ca="1"/>
        <v>132.5</v>
      </c>
      <c r="FF5" vm="706">
        <f ca="1"/>
        <v>134.82</v>
      </c>
      <c r="FG5" vm="707">
        <f ca="1"/>
        <v>130.18</v>
      </c>
      <c r="FH5" vm="708">
        <f ca="1"/>
        <v>128.66999999999999</v>
      </c>
      <c r="FI5" vm="709">
        <f ca="1"/>
        <v>136.32</v>
      </c>
      <c r="FJ5" vm="710">
        <f ca="1"/>
        <v>134.27000000000001</v>
      </c>
      <c r="FK5" vm="711">
        <f ca="1"/>
        <v>136.77000000000001</v>
      </c>
      <c r="FL5" vm="712">
        <f ca="1"/>
        <v>141.13</v>
      </c>
      <c r="FM5" vm="713">
        <f ca="1"/>
        <v>140.75</v>
      </c>
      <c r="FN5" vm="714">
        <f ca="1"/>
        <v>147.36000000000001</v>
      </c>
      <c r="FO5" vm="715">
        <f ca="1"/>
        <v>148.56</v>
      </c>
      <c r="FP5" vm="716">
        <f ca="1"/>
        <v>155.28</v>
      </c>
      <c r="FQ5" vm="717">
        <f ca="1"/>
        <v>156.4</v>
      </c>
      <c r="FR5" vm="718">
        <f ca="1"/>
        <v>157.81</v>
      </c>
      <c r="FS5" vm="719">
        <f ca="1"/>
        <v>151.69999999999999</v>
      </c>
      <c r="FT5" vm="720">
        <f ca="1"/>
        <v>154.97999999999999</v>
      </c>
      <c r="FU5" vm="721">
        <f ca="1"/>
        <v>149.99</v>
      </c>
      <c r="FV5" vm="722">
        <f ca="1"/>
        <v>150.5</v>
      </c>
      <c r="FW5" vm="723">
        <f ca="1"/>
        <v>146.36000000000001</v>
      </c>
      <c r="FX5" vm="724">
        <f ca="1"/>
        <v>145.49</v>
      </c>
      <c r="FY5" vm="715">
        <f ca="1"/>
        <v>148.56</v>
      </c>
      <c r="FZ5" vm="725">
        <f ca="1"/>
        <v>136.94</v>
      </c>
      <c r="GA5" vm="726">
        <f ca="1"/>
        <v>140.87</v>
      </c>
      <c r="GB5" vm="727">
        <f ca="1"/>
        <v>139.44</v>
      </c>
      <c r="GC5" vm="728">
        <f ca="1"/>
        <v>134.35</v>
      </c>
      <c r="GD5" vm="729">
        <f ca="1"/>
        <v>138.15</v>
      </c>
      <c r="GE5" vm="730">
        <f ca="1"/>
        <v>142.84</v>
      </c>
      <c r="GF5" vm="731">
        <f ca="1"/>
        <v>149.86000000000001</v>
      </c>
      <c r="GG5" vm="732">
        <f ca="1"/>
        <v>150.77000000000001</v>
      </c>
      <c r="GH5" vm="733">
        <f ca="1"/>
        <v>152.31</v>
      </c>
      <c r="GI5" vm="734">
        <f ca="1"/>
        <v>152.08000000000001</v>
      </c>
      <c r="GJ5" vm="735">
        <f ca="1"/>
        <v>150.82</v>
      </c>
      <c r="GK5" vm="736">
        <f ca="1"/>
        <v>148.29</v>
      </c>
      <c r="GL5" vm="737">
        <f ca="1"/>
        <v>156.74</v>
      </c>
      <c r="GM5" vm="738">
        <f ca="1"/>
        <v>155.94999999999999</v>
      </c>
      <c r="GN5" vm="739">
        <f ca="1"/>
        <v>156.75</v>
      </c>
      <c r="GO5" vm="740">
        <f ca="1"/>
        <v>158.32</v>
      </c>
      <c r="GP5" vm="741">
        <f ca="1"/>
        <v>162.02000000000001</v>
      </c>
      <c r="GQ5" vm="742">
        <f ca="1"/>
        <v>167.49</v>
      </c>
      <c r="GR5" vm="743">
        <f ca="1"/>
        <v>164.35</v>
      </c>
      <c r="GS5" vm="744">
        <f ca="1"/>
        <v>164.08</v>
      </c>
      <c r="GT5" vm="745">
        <f ca="1"/>
        <v>159.75</v>
      </c>
      <c r="GU5" vm="746">
        <f ca="1"/>
        <v>159.78</v>
      </c>
      <c r="GV5" vm="747">
        <f ca="1"/>
        <v>162.85</v>
      </c>
      <c r="GW5" vm="748">
        <f ca="1"/>
        <v>170.9</v>
      </c>
      <c r="GX5" vm="749">
        <f ca="1"/>
        <v>170.97</v>
      </c>
      <c r="GY5" vm="750">
        <f ca="1"/>
        <v>172.8</v>
      </c>
      <c r="GZ5" vm="751">
        <f ca="1"/>
        <v>171.02</v>
      </c>
      <c r="HA5" vm="752">
        <f ca="1"/>
        <v>164.18</v>
      </c>
      <c r="HB5" vm="753">
        <f ca="1"/>
        <v>167.89</v>
      </c>
      <c r="HC5" vm="754">
        <f ca="1"/>
        <v>165.27</v>
      </c>
      <c r="HD5" vm="755">
        <f ca="1"/>
        <v>156.63999999999999</v>
      </c>
      <c r="HE5" vm="756">
        <f ca="1"/>
        <v>156.13</v>
      </c>
      <c r="HF5" vm="757">
        <f ca="1"/>
        <v>156.25</v>
      </c>
      <c r="HG5" vm="758">
        <f ca="1"/>
        <v>155.97</v>
      </c>
      <c r="HH5" vm="759">
        <f ca="1"/>
        <v>157.9</v>
      </c>
      <c r="HI5" vm="760">
        <f ca="1"/>
        <v>154.09</v>
      </c>
      <c r="HJ5" vm="761">
        <f ca="1"/>
        <v>152.91</v>
      </c>
      <c r="HK5" vm="762">
        <f ca="1"/>
        <v>153.44</v>
      </c>
      <c r="HL5" vm="763">
        <f ca="1"/>
        <v>156.22999999999999</v>
      </c>
      <c r="HM5" vm="764">
        <f ca="1"/>
        <v>159.91999999999999</v>
      </c>
      <c r="HN5" vm="765">
        <f ca="1"/>
        <v>166.25</v>
      </c>
      <c r="HO5" vm="766">
        <f ca="1"/>
        <v>148.6</v>
      </c>
      <c r="HP5" vm="767">
        <f ca="1"/>
        <v>144.07</v>
      </c>
      <c r="HQ5" vm="768">
        <f ca="1"/>
        <v>141.86000000000001</v>
      </c>
      <c r="HR5" vm="769">
        <f ca="1"/>
        <v>140.71</v>
      </c>
      <c r="HS5" vm="770">
        <f ca="1"/>
        <v>141.66</v>
      </c>
      <c r="HT5" vm="771">
        <f ca="1"/>
        <v>145.1</v>
      </c>
      <c r="HU5" vm="772">
        <f ca="1"/>
        <v>149.82</v>
      </c>
      <c r="HV5" vm="773">
        <f ca="1"/>
        <v>147.94999999999999</v>
      </c>
      <c r="HW5" vm="774">
        <f ca="1"/>
        <v>147.35</v>
      </c>
      <c r="HX5" vm="775">
        <f ca="1"/>
        <v>143.63</v>
      </c>
      <c r="HY5" vm="776">
        <f ca="1"/>
        <v>139.30000000000001</v>
      </c>
      <c r="HZ5" vm="777">
        <f ca="1"/>
        <v>138.84</v>
      </c>
      <c r="IA5" vm="778">
        <f ca="1"/>
        <v>134.9</v>
      </c>
      <c r="IB5" vm="779">
        <f ca="1"/>
        <v>138.93</v>
      </c>
      <c r="IC5" vm="780">
        <f ca="1"/>
        <v>139.38999999999999</v>
      </c>
      <c r="ID5" vm="781">
        <f ca="1"/>
        <v>137.6</v>
      </c>
      <c r="IE5" vm="782">
        <f ca="1"/>
        <v>137.49</v>
      </c>
      <c r="IF5" vm="783">
        <f ca="1"/>
        <v>138.35</v>
      </c>
      <c r="IG5" vm="712">
        <f ca="1"/>
        <v>141.13</v>
      </c>
      <c r="IH5" vm="784">
        <f ca="1"/>
        <v>137.72</v>
      </c>
      <c r="II5" vm="785">
        <f ca="1"/>
        <v>136.24</v>
      </c>
      <c r="IJ5" vm="786">
        <f ca="1"/>
        <v>137.17500000000001</v>
      </c>
      <c r="IK5" vm="787">
        <f ca="1"/>
        <v>142.06</v>
      </c>
      <c r="IL5" vm="788">
        <f ca="1"/>
        <v>141.97999999999999</v>
      </c>
      <c r="IM5" vm="789">
        <f ca="1"/>
        <v>143.99</v>
      </c>
      <c r="IN5" vm="790">
        <f ca="1"/>
        <v>141.36000000000001</v>
      </c>
      <c r="IO5" vm="791">
        <f ca="1"/>
        <v>138.59</v>
      </c>
      <c r="IP5" vm="792">
        <f ca="1"/>
        <v>130.87</v>
      </c>
      <c r="IQ5" vm="793">
        <f ca="1"/>
        <v>127.74</v>
      </c>
    </row>
    <row r="6" spans="1:251">
      <c r="A6" cm="1" vm="794">
        <f t="array" aca="1" ref="A6:IQ6" ca="1">TRANSPOSE(_xlfn.STOCKHISTORY(Table3[[#This Row],[Stock Name ]],TODAY()-365,TODAY(),0,0,1))</f>
        <v>133.63999999999999</v>
      </c>
      <c r="B6" vm="795">
        <f ca="1"/>
        <v>133.97</v>
      </c>
      <c r="C6" vm="796">
        <f ca="1"/>
        <v>133.19999999999999</v>
      </c>
      <c r="D6" vm="797">
        <f ca="1"/>
        <v>133.84</v>
      </c>
      <c r="E6" vm="798">
        <f ca="1"/>
        <v>137.19</v>
      </c>
      <c r="F6" vm="799">
        <f ca="1"/>
        <v>138.1</v>
      </c>
      <c r="G6" vm="800">
        <f ca="1"/>
        <v>139.66</v>
      </c>
      <c r="H6" vm="801">
        <f ca="1"/>
        <v>141.80000000000001</v>
      </c>
      <c r="I6" vm="802">
        <f ca="1"/>
        <v>142.72</v>
      </c>
      <c r="J6" vm="803">
        <f ca="1"/>
        <v>142.82</v>
      </c>
      <c r="K6" vm="804">
        <f ca="1"/>
        <v>141.44</v>
      </c>
      <c r="L6" vm="805">
        <f ca="1"/>
        <v>141.28</v>
      </c>
      <c r="M6" vm="806">
        <f ca="1"/>
        <v>140.93</v>
      </c>
      <c r="N6" vm="807">
        <f ca="1"/>
        <v>139.56</v>
      </c>
      <c r="O6" vm="808">
        <f ca="1"/>
        <v>140.36000000000001</v>
      </c>
      <c r="P6" vm="809">
        <f ca="1"/>
        <v>138.04</v>
      </c>
      <c r="Q6" vm="810">
        <f ca="1"/>
        <v>137.38999999999999</v>
      </c>
      <c r="R6" vm="811">
        <f ca="1"/>
        <v>140.53</v>
      </c>
      <c r="S6" vm="812">
        <f ca="1"/>
        <v>142.56</v>
      </c>
      <c r="T6" vm="813">
        <f ca="1"/>
        <v>143.80000000000001</v>
      </c>
      <c r="U6" vm="814">
        <f ca="1"/>
        <v>143.66999999999999</v>
      </c>
      <c r="V6" vm="815">
        <f ca="1"/>
        <v>144.24</v>
      </c>
      <c r="W6" vm="816">
        <f ca="1"/>
        <v>144.08000000000001</v>
      </c>
      <c r="X6" vm="817">
        <f ca="1"/>
        <v>142.88999999999999</v>
      </c>
      <c r="Y6" vm="818">
        <f ca="1"/>
        <v>144.99</v>
      </c>
      <c r="Z6" vm="819">
        <f ca="1"/>
        <v>147.97</v>
      </c>
      <c r="AA6" vm="820">
        <f ca="1"/>
        <v>147.71</v>
      </c>
      <c r="AB6" vm="821">
        <f ca="1"/>
        <v>148.68</v>
      </c>
      <c r="AC6" vm="822">
        <f ca="1"/>
        <v>150.35</v>
      </c>
      <c r="AD6" vm="823">
        <f ca="1"/>
        <v>153.63999999999999</v>
      </c>
      <c r="AE6" vm="824">
        <f ca="1"/>
        <v>153.79</v>
      </c>
      <c r="AF6" vm="825">
        <f ca="1"/>
        <v>154.84</v>
      </c>
      <c r="AG6" vm="826">
        <f ca="1"/>
        <v>153.05000000000001</v>
      </c>
      <c r="AH6" vm="801">
        <f ca="1"/>
        <v>141.80000000000001</v>
      </c>
      <c r="AI6" vm="827">
        <f ca="1"/>
        <v>142.71</v>
      </c>
      <c r="AJ6" vm="828">
        <f ca="1"/>
        <v>143.54</v>
      </c>
      <c r="AK6" vm="829">
        <f ca="1"/>
        <v>144.93</v>
      </c>
      <c r="AL6" vm="830">
        <f ca="1"/>
        <v>145.41</v>
      </c>
      <c r="AM6" vm="831">
        <f ca="1"/>
        <v>146.68</v>
      </c>
      <c r="AN6" vm="832">
        <f ca="1"/>
        <v>147.22</v>
      </c>
      <c r="AO6" vm="833">
        <f ca="1"/>
        <v>150.22</v>
      </c>
      <c r="AP6" vm="834">
        <f ca="1"/>
        <v>148.72999999999999</v>
      </c>
      <c r="AQ6" vm="835">
        <f ca="1"/>
        <v>146.37</v>
      </c>
      <c r="AR6" vm="836">
        <f ca="1"/>
        <v>147.13999999999999</v>
      </c>
      <c r="AS6" vm="837">
        <f ca="1"/>
        <v>143.94</v>
      </c>
      <c r="AT6" vm="838">
        <f ca="1"/>
        <v>141.76</v>
      </c>
      <c r="AU6" vm="839">
        <f ca="1"/>
        <v>142.19999999999999</v>
      </c>
      <c r="AV6" vm="840">
        <f ca="1"/>
        <v>143.84</v>
      </c>
      <c r="AW6" vm="841">
        <f ca="1"/>
        <v>145.32</v>
      </c>
      <c r="AX6" vm="842">
        <f ca="1"/>
        <v>145.29</v>
      </c>
      <c r="AY6" vm="843">
        <f ca="1"/>
        <v>138.75</v>
      </c>
      <c r="AZ6" vm="844">
        <f ca="1"/>
        <v>140.1</v>
      </c>
      <c r="BA6" vm="845">
        <f ca="1"/>
        <v>137.43</v>
      </c>
      <c r="BB6" vm="846">
        <f ca="1"/>
        <v>139.78</v>
      </c>
      <c r="BC6" vm="847">
        <f ca="1"/>
        <v>138.08000000000001</v>
      </c>
      <c r="BD6" vm="848">
        <f ca="1"/>
        <v>134.19999999999999</v>
      </c>
      <c r="BE6" vm="849">
        <f ca="1"/>
        <v>133.78</v>
      </c>
      <c r="BF6" vm="850">
        <f ca="1"/>
        <v>132.56</v>
      </c>
      <c r="BG6" vm="851">
        <f ca="1"/>
        <v>135.24</v>
      </c>
      <c r="BH6" vm="852">
        <f ca="1"/>
        <v>136.29</v>
      </c>
      <c r="BI6" vm="853">
        <f ca="1"/>
        <v>138.94</v>
      </c>
      <c r="BJ6" vm="854">
        <f ca="1"/>
        <v>139.62</v>
      </c>
      <c r="BK6" vm="855">
        <f ca="1"/>
        <v>140.77000000000001</v>
      </c>
      <c r="BL6" vm="856">
        <f ca="1"/>
        <v>144.34</v>
      </c>
      <c r="BM6" vm="857">
        <f ca="1"/>
        <v>142.16999999999999</v>
      </c>
      <c r="BN6" vm="858">
        <f ca="1"/>
        <v>148.47999999999999</v>
      </c>
      <c r="BO6" vm="859">
        <f ca="1"/>
        <v>147.91999999999999</v>
      </c>
      <c r="BP6" vm="860">
        <f ca="1"/>
        <v>149.68</v>
      </c>
      <c r="BQ6" vm="861">
        <f ca="1"/>
        <v>148.74</v>
      </c>
      <c r="BR6" vm="862">
        <f ca="1"/>
        <v>151.77000000000001</v>
      </c>
      <c r="BS6" vm="863">
        <f ca="1"/>
        <v>151.15</v>
      </c>
      <c r="BT6" vm="719">
        <f ca="1"/>
        <v>151.69999999999999</v>
      </c>
      <c r="BU6" vm="864">
        <f ca="1"/>
        <v>151.94</v>
      </c>
      <c r="BV6" vm="865">
        <f ca="1"/>
        <v>152.26</v>
      </c>
      <c r="BW6" vm="866">
        <f ca="1"/>
        <v>156.5</v>
      </c>
      <c r="BX6" vm="696">
        <f ca="1"/>
        <v>155.87</v>
      </c>
      <c r="BY6" vm="867">
        <f ca="1"/>
        <v>156.37</v>
      </c>
      <c r="BZ6" vm="864">
        <f ca="1"/>
        <v>151.94</v>
      </c>
      <c r="CA6" vm="868">
        <f ca="1"/>
        <v>153.94</v>
      </c>
      <c r="CB6" vm="869">
        <f ca="1"/>
        <v>156.13999999999999</v>
      </c>
      <c r="CC6" vm="870">
        <f ca="1"/>
        <v>158.13999999999999</v>
      </c>
      <c r="CD6" vm="871">
        <f ca="1"/>
        <v>157.66</v>
      </c>
      <c r="CE6" vm="872">
        <f ca="1"/>
        <v>160.79</v>
      </c>
      <c r="CF6" vm="873">
        <f ca="1"/>
        <v>159.19</v>
      </c>
      <c r="CG6" vm="874">
        <f ca="1"/>
        <v>156.33000000000001</v>
      </c>
      <c r="CH6" vm="875">
        <f ca="1"/>
        <v>156</v>
      </c>
      <c r="CI6" vm="876">
        <f ca="1"/>
        <v>156.88</v>
      </c>
      <c r="CJ6" vm="877">
        <f ca="1"/>
        <v>157.46</v>
      </c>
      <c r="CK6" vm="878">
        <f ca="1"/>
        <v>155.72</v>
      </c>
      <c r="CL6" vm="879">
        <f ca="1"/>
        <v>157.94999999999999</v>
      </c>
      <c r="CM6" vm="764">
        <f ca="1"/>
        <v>159.91999999999999</v>
      </c>
      <c r="CN6" vm="880">
        <f ca="1"/>
        <v>161.1</v>
      </c>
      <c r="CO6" vm="879">
        <f ca="1"/>
        <v>157.94999999999999</v>
      </c>
      <c r="CP6" vm="881">
        <f ca="1"/>
        <v>173.69</v>
      </c>
      <c r="CQ6" vm="882">
        <f ca="1"/>
        <v>167.9</v>
      </c>
      <c r="CR6" vm="883">
        <f ca="1"/>
        <v>164.64</v>
      </c>
      <c r="CS6" vm="884">
        <f ca="1"/>
        <v>165.57</v>
      </c>
      <c r="CT6" vm="885">
        <f ca="1"/>
        <v>168.46</v>
      </c>
      <c r="CU6" vm="886">
        <f ca="1"/>
        <v>168.99</v>
      </c>
      <c r="CV6" vm="887">
        <f ca="1"/>
        <v>169.83</v>
      </c>
      <c r="CW6" vm="888">
        <f ca="1"/>
        <v>172.98</v>
      </c>
      <c r="CX6" vm="889">
        <f ca="1"/>
        <v>171.16</v>
      </c>
      <c r="CY6" vm="890">
        <f ca="1"/>
        <v>171.58</v>
      </c>
      <c r="CZ6" vm="891">
        <f ca="1"/>
        <v>170.29</v>
      </c>
      <c r="DA6" vm="748">
        <f ca="1"/>
        <v>170.9</v>
      </c>
      <c r="DB6" vm="892">
        <f ca="1"/>
        <v>171.93</v>
      </c>
      <c r="DC6" vm="893">
        <f ca="1"/>
        <v>173.88</v>
      </c>
      <c r="DD6" vm="894">
        <f ca="1"/>
        <v>175.43</v>
      </c>
      <c r="DE6" vm="895">
        <f ca="1"/>
        <v>177.29</v>
      </c>
      <c r="DF6" vm="896">
        <f ca="1"/>
        <v>178.46</v>
      </c>
      <c r="DG6" vm="897">
        <f ca="1"/>
        <v>179.54</v>
      </c>
      <c r="DH6" vm="598">
        <f ca="1"/>
        <v>178</v>
      </c>
      <c r="DI6" vm="898">
        <f ca="1"/>
        <v>175.06</v>
      </c>
      <c r="DJ6" vm="899">
        <f ca="1"/>
        <v>176.33</v>
      </c>
      <c r="DK6" vm="900">
        <f ca="1"/>
        <v>178.02</v>
      </c>
      <c r="DL6" vm="901">
        <f ca="1"/>
        <v>177.4</v>
      </c>
      <c r="DM6" vm="902">
        <f ca="1"/>
        <v>173.56</v>
      </c>
      <c r="DN6" vm="903">
        <f ca="1"/>
        <v>173.96</v>
      </c>
      <c r="DO6" vm="904">
        <f ca="1"/>
        <v>174.42</v>
      </c>
      <c r="DP6" vm="905">
        <f ca="1"/>
        <v>175.13</v>
      </c>
      <c r="DQ6" vm="906">
        <f ca="1"/>
        <v>177.07</v>
      </c>
      <c r="DR6" vm="907">
        <f ca="1"/>
        <v>178.35</v>
      </c>
      <c r="DS6" vm="908">
        <f ca="1"/>
        <v>175.95</v>
      </c>
      <c r="DT6" vm="909">
        <f ca="1"/>
        <v>176.63</v>
      </c>
      <c r="DU6" vm="910">
        <f ca="1"/>
        <v>178.19</v>
      </c>
      <c r="DV6" vm="911">
        <f ca="1"/>
        <v>179.56</v>
      </c>
      <c r="DW6" vm="912">
        <f ca="1"/>
        <v>176.74</v>
      </c>
      <c r="DX6" vm="913">
        <f ca="1"/>
        <v>178.37</v>
      </c>
      <c r="DY6" vm="914">
        <f ca="1"/>
        <v>178.78</v>
      </c>
      <c r="DZ6" vm="915">
        <f ca="1"/>
        <v>176.45</v>
      </c>
      <c r="EA6" vm="916">
        <f ca="1"/>
        <v>177.71</v>
      </c>
      <c r="EB6" vm="917">
        <f ca="1"/>
        <v>180.26</v>
      </c>
      <c r="EC6" vm="918">
        <f ca="1"/>
        <v>180.79</v>
      </c>
      <c r="ED6" vm="919">
        <f ca="1"/>
        <v>185.58</v>
      </c>
      <c r="EE6" vm="920">
        <f ca="1"/>
        <v>185.37</v>
      </c>
      <c r="EF6" vm="921">
        <f ca="1"/>
        <v>186.86</v>
      </c>
      <c r="EG6" vm="922">
        <f ca="1"/>
        <v>183.42</v>
      </c>
      <c r="EH6" vm="923">
        <f ca="1"/>
        <v>184.49</v>
      </c>
      <c r="EI6" vm="924">
        <f ca="1"/>
        <v>186.61</v>
      </c>
      <c r="EJ6" vm="925">
        <f ca="1"/>
        <v>187.39</v>
      </c>
      <c r="EK6" vm="926">
        <f ca="1"/>
        <v>191.96</v>
      </c>
      <c r="EL6" vm="927">
        <f ca="1"/>
        <v>190.48</v>
      </c>
      <c r="EM6" vm="928">
        <f ca="1"/>
        <v>190.44</v>
      </c>
      <c r="EN6" vm="929">
        <f ca="1"/>
        <v>192.66</v>
      </c>
      <c r="EO6" vm="930">
        <f ca="1"/>
        <v>187.3</v>
      </c>
      <c r="EP6" vm="931">
        <f ca="1"/>
        <v>186.78</v>
      </c>
      <c r="EQ6" vm="932">
        <f ca="1"/>
        <v>188.19</v>
      </c>
      <c r="ER6" vm="933">
        <f ca="1"/>
        <v>185.5</v>
      </c>
      <c r="ES6" vm="934">
        <f ca="1"/>
        <v>182.62</v>
      </c>
      <c r="ET6" vm="935">
        <f ca="1"/>
        <v>179.22</v>
      </c>
      <c r="EU6" vm="936">
        <f ca="1"/>
        <v>179.39</v>
      </c>
      <c r="EV6" vm="937">
        <f ca="1"/>
        <v>183.35</v>
      </c>
      <c r="EW6" vm="938">
        <f ca="1"/>
        <v>183.6</v>
      </c>
      <c r="EX6" vm="939">
        <f ca="1"/>
        <v>174.37</v>
      </c>
      <c r="EY6" vm="940">
        <f ca="1"/>
        <v>169.16</v>
      </c>
      <c r="EZ6" vm="941">
        <f ca="1"/>
        <v>168.68</v>
      </c>
      <c r="FA6" vm="942">
        <f ca="1"/>
        <v>171.13</v>
      </c>
      <c r="FB6" vm="943">
        <f ca="1"/>
        <v>171.86</v>
      </c>
      <c r="FC6" vm="944">
        <f ca="1"/>
        <v>173.15</v>
      </c>
      <c r="FD6" vm="945">
        <f ca="1"/>
        <v>172.45</v>
      </c>
      <c r="FE6" vm="946">
        <f ca="1"/>
        <v>168.4</v>
      </c>
      <c r="FF6" vm="947">
        <f ca="1"/>
        <v>160.63999999999999</v>
      </c>
      <c r="FG6" vm="948">
        <f ca="1"/>
        <v>160.54</v>
      </c>
      <c r="FH6" vm="949">
        <f ca="1"/>
        <v>160.75</v>
      </c>
      <c r="FI6" vm="950">
        <f ca="1"/>
        <v>163.84</v>
      </c>
      <c r="FJ6" vm="951">
        <f ca="1"/>
        <v>165.39</v>
      </c>
      <c r="FK6" vm="952">
        <f ca="1"/>
        <v>163.95</v>
      </c>
      <c r="FL6" vm="953">
        <f ca="1"/>
        <v>165.93</v>
      </c>
      <c r="FM6" vm="954">
        <f ca="1"/>
        <v>162.03</v>
      </c>
      <c r="FN6" vm="955">
        <f ca="1"/>
        <v>163.16999999999999</v>
      </c>
      <c r="FO6" vm="956">
        <f ca="1"/>
        <v>164.74</v>
      </c>
      <c r="FP6" vm="946">
        <f ca="1"/>
        <v>168.4</v>
      </c>
      <c r="FQ6" vm="957">
        <f ca="1"/>
        <v>168.96</v>
      </c>
      <c r="FR6" vm="958">
        <f ca="1"/>
        <v>167.63</v>
      </c>
      <c r="FS6" vm="959">
        <f ca="1"/>
        <v>165.49</v>
      </c>
      <c r="FT6" vm="960">
        <f ca="1"/>
        <v>167.43</v>
      </c>
      <c r="FU6" vm="961">
        <f ca="1"/>
        <v>167.93</v>
      </c>
      <c r="FV6" vm="962">
        <f ca="1"/>
        <v>166.38</v>
      </c>
      <c r="FW6" vm="963">
        <f ca="1"/>
        <v>164.5</v>
      </c>
      <c r="FX6" vm="964">
        <f ca="1"/>
        <v>163.4</v>
      </c>
      <c r="FY6" vm="965">
        <f ca="1"/>
        <v>165.11</v>
      </c>
      <c r="FZ6" vm="966">
        <f ca="1"/>
        <v>158.61000000000001</v>
      </c>
      <c r="GA6" vm="718">
        <f ca="1"/>
        <v>157.81</v>
      </c>
      <c r="GB6" vm="967">
        <f ca="1"/>
        <v>158.6</v>
      </c>
      <c r="GC6" vm="968">
        <f ca="1"/>
        <v>152.13</v>
      </c>
      <c r="GD6" vm="969">
        <f ca="1"/>
        <v>149.54</v>
      </c>
      <c r="GE6" vm="970">
        <f ca="1"/>
        <v>150.01</v>
      </c>
      <c r="GF6" vm="971">
        <f ca="1"/>
        <v>152.15</v>
      </c>
      <c r="GG6" vm="972">
        <f ca="1"/>
        <v>155.54</v>
      </c>
      <c r="GH6" vm="973">
        <f ca="1"/>
        <v>158.37</v>
      </c>
      <c r="GI6" vm="974">
        <f ca="1"/>
        <v>158.99</v>
      </c>
      <c r="GJ6" vm="975">
        <f ca="1"/>
        <v>160.28</v>
      </c>
      <c r="GK6" vm="976">
        <f ca="1"/>
        <v>160.81</v>
      </c>
      <c r="GL6" vm="977">
        <f ca="1"/>
        <v>163.24</v>
      </c>
      <c r="GM6" vm="883">
        <f ca="1"/>
        <v>164.64</v>
      </c>
      <c r="GN6" vm="978">
        <f ca="1"/>
        <v>163.07</v>
      </c>
      <c r="GO6" vm="979">
        <f ca="1"/>
        <v>163.63999999999999</v>
      </c>
      <c r="GP6" vm="980">
        <f ca="1"/>
        <v>162.99</v>
      </c>
      <c r="GQ6" vm="981">
        <f ca="1"/>
        <v>163.83000000000001</v>
      </c>
      <c r="GR6" vm="982">
        <f ca="1"/>
        <v>165.29</v>
      </c>
      <c r="GS6" vm="983">
        <f ca="1"/>
        <v>167.19</v>
      </c>
      <c r="GT6" vm="575">
        <f ca="1"/>
        <v>168.42</v>
      </c>
      <c r="GU6" vm="984">
        <f ca="1"/>
        <v>167.31</v>
      </c>
      <c r="GV6" vm="985">
        <f ca="1"/>
        <v>167.21</v>
      </c>
      <c r="GW6" vm="986">
        <f ca="1"/>
        <v>168.56</v>
      </c>
      <c r="GX6" vm="987">
        <f ca="1"/>
        <v>164.39</v>
      </c>
      <c r="GY6" vm="988">
        <f ca="1"/>
        <v>165.7</v>
      </c>
      <c r="GZ6" vm="989">
        <f ca="1"/>
        <v>163.06</v>
      </c>
      <c r="HA6" vm="990">
        <f ca="1"/>
        <v>163.18</v>
      </c>
      <c r="HB6" vm="991">
        <f ca="1"/>
        <v>164.52</v>
      </c>
      <c r="HC6" vm="992">
        <f ca="1"/>
        <v>166.35</v>
      </c>
      <c r="HD6" vm="663">
        <f ca="1"/>
        <v>166.9</v>
      </c>
      <c r="HE6" vm="993">
        <f ca="1"/>
        <v>166.74</v>
      </c>
      <c r="HF6" vm="994">
        <f ca="1"/>
        <v>164.51</v>
      </c>
      <c r="HG6" vm="995">
        <f ca="1"/>
        <v>165.05</v>
      </c>
      <c r="HH6" vm="996">
        <f ca="1"/>
        <v>165.8</v>
      </c>
      <c r="HI6" vm="997">
        <f ca="1"/>
        <v>166.82</v>
      </c>
      <c r="HJ6" vm="998">
        <f ca="1"/>
        <v>164.48</v>
      </c>
      <c r="HK6" vm="999">
        <f ca="1"/>
        <v>164.53</v>
      </c>
      <c r="HL6" vm="1000">
        <f ca="1"/>
        <v>166.99</v>
      </c>
      <c r="HM6" vm="1001">
        <f ca="1"/>
        <v>168.34</v>
      </c>
      <c r="HN6" vm="1002">
        <f ca="1"/>
        <v>171.14</v>
      </c>
      <c r="HO6" vm="1003">
        <f ca="1"/>
        <v>176.14</v>
      </c>
      <c r="HP6" vm="1004">
        <f ca="1"/>
        <v>172.69</v>
      </c>
      <c r="HQ6" vm="1005">
        <f ca="1"/>
        <v>172.65</v>
      </c>
      <c r="HR6" vm="1006">
        <f ca="1"/>
        <v>170.68</v>
      </c>
      <c r="HS6" vm="1007">
        <f ca="1"/>
        <v>171.41</v>
      </c>
      <c r="HT6" vm="1008">
        <f ca="1"/>
        <v>178.33</v>
      </c>
      <c r="HU6" vm="1009">
        <f ca="1"/>
        <v>182.28</v>
      </c>
      <c r="HV6" vm="1010">
        <f ca="1"/>
        <v>179.86</v>
      </c>
      <c r="HW6" vm="1011">
        <f ca="1"/>
        <v>181.97</v>
      </c>
      <c r="HX6" vm="1012">
        <f ca="1"/>
        <v>183.32</v>
      </c>
      <c r="HY6" vm="620">
        <f ca="1"/>
        <v>180.49</v>
      </c>
      <c r="HZ6" vm="1013">
        <f ca="1"/>
        <v>177.35</v>
      </c>
      <c r="IA6" vm="1014">
        <f ca="1"/>
        <v>173.89</v>
      </c>
      <c r="IB6" vm="1015">
        <f ca="1"/>
        <v>176.8</v>
      </c>
      <c r="IC6" vm="1016">
        <f ca="1"/>
        <v>179.58</v>
      </c>
      <c r="ID6" vm="1017">
        <f ca="1"/>
        <v>177.33</v>
      </c>
      <c r="IE6" vm="1018">
        <f ca="1"/>
        <v>169.24</v>
      </c>
      <c r="IF6" vm="1019">
        <f ca="1"/>
        <v>166.57</v>
      </c>
      <c r="IG6" vm="1020">
        <f ca="1"/>
        <v>169.43</v>
      </c>
      <c r="IH6" vm="1021">
        <f ca="1"/>
        <v>170.62</v>
      </c>
      <c r="II6" vm="1022">
        <f ca="1"/>
        <v>170.82</v>
      </c>
      <c r="IJ6" vm="1023">
        <f ca="1"/>
        <v>170.49</v>
      </c>
      <c r="IK6" vm="888">
        <f ca="1"/>
        <v>172.98</v>
      </c>
      <c r="IL6" vm="1024">
        <f ca="1"/>
        <v>173.02</v>
      </c>
      <c r="IM6" vm="1025">
        <f ca="1"/>
        <v>176.09</v>
      </c>
      <c r="IN6" vm="1026">
        <f ca="1"/>
        <v>174.31</v>
      </c>
      <c r="IO6" vm="1027">
        <f ca="1"/>
        <v>176.49</v>
      </c>
      <c r="IP6" vm="687">
        <f ca="1"/>
        <v>177.1</v>
      </c>
      <c r="IQ6" vm="1028">
        <f ca="1"/>
        <v>186.53</v>
      </c>
    </row>
    <row r="7" spans="1:251">
      <c r="A7" cm="1" vm="1029">
        <f t="array" aca="1" ref="A7:IQ7" ca="1">TRANSPOSE(_xlfn.STOCKHISTORY(Table3[[#This Row],[Stock Name ]],TODAY()-365,TODAY(),0,0,1))</f>
        <v>132.52000000000001</v>
      </c>
      <c r="B7" vm="1030">
        <f ca="1"/>
        <v>132.57</v>
      </c>
      <c r="C7" vm="1031">
        <f ca="1"/>
        <v>131.94</v>
      </c>
      <c r="D7" vm="1032">
        <f ca="1"/>
        <v>132.6</v>
      </c>
      <c r="E7" vm="1033">
        <f ca="1"/>
        <v>135.80000000000001</v>
      </c>
      <c r="F7" vm="1034">
        <f ca="1"/>
        <v>136.65</v>
      </c>
      <c r="G7" vm="1035">
        <f ca="1"/>
        <v>138.34</v>
      </c>
      <c r="H7" vm="1036">
        <f ca="1"/>
        <v>140.41999999999999</v>
      </c>
      <c r="I7" vm="1037">
        <f ca="1"/>
        <v>141.49</v>
      </c>
      <c r="J7" vm="1038">
        <f ca="1"/>
        <v>141.52000000000001</v>
      </c>
      <c r="K7" vm="1039">
        <f ca="1"/>
        <v>140.37</v>
      </c>
      <c r="L7" vm="1040">
        <f ca="1"/>
        <v>140.22999999999999</v>
      </c>
      <c r="M7" vm="1041">
        <f ca="1"/>
        <v>139.69</v>
      </c>
      <c r="N7" vm="1042">
        <f ca="1"/>
        <v>138.16999999999999</v>
      </c>
      <c r="O7" vm="1043">
        <f ca="1"/>
        <v>138.91999999999999</v>
      </c>
      <c r="P7" vm="1044">
        <f ca="1"/>
        <v>136.38999999999999</v>
      </c>
      <c r="Q7" vm="1045">
        <f ca="1"/>
        <v>135.72999999999999</v>
      </c>
      <c r="R7" vm="777">
        <f ca="1"/>
        <v>138.84</v>
      </c>
      <c r="S7" vm="1046">
        <f ca="1"/>
        <v>140.94999999999999</v>
      </c>
      <c r="T7" vm="1047">
        <f ca="1"/>
        <v>142.28</v>
      </c>
      <c r="U7" vm="1048">
        <f ca="1"/>
        <v>142.08000000000001</v>
      </c>
      <c r="V7" vm="1049">
        <f ca="1"/>
        <v>142.65</v>
      </c>
      <c r="W7" vm="1050">
        <f ca="1"/>
        <v>142.49</v>
      </c>
      <c r="X7" vm="1051">
        <f ca="1"/>
        <v>141.47</v>
      </c>
      <c r="Y7" vm="1052">
        <f ca="1"/>
        <v>143.47999999999999</v>
      </c>
      <c r="Z7" vm="1053">
        <f ca="1"/>
        <v>146.38</v>
      </c>
      <c r="AA7" vm="1054">
        <f ca="1"/>
        <v>145.99</v>
      </c>
      <c r="AB7" vm="1055">
        <f ca="1"/>
        <v>147.04</v>
      </c>
      <c r="AC7" vm="1056">
        <f ca="1"/>
        <v>148.69999999999999</v>
      </c>
      <c r="AD7" vm="1057">
        <f ca="1"/>
        <v>151.87</v>
      </c>
      <c r="AE7" vm="1058">
        <f ca="1"/>
        <v>152.185</v>
      </c>
      <c r="AF7" vm="1059">
        <f ca="1"/>
        <v>153.51</v>
      </c>
      <c r="AG7" vm="1060">
        <f ca="1"/>
        <v>151.46</v>
      </c>
      <c r="AH7" vm="844">
        <f ca="1"/>
        <v>140.1</v>
      </c>
      <c r="AI7" vm="1061">
        <f ca="1"/>
        <v>141.16</v>
      </c>
      <c r="AJ7" vm="1062">
        <f ca="1"/>
        <v>142.38</v>
      </c>
      <c r="AK7" vm="1063">
        <f ca="1"/>
        <v>143.68</v>
      </c>
      <c r="AL7" vm="1064">
        <f ca="1"/>
        <v>144.1</v>
      </c>
      <c r="AM7" vm="1065">
        <f ca="1"/>
        <v>145.54</v>
      </c>
      <c r="AN7" vm="1066">
        <f ca="1"/>
        <v>145.91</v>
      </c>
      <c r="AO7" vm="1067">
        <f ca="1"/>
        <v>149</v>
      </c>
      <c r="AP7" vm="1068">
        <f ca="1"/>
        <v>147.53</v>
      </c>
      <c r="AQ7" vm="1069">
        <f ca="1"/>
        <v>145.13999999999999</v>
      </c>
      <c r="AR7" vm="1070">
        <f ca="1"/>
        <v>145.94</v>
      </c>
      <c r="AS7" vm="1071">
        <f ca="1"/>
        <v>142.77000000000001</v>
      </c>
      <c r="AT7" vm="1072">
        <f ca="1"/>
        <v>140.52000000000001</v>
      </c>
      <c r="AU7" vm="1073">
        <f ca="1"/>
        <v>141.12</v>
      </c>
      <c r="AV7" vm="1074">
        <f ca="1"/>
        <v>142.55000000000001</v>
      </c>
      <c r="AW7" vm="1075">
        <f ca="1"/>
        <v>144.09</v>
      </c>
      <c r="AX7" vm="1076">
        <f ca="1"/>
        <v>143.96</v>
      </c>
      <c r="AY7" vm="1077">
        <f ca="1"/>
        <v>137.57</v>
      </c>
      <c r="AZ7" vm="1078">
        <f ca="1"/>
        <v>138.88</v>
      </c>
      <c r="BA7" vm="1079">
        <f ca="1"/>
        <v>136.38</v>
      </c>
      <c r="BB7" vm="1080">
        <f ca="1"/>
        <v>138.46</v>
      </c>
      <c r="BC7" vm="1081">
        <f ca="1"/>
        <v>137.13999999999999</v>
      </c>
      <c r="BD7" vm="1082">
        <f ca="1"/>
        <v>133.35</v>
      </c>
      <c r="BE7" vm="1083">
        <f ca="1"/>
        <v>132.66999999999999</v>
      </c>
      <c r="BF7" vm="1084">
        <f ca="1"/>
        <v>131.4</v>
      </c>
      <c r="BG7" vm="1085">
        <f ca="1"/>
        <v>134.38</v>
      </c>
      <c r="BH7" vm="1086">
        <f ca="1"/>
        <v>135.41</v>
      </c>
      <c r="BI7" vm="1087">
        <f ca="1"/>
        <v>137.66999999999999</v>
      </c>
      <c r="BJ7" vm="1088">
        <f ca="1"/>
        <v>138.5</v>
      </c>
      <c r="BK7" vm="1089">
        <f ca="1"/>
        <v>139.79</v>
      </c>
      <c r="BL7" vm="1090">
        <f ca="1"/>
        <v>143.1</v>
      </c>
      <c r="BM7" vm="1091">
        <f ca="1"/>
        <v>141.18</v>
      </c>
      <c r="BN7" vm="1092">
        <f ca="1"/>
        <v>147.68</v>
      </c>
      <c r="BO7" vm="1093">
        <f ca="1"/>
        <v>147.03</v>
      </c>
      <c r="BP7" vm="861">
        <f ca="1"/>
        <v>148.74</v>
      </c>
      <c r="BQ7" vm="1094">
        <f ca="1"/>
        <v>147.6</v>
      </c>
      <c r="BR7" vm="732">
        <f ca="1"/>
        <v>150.77000000000001</v>
      </c>
      <c r="BS7" vm="1095">
        <f ca="1"/>
        <v>150.07</v>
      </c>
      <c r="BT7" vm="1096">
        <f ca="1"/>
        <v>150.66999999999999</v>
      </c>
      <c r="BU7" vm="1097">
        <f ca="1"/>
        <v>150.87</v>
      </c>
      <c r="BV7" vm="1098">
        <f ca="1"/>
        <v>150.93</v>
      </c>
      <c r="BW7" vm="1099">
        <f ca="1"/>
        <v>155.49</v>
      </c>
      <c r="BX7" vm="1100">
        <f ca="1"/>
        <v>154.56</v>
      </c>
      <c r="BY7" vm="1101">
        <f ca="1"/>
        <v>154.91999999999999</v>
      </c>
      <c r="BZ7" vm="1102">
        <f ca="1"/>
        <v>150.53</v>
      </c>
      <c r="CA7" vm="1103">
        <f ca="1"/>
        <v>152.5</v>
      </c>
      <c r="CB7" vm="1104">
        <f ca="1"/>
        <v>154.85</v>
      </c>
      <c r="CC7" vm="1105">
        <f ca="1"/>
        <v>156.6</v>
      </c>
      <c r="CD7" vm="869">
        <f ca="1"/>
        <v>156.13999999999999</v>
      </c>
      <c r="CE7" vm="1106">
        <f ca="1"/>
        <v>159.41</v>
      </c>
      <c r="CF7" vm="1107">
        <f ca="1"/>
        <v>157.72999999999999</v>
      </c>
      <c r="CG7" vm="1108">
        <f ca="1"/>
        <v>154.86000000000001</v>
      </c>
      <c r="CH7" vm="1109">
        <f ca="1"/>
        <v>154.4</v>
      </c>
      <c r="CI7" vm="1110">
        <f ca="1"/>
        <v>155.47</v>
      </c>
      <c r="CJ7" vm="1111">
        <f ca="1"/>
        <v>156.01</v>
      </c>
      <c r="CK7" vm="760">
        <f ca="1"/>
        <v>154.09</v>
      </c>
      <c r="CL7" vm="1112">
        <f ca="1"/>
        <v>156.28</v>
      </c>
      <c r="CM7" vm="1113">
        <f ca="1"/>
        <v>158.26</v>
      </c>
      <c r="CN7" vm="1114">
        <f ca="1"/>
        <v>159.13</v>
      </c>
      <c r="CO7" vm="875">
        <f ca="1"/>
        <v>156</v>
      </c>
      <c r="CP7" vm="1115">
        <f ca="1"/>
        <v>171.95</v>
      </c>
      <c r="CQ7" vm="1116">
        <f ca="1"/>
        <v>166.15</v>
      </c>
      <c r="CR7" vm="1117">
        <f ca="1"/>
        <v>162.78</v>
      </c>
      <c r="CS7" vm="1118">
        <f ca="1"/>
        <v>163.86</v>
      </c>
      <c r="CT7" vm="1119">
        <f ca="1"/>
        <v>166.62</v>
      </c>
      <c r="CU7" vm="1120">
        <f ca="1"/>
        <v>167.24</v>
      </c>
      <c r="CV7" vm="1121">
        <f ca="1"/>
        <v>168.1</v>
      </c>
      <c r="CW7" vm="1122">
        <f ca="1"/>
        <v>171.25</v>
      </c>
      <c r="CX7" vm="1123">
        <f ca="1"/>
        <v>169.38</v>
      </c>
      <c r="CY7" vm="1124">
        <f ca="1"/>
        <v>169.96</v>
      </c>
      <c r="CZ7" vm="1125">
        <f ca="1"/>
        <v>168.65</v>
      </c>
      <c r="DA7" vm="1126">
        <f ca="1"/>
        <v>169.14</v>
      </c>
      <c r="DB7" vm="1127">
        <f ca="1"/>
        <v>170.34</v>
      </c>
      <c r="DC7" vm="1128">
        <f ca="1"/>
        <v>172.51</v>
      </c>
      <c r="DD7" vm="1129">
        <f ca="1"/>
        <v>174.18</v>
      </c>
      <c r="DE7" vm="1130">
        <f ca="1"/>
        <v>176.06</v>
      </c>
      <c r="DF7" vm="1131">
        <f ca="1"/>
        <v>176.92</v>
      </c>
      <c r="DG7" vm="1132">
        <f ca="1"/>
        <v>177.85</v>
      </c>
      <c r="DH7" vm="1133">
        <f ca="1"/>
        <v>176.38</v>
      </c>
      <c r="DI7" vm="1134">
        <f ca="1"/>
        <v>173.55</v>
      </c>
      <c r="DJ7" vm="1135">
        <f ca="1"/>
        <v>174.99</v>
      </c>
      <c r="DK7" vm="1136">
        <f ca="1"/>
        <v>176.4</v>
      </c>
      <c r="DL7" vm="1137">
        <f ca="1"/>
        <v>175.9</v>
      </c>
      <c r="DM7" vm="1138">
        <f ca="1"/>
        <v>172.11</v>
      </c>
      <c r="DN7" vm="1139">
        <f ca="1"/>
        <v>172.5</v>
      </c>
      <c r="DO7" vm="1140">
        <f ca="1"/>
        <v>173.17</v>
      </c>
      <c r="DP7" vm="1141">
        <f ca="1"/>
        <v>173.79</v>
      </c>
      <c r="DQ7" vm="1142">
        <f ca="1"/>
        <v>175.41</v>
      </c>
      <c r="DR7" vm="1143">
        <f ca="1"/>
        <v>176.73</v>
      </c>
      <c r="DS7" vm="1144">
        <f ca="1"/>
        <v>174.46</v>
      </c>
      <c r="DT7" vm="1145">
        <f ca="1"/>
        <v>175.01</v>
      </c>
      <c r="DU7" vm="1146">
        <f ca="1"/>
        <v>176.62</v>
      </c>
      <c r="DV7" vm="1147">
        <f ca="1"/>
        <v>177.79</v>
      </c>
      <c r="DW7" vm="1148">
        <f ca="1"/>
        <v>175.16</v>
      </c>
      <c r="DX7" vm="1149">
        <f ca="1"/>
        <v>176.79</v>
      </c>
      <c r="DY7" vm="1150">
        <f ca="1"/>
        <v>177.24</v>
      </c>
      <c r="DZ7" vm="1151">
        <f ca="1"/>
        <v>175.09</v>
      </c>
      <c r="EA7" vm="1152">
        <f ca="1"/>
        <v>176.3</v>
      </c>
      <c r="EB7" vm="1153">
        <f ca="1"/>
        <v>179.63</v>
      </c>
      <c r="EC7" vm="935">
        <f ca="1"/>
        <v>179.22</v>
      </c>
      <c r="ED7" vm="1154">
        <f ca="1"/>
        <v>184.03</v>
      </c>
      <c r="EE7" vm="1155">
        <f ca="1"/>
        <v>183.88</v>
      </c>
      <c r="EF7" vm="1156">
        <f ca="1"/>
        <v>185.41</v>
      </c>
      <c r="EG7" vm="1157">
        <f ca="1"/>
        <v>182.15</v>
      </c>
      <c r="EH7" vm="1158">
        <f ca="1"/>
        <v>182.99</v>
      </c>
      <c r="EI7" vm="1159">
        <f ca="1"/>
        <v>185.24</v>
      </c>
      <c r="EJ7" vm="1160">
        <f ca="1"/>
        <v>185.82</v>
      </c>
      <c r="EK7" vm="1161">
        <f ca="1"/>
        <v>190.6</v>
      </c>
      <c r="EL7" vm="1162">
        <f ca="1"/>
        <v>189.03</v>
      </c>
      <c r="EM7" vm="1163">
        <f ca="1"/>
        <v>188.98</v>
      </c>
      <c r="EN7" vm="1164">
        <f ca="1"/>
        <v>191.18</v>
      </c>
      <c r="EO7" vm="1165">
        <f ca="1"/>
        <v>185.57</v>
      </c>
      <c r="EP7" vm="1166">
        <f ca="1"/>
        <v>185.07</v>
      </c>
      <c r="EQ7" vm="1028">
        <f ca="1"/>
        <v>186.53</v>
      </c>
      <c r="ER7" vm="1167">
        <f ca="1"/>
        <v>183.92</v>
      </c>
      <c r="ES7" vm="1168">
        <f ca="1"/>
        <v>181.02</v>
      </c>
      <c r="ET7" vm="1169">
        <f ca="1"/>
        <v>177.69</v>
      </c>
      <c r="EU7" vm="583">
        <f ca="1"/>
        <v>177.66</v>
      </c>
      <c r="EV7" vm="1170">
        <f ca="1"/>
        <v>181.67</v>
      </c>
      <c r="EW7" vm="1171">
        <f ca="1"/>
        <v>181.79</v>
      </c>
      <c r="EX7" vm="1172">
        <f ca="1"/>
        <v>172.63</v>
      </c>
      <c r="EY7" vm="1173">
        <f ca="1"/>
        <v>167.28</v>
      </c>
      <c r="EZ7" vm="1174">
        <f ca="1"/>
        <v>167</v>
      </c>
      <c r="FA7" vm="1175">
        <f ca="1"/>
        <v>169.53</v>
      </c>
      <c r="FB7" vm="891">
        <f ca="1"/>
        <v>170.29</v>
      </c>
      <c r="FC7" vm="589">
        <f ca="1"/>
        <v>171.54</v>
      </c>
      <c r="FD7" vm="1176">
        <f ca="1"/>
        <v>170.76</v>
      </c>
      <c r="FE7" vm="1177">
        <f ca="1"/>
        <v>166.66</v>
      </c>
      <c r="FF7" vm="1178">
        <f ca="1"/>
        <v>159.25</v>
      </c>
      <c r="FG7" vm="1179">
        <f ca="1"/>
        <v>158.29</v>
      </c>
      <c r="FH7" vm="1180">
        <f ca="1"/>
        <v>158.94</v>
      </c>
      <c r="FI7" vm="954">
        <f ca="1"/>
        <v>162.03</v>
      </c>
      <c r="FJ7" vm="1181">
        <f ca="1"/>
        <v>163.66999999999999</v>
      </c>
      <c r="FK7" vm="1182">
        <f ca="1"/>
        <v>162.29</v>
      </c>
      <c r="FL7" vm="1183">
        <f ca="1"/>
        <v>164.16</v>
      </c>
      <c r="FM7" vm="1184">
        <f ca="1"/>
        <v>160.37</v>
      </c>
      <c r="FN7" vm="1185">
        <f ca="1"/>
        <v>161.30000000000001</v>
      </c>
      <c r="FO7" vm="1186">
        <f ca="1"/>
        <v>162.96</v>
      </c>
      <c r="FP7" vm="1187">
        <f ca="1"/>
        <v>166.67</v>
      </c>
      <c r="FQ7" vm="1188">
        <f ca="1"/>
        <v>167.18</v>
      </c>
      <c r="FR7" vm="1189">
        <f ca="1"/>
        <v>165.85</v>
      </c>
      <c r="FS7" vm="1190">
        <f ca="1"/>
        <v>163.80000000000001</v>
      </c>
      <c r="FT7" vm="1191">
        <f ca="1"/>
        <v>165.62</v>
      </c>
      <c r="FU7" vm="1192">
        <f ca="1"/>
        <v>166.16</v>
      </c>
      <c r="FV7" vm="1193">
        <f ca="1"/>
        <v>164.68</v>
      </c>
      <c r="FW7" vm="747">
        <f ca="1"/>
        <v>162.85</v>
      </c>
      <c r="FX7" vm="676">
        <f ca="1"/>
        <v>161.78</v>
      </c>
      <c r="FY7" vm="1194">
        <f ca="1"/>
        <v>163.38</v>
      </c>
      <c r="FZ7" vm="1195">
        <f ca="1"/>
        <v>157.36000000000001</v>
      </c>
      <c r="GA7" vm="1196">
        <f ca="1"/>
        <v>156.44999999999999</v>
      </c>
      <c r="GB7" vm="1197">
        <f ca="1"/>
        <v>157.24</v>
      </c>
      <c r="GC7" vm="1198">
        <f ca="1"/>
        <v>150.91999999999999</v>
      </c>
      <c r="GD7" vm="1199">
        <f ca="1"/>
        <v>148.71</v>
      </c>
      <c r="GE7" vm="1200">
        <f ca="1"/>
        <v>148.66</v>
      </c>
      <c r="GF7" vm="1201">
        <f ca="1"/>
        <v>151.16</v>
      </c>
      <c r="GG7" vm="1202">
        <f ca="1"/>
        <v>154.69</v>
      </c>
      <c r="GH7" vm="877">
        <f ca="1"/>
        <v>157.46</v>
      </c>
      <c r="GI7" vm="1203">
        <f ca="1"/>
        <v>158.06</v>
      </c>
      <c r="GJ7" vm="1204">
        <f ca="1"/>
        <v>159.32</v>
      </c>
      <c r="GK7" vm="1205">
        <f ca="1"/>
        <v>159.81</v>
      </c>
      <c r="GL7" vm="1206">
        <f ca="1"/>
        <v>162.13999999999999</v>
      </c>
      <c r="GM7" vm="1207">
        <f ca="1"/>
        <v>163.59</v>
      </c>
      <c r="GN7" vm="1208">
        <f ca="1"/>
        <v>161.85</v>
      </c>
      <c r="GO7" vm="1182">
        <f ca="1"/>
        <v>162.29</v>
      </c>
      <c r="GP7" vm="1209">
        <f ca="1"/>
        <v>161.49</v>
      </c>
      <c r="GQ7" vm="1210">
        <f ca="1"/>
        <v>162.72999999999999</v>
      </c>
      <c r="GR7" vm="952">
        <f ca="1"/>
        <v>163.95</v>
      </c>
      <c r="GS7" vm="1189">
        <f ca="1"/>
        <v>165.85</v>
      </c>
      <c r="GT7" vm="1000">
        <f ca="1"/>
        <v>166.99</v>
      </c>
      <c r="GU7" vm="1211">
        <f ca="1"/>
        <v>165.86</v>
      </c>
      <c r="GV7" vm="1211">
        <f ca="1"/>
        <v>165.86</v>
      </c>
      <c r="GW7" vm="1212">
        <f ca="1"/>
        <v>167.06</v>
      </c>
      <c r="GX7" vm="1213">
        <f ca="1"/>
        <v>162.97999999999999</v>
      </c>
      <c r="GY7" vm="1214">
        <f ca="1"/>
        <v>164.38</v>
      </c>
      <c r="GZ7" vm="1215">
        <f ca="1"/>
        <v>161.86000000000001</v>
      </c>
      <c r="HA7" vm="1216">
        <f ca="1"/>
        <v>162.08000000000001</v>
      </c>
      <c r="HB7" vm="977">
        <f ca="1"/>
        <v>163.24</v>
      </c>
      <c r="HC7" vm="1217">
        <f ca="1"/>
        <v>164.96</v>
      </c>
      <c r="HD7" vm="1218">
        <f ca="1"/>
        <v>165.46</v>
      </c>
      <c r="HE7" vm="1219">
        <f ca="1"/>
        <v>165.16</v>
      </c>
      <c r="HF7" vm="1220">
        <f ca="1"/>
        <v>162.93</v>
      </c>
      <c r="HG7" vm="1221">
        <f ca="1"/>
        <v>163.41999999999999</v>
      </c>
      <c r="HH7" vm="1222">
        <f ca="1"/>
        <v>164.07</v>
      </c>
      <c r="HI7" vm="661">
        <f ca="1"/>
        <v>165.14</v>
      </c>
      <c r="HJ7" vm="1117">
        <f ca="1"/>
        <v>162.78</v>
      </c>
      <c r="HK7" vm="1223">
        <f ca="1"/>
        <v>162.72</v>
      </c>
      <c r="HL7" vm="754">
        <f ca="1"/>
        <v>165.27</v>
      </c>
      <c r="HM7" vm="1224">
        <f ca="1"/>
        <v>166.72</v>
      </c>
      <c r="HN7" vm="1225">
        <f ca="1"/>
        <v>169.68</v>
      </c>
      <c r="HO7" vm="1144">
        <f ca="1"/>
        <v>174.46</v>
      </c>
      <c r="HP7" vm="1226">
        <f ca="1"/>
        <v>171.11</v>
      </c>
      <c r="HQ7" vm="1227">
        <f ca="1"/>
        <v>171.29</v>
      </c>
      <c r="HR7" vm="1018">
        <f ca="1"/>
        <v>169.24</v>
      </c>
      <c r="HS7" vm="1228">
        <f ca="1"/>
        <v>169.74</v>
      </c>
      <c r="HT7" vm="1229">
        <f ca="1"/>
        <v>176.51</v>
      </c>
      <c r="HU7" vm="1230">
        <f ca="1"/>
        <v>180.75</v>
      </c>
      <c r="HV7" vm="907">
        <f ca="1"/>
        <v>178.35</v>
      </c>
      <c r="HW7" vm="1231">
        <f ca="1"/>
        <v>180.35</v>
      </c>
      <c r="HX7" vm="1232">
        <f ca="1"/>
        <v>181.62</v>
      </c>
      <c r="HY7" vm="1233">
        <f ca="1"/>
        <v>178.88</v>
      </c>
      <c r="HZ7" vm="1234">
        <f ca="1"/>
        <v>175.58</v>
      </c>
      <c r="IA7" vm="1235">
        <f ca="1"/>
        <v>172.49</v>
      </c>
      <c r="IB7" vm="1236">
        <f ca="1"/>
        <v>175.3</v>
      </c>
      <c r="IC7" vm="1237">
        <f ca="1"/>
        <v>178.12</v>
      </c>
      <c r="ID7" vm="1238">
        <f ca="1"/>
        <v>175.98</v>
      </c>
      <c r="IE7" vm="958">
        <f ca="1"/>
        <v>167.63</v>
      </c>
      <c r="IF7" vm="1239">
        <f ca="1"/>
        <v>164.76</v>
      </c>
      <c r="IG7" vm="1240">
        <f ca="1"/>
        <v>167.65</v>
      </c>
      <c r="IH7" vm="1241">
        <f ca="1"/>
        <v>169.12</v>
      </c>
      <c r="II7" vm="1242">
        <f ca="1"/>
        <v>169.23</v>
      </c>
      <c r="IJ7" vm="1243">
        <f ca="1"/>
        <v>168.95</v>
      </c>
      <c r="IK7" vm="1244">
        <f ca="1"/>
        <v>171.49</v>
      </c>
      <c r="IL7" vm="1245">
        <f ca="1"/>
        <v>171.34</v>
      </c>
      <c r="IM7" vm="939">
        <f ca="1"/>
        <v>174.37</v>
      </c>
      <c r="IN7" vm="1246">
        <f ca="1"/>
        <v>172.64</v>
      </c>
      <c r="IO7" vm="1247">
        <f ca="1"/>
        <v>174.71</v>
      </c>
      <c r="IP7" vm="1248">
        <f ca="1"/>
        <v>175.37</v>
      </c>
      <c r="IQ7" vm="1249">
        <f ca="1"/>
        <v>185.17</v>
      </c>
    </row>
    <row r="8" spans="1:251">
      <c r="A8" cm="1" vm="1250">
        <f t="array" aca="1" ref="A8:IQ8" ca="1">TRANSPOSE(_xlfn.STOCKHISTORY(Table3[[#This Row],[Stock Name ]],TODAY()-365,TODAY(),0,0,1))</f>
        <v>147.47999999999999</v>
      </c>
      <c r="B8" vm="1251">
        <f ca="1"/>
        <v>148.84</v>
      </c>
      <c r="C8" vm="1252">
        <f ca="1"/>
        <v>147.41999999999999</v>
      </c>
      <c r="D8" vm="1253">
        <f ca="1"/>
        <v>149.97</v>
      </c>
      <c r="E8" vm="1254">
        <f ca="1"/>
        <v>154.07</v>
      </c>
      <c r="F8" vm="824">
        <f ca="1"/>
        <v>153.79</v>
      </c>
      <c r="G8" vm="1255">
        <f ca="1"/>
        <v>152.12</v>
      </c>
      <c r="H8" vm="1256">
        <f ca="1"/>
        <v>153.84</v>
      </c>
      <c r="I8" vm="1257">
        <f ca="1"/>
        <v>153.41999999999999</v>
      </c>
      <c r="J8" vm="1258">
        <f ca="1"/>
        <v>153.41</v>
      </c>
      <c r="K8" vm="1259">
        <f ca="1"/>
        <v>153.34</v>
      </c>
      <c r="L8" vm="1260">
        <f ca="1"/>
        <v>153.38</v>
      </c>
      <c r="M8" vm="864">
        <f ca="1"/>
        <v>151.94</v>
      </c>
      <c r="N8" vm="1261">
        <f ca="1"/>
        <v>149.93</v>
      </c>
      <c r="O8" vm="1262">
        <f ca="1"/>
        <v>148.47</v>
      </c>
      <c r="P8" vm="1263">
        <f ca="1"/>
        <v>144.57</v>
      </c>
      <c r="Q8" vm="1264">
        <f ca="1"/>
        <v>145.24</v>
      </c>
      <c r="R8" vm="1265">
        <f ca="1"/>
        <v>149.1</v>
      </c>
      <c r="S8" vm="1266">
        <f ca="1"/>
        <v>151.37</v>
      </c>
      <c r="T8" vm="1267">
        <f ca="1"/>
        <v>153.72999999999999</v>
      </c>
      <c r="U8" vm="1268">
        <f ca="1"/>
        <v>155.18</v>
      </c>
      <c r="V8" vm="1269">
        <f ca="1"/>
        <v>154.62</v>
      </c>
      <c r="W8" vm="651">
        <f ca="1"/>
        <v>153.16</v>
      </c>
      <c r="X8" vm="1270">
        <f ca="1"/>
        <v>151.71</v>
      </c>
      <c r="Y8" vm="1271">
        <f ca="1"/>
        <v>153.5</v>
      </c>
      <c r="Z8" vm="1272">
        <f ca="1"/>
        <v>155.34</v>
      </c>
      <c r="AA8" vm="1273">
        <f ca="1"/>
        <v>154.78</v>
      </c>
      <c r="AB8" vm="1274">
        <f ca="1"/>
        <v>156.02000000000001</v>
      </c>
      <c r="AC8" vm="1275">
        <f ca="1"/>
        <v>156.87</v>
      </c>
      <c r="AD8" vm="1276">
        <f ca="1"/>
        <v>157.75</v>
      </c>
      <c r="AE8" vm="1277">
        <f ca="1"/>
        <v>159.12</v>
      </c>
      <c r="AF8" vm="1278">
        <f ca="1"/>
        <v>161.26</v>
      </c>
      <c r="AG8" vm="1279">
        <f ca="1"/>
        <v>159</v>
      </c>
      <c r="AH8" vm="1280">
        <f ca="1"/>
        <v>155.19999999999999</v>
      </c>
      <c r="AI8" vm="1281">
        <f ca="1"/>
        <v>159.28</v>
      </c>
      <c r="AJ8" vm="1282">
        <f ca="1"/>
        <v>171.81</v>
      </c>
      <c r="AK8" vm="1283">
        <f ca="1"/>
        <v>170.31</v>
      </c>
      <c r="AL8" vm="1284">
        <f ca="1"/>
        <v>169.15</v>
      </c>
      <c r="AM8" vm="1285">
        <f ca="1"/>
        <v>170.53</v>
      </c>
      <c r="AN8" vm="1286">
        <f ca="1"/>
        <v>169.84</v>
      </c>
      <c r="AO8" vm="1287">
        <f ca="1"/>
        <v>174.45</v>
      </c>
      <c r="AP8" vm="1288">
        <f ca="1"/>
        <v>172.34</v>
      </c>
      <c r="AQ8" vm="1289">
        <f ca="1"/>
        <v>168.64</v>
      </c>
      <c r="AR8" vm="1290">
        <f ca="1"/>
        <v>170.98</v>
      </c>
      <c r="AS8" vm="1291">
        <f ca="1"/>
        <v>169.8</v>
      </c>
      <c r="AT8" vm="1292">
        <f ca="1"/>
        <v>169.51</v>
      </c>
      <c r="AU8" vm="1293">
        <f ca="1"/>
        <v>167.08</v>
      </c>
      <c r="AV8" vm="1294">
        <f ca="1"/>
        <v>168.59</v>
      </c>
      <c r="AW8" vm="1295">
        <f ca="1"/>
        <v>174.58</v>
      </c>
      <c r="AX8" vm="1135">
        <f ca="1"/>
        <v>174.99</v>
      </c>
      <c r="AY8" vm="1296">
        <f ca="1"/>
        <v>174.73</v>
      </c>
      <c r="AZ8" vm="1297">
        <f ca="1"/>
        <v>173.54</v>
      </c>
      <c r="BA8" vm="1298">
        <f ca="1"/>
        <v>173.16</v>
      </c>
      <c r="BB8" vm="591">
        <f ca="1"/>
        <v>176.76</v>
      </c>
      <c r="BC8" vm="1299">
        <f ca="1"/>
        <v>178.22</v>
      </c>
      <c r="BD8" vm="1300">
        <f ca="1"/>
        <v>177.58</v>
      </c>
      <c r="BE8" vm="1301">
        <f ca="1"/>
        <v>174.12</v>
      </c>
      <c r="BF8" vm="1302">
        <f ca="1"/>
        <v>173.51</v>
      </c>
      <c r="BG8" vm="1303">
        <f ca="1"/>
        <v>176.82</v>
      </c>
      <c r="BH8" vm="1304">
        <f ca="1"/>
        <v>175.35</v>
      </c>
      <c r="BI8" vm="1305">
        <f ca="1"/>
        <v>171.96</v>
      </c>
      <c r="BJ8" vm="1306">
        <f ca="1"/>
        <v>175.39</v>
      </c>
      <c r="BK8" vm="1307">
        <f ca="1"/>
        <v>176.55500000000001</v>
      </c>
      <c r="BL8" vm="1308">
        <f ca="1"/>
        <v>178.75</v>
      </c>
      <c r="BM8" vm="904">
        <f ca="1"/>
        <v>174.42</v>
      </c>
      <c r="BN8" vm="1309">
        <f ca="1"/>
        <v>174.48</v>
      </c>
      <c r="BO8" vm="1137">
        <f ca="1"/>
        <v>175.9</v>
      </c>
      <c r="BP8" vm="1310">
        <f ca="1"/>
        <v>178.15</v>
      </c>
      <c r="BQ8" vm="1310">
        <f ca="1"/>
        <v>178.15</v>
      </c>
      <c r="BR8" vm="1311">
        <f ca="1"/>
        <v>178.87</v>
      </c>
      <c r="BS8" vm="1312">
        <f ca="1"/>
        <v>179.71</v>
      </c>
      <c r="BT8" vm="1313">
        <f ca="1"/>
        <v>178.3</v>
      </c>
      <c r="BU8" vm="691">
        <f ca="1"/>
        <v>179.83</v>
      </c>
      <c r="BV8" vm="1314">
        <f ca="1"/>
        <v>180.38</v>
      </c>
      <c r="BW8" vm="1315">
        <f ca="1"/>
        <v>180.97</v>
      </c>
      <c r="BX8" vm="1316">
        <f ca="1"/>
        <v>180.69</v>
      </c>
      <c r="BY8" vm="1317">
        <f ca="1"/>
        <v>182.41</v>
      </c>
      <c r="BZ8" vm="1318">
        <f ca="1"/>
        <v>180</v>
      </c>
      <c r="CA8" vm="1166">
        <f ca="1"/>
        <v>185.07</v>
      </c>
      <c r="CB8" vm="1319">
        <f ca="1"/>
        <v>185.19</v>
      </c>
      <c r="CC8" vm="1320">
        <f ca="1"/>
        <v>185.67</v>
      </c>
      <c r="CD8" vm="1321">
        <f ca="1"/>
        <v>185.95</v>
      </c>
      <c r="CE8" vm="1322">
        <f ca="1"/>
        <v>189.05</v>
      </c>
      <c r="CF8" vm="1323">
        <f ca="1"/>
        <v>186.13</v>
      </c>
      <c r="CG8" vm="1324">
        <f ca="1"/>
        <v>183.62</v>
      </c>
      <c r="CH8" vm="1012">
        <f ca="1"/>
        <v>183.32</v>
      </c>
      <c r="CI8" vm="1325">
        <f ca="1"/>
        <v>181.28</v>
      </c>
      <c r="CJ8" vm="935">
        <f ca="1"/>
        <v>179.22</v>
      </c>
      <c r="CK8" vm="1326">
        <f ca="1"/>
        <v>174.63</v>
      </c>
      <c r="CL8" vm="1327">
        <f ca="1"/>
        <v>177.23</v>
      </c>
      <c r="CM8" vm="897">
        <f ca="1"/>
        <v>179.54</v>
      </c>
      <c r="CN8" vm="1328">
        <f ca="1"/>
        <v>176.59</v>
      </c>
      <c r="CO8" vm="1329">
        <f ca="1"/>
        <v>173.67</v>
      </c>
      <c r="CP8" vm="1330">
        <f ca="1"/>
        <v>179.62</v>
      </c>
      <c r="CQ8" vm="1331">
        <f ca="1"/>
        <v>180.96</v>
      </c>
      <c r="CR8" vm="1332">
        <f ca="1"/>
        <v>175</v>
      </c>
      <c r="CS8" vm="1333">
        <f ca="1"/>
        <v>179</v>
      </c>
      <c r="CT8" vm="1334">
        <f ca="1"/>
        <v>184.72</v>
      </c>
      <c r="CU8" vm="1335">
        <f ca="1"/>
        <v>186.21</v>
      </c>
      <c r="CV8" vm="1336">
        <f ca="1"/>
        <v>188.7</v>
      </c>
      <c r="CW8" vm="1337">
        <f ca="1"/>
        <v>188.76</v>
      </c>
      <c r="CX8" vm="1338">
        <f ca="1"/>
        <v>188</v>
      </c>
      <c r="CY8" vm="1339">
        <f ca="1"/>
        <v>189.5</v>
      </c>
      <c r="CZ8" vm="1340">
        <f ca="1"/>
        <v>187.48</v>
      </c>
      <c r="DA8" vm="1341">
        <f ca="1"/>
        <v>186.57</v>
      </c>
      <c r="DB8" vm="1342">
        <f ca="1"/>
        <v>187.07</v>
      </c>
      <c r="DC8" vm="1343">
        <f ca="1"/>
        <v>185.99</v>
      </c>
      <c r="DD8" vm="1344">
        <f ca="1"/>
        <v>183.63</v>
      </c>
      <c r="DE8" vm="1345">
        <f ca="1"/>
        <v>184.7</v>
      </c>
      <c r="DF8" vm="1346">
        <f ca="1"/>
        <v>183.54</v>
      </c>
      <c r="DG8" vm="1347">
        <f ca="1"/>
        <v>183.15</v>
      </c>
      <c r="DH8" vm="1348">
        <f ca="1"/>
        <v>183.13</v>
      </c>
      <c r="DI8" vm="1349">
        <f ca="1"/>
        <v>181.05</v>
      </c>
      <c r="DJ8" vm="1230">
        <f ca="1"/>
        <v>180.75</v>
      </c>
      <c r="DK8" vm="1157">
        <f ca="1"/>
        <v>182.15</v>
      </c>
      <c r="DL8" vm="1350">
        <f ca="1"/>
        <v>182.02</v>
      </c>
      <c r="DM8" vm="1351">
        <f ca="1"/>
        <v>179.32</v>
      </c>
      <c r="DN8" vm="1352">
        <f ca="1"/>
        <v>176.44</v>
      </c>
      <c r="DO8" vm="1353">
        <f ca="1"/>
        <v>178.34</v>
      </c>
      <c r="DP8" vm="1354">
        <f ca="1"/>
        <v>179.34</v>
      </c>
      <c r="DQ8" vm="1325">
        <f ca="1"/>
        <v>181.28</v>
      </c>
      <c r="DR8" vm="1355">
        <f ca="1"/>
        <v>185</v>
      </c>
      <c r="DS8" vm="1356">
        <f ca="1"/>
        <v>184.3</v>
      </c>
      <c r="DT8" vm="610">
        <f ca="1"/>
        <v>187.06</v>
      </c>
      <c r="DU8" vm="1357">
        <f ca="1"/>
        <v>187.23</v>
      </c>
      <c r="DV8" vm="1358">
        <f ca="1"/>
        <v>186.89</v>
      </c>
      <c r="DW8" vm="1359">
        <f ca="1"/>
        <v>183.83</v>
      </c>
      <c r="DX8" vm="1360">
        <f ca="1"/>
        <v>183.66</v>
      </c>
      <c r="DY8" vm="1361">
        <f ca="1"/>
        <v>184.06</v>
      </c>
      <c r="DZ8" vm="1362">
        <f ca="1"/>
        <v>182.81</v>
      </c>
      <c r="EA8" vm="1363">
        <f ca="1"/>
        <v>186.1</v>
      </c>
      <c r="EB8" vm="1364">
        <f ca="1"/>
        <v>189.08</v>
      </c>
      <c r="EC8" vm="1165">
        <f ca="1"/>
        <v>185.57</v>
      </c>
      <c r="ED8" vm="1365">
        <f ca="1"/>
        <v>186.34</v>
      </c>
      <c r="EE8" vm="1366">
        <f ca="1"/>
        <v>193.61</v>
      </c>
      <c r="EF8" vm="1367">
        <f ca="1"/>
        <v>197.85</v>
      </c>
      <c r="EG8" vm="1368">
        <f ca="1"/>
        <v>193.25</v>
      </c>
      <c r="EH8" vm="1369">
        <f ca="1"/>
        <v>197.2</v>
      </c>
      <c r="EI8" vm="1370">
        <f ca="1"/>
        <v>200</v>
      </c>
      <c r="EJ8" vm="1371">
        <f ca="1"/>
        <v>197.59</v>
      </c>
      <c r="EK8" vm="1370">
        <f ca="1"/>
        <v>200</v>
      </c>
      <c r="EL8" vm="1372">
        <f ca="1"/>
        <v>199.29</v>
      </c>
      <c r="EM8" vm="1373">
        <f ca="1"/>
        <v>199.34</v>
      </c>
      <c r="EN8" vm="1374">
        <f ca="1"/>
        <v>199.79</v>
      </c>
      <c r="EO8" vm="1375">
        <f ca="1"/>
        <v>195.05</v>
      </c>
      <c r="EP8" vm="1376">
        <f ca="1"/>
        <v>194.49</v>
      </c>
      <c r="EQ8" vm="1377">
        <f ca="1"/>
        <v>192.72</v>
      </c>
      <c r="ER8" vm="1378">
        <f ca="1"/>
        <v>193.02</v>
      </c>
      <c r="ES8" vm="1379">
        <f ca="1"/>
        <v>187.93</v>
      </c>
      <c r="ET8" vm="1380">
        <f ca="1"/>
        <v>183.75</v>
      </c>
      <c r="EU8" vm="1348">
        <f ca="1"/>
        <v>183.13</v>
      </c>
      <c r="EV8" vm="1381">
        <f ca="1"/>
        <v>182.55</v>
      </c>
      <c r="EW8" vm="1382">
        <f ca="1"/>
        <v>186.41</v>
      </c>
      <c r="EX8" vm="1383">
        <f ca="1"/>
        <v>180.83</v>
      </c>
      <c r="EY8" vm="1384">
        <f ca="1"/>
        <v>179.85</v>
      </c>
      <c r="EZ8" vm="1385">
        <f ca="1"/>
        <v>182.5</v>
      </c>
      <c r="FA8" vm="1386">
        <f ca="1"/>
        <v>183.2</v>
      </c>
      <c r="FB8" vm="1387">
        <f ca="1"/>
        <v>181.71</v>
      </c>
      <c r="FC8" vm="1388">
        <f ca="1"/>
        <v>186.98</v>
      </c>
      <c r="FD8" vm="1389">
        <f ca="1"/>
        <v>184.07</v>
      </c>
      <c r="FE8" vm="882">
        <f ca="1"/>
        <v>167.9</v>
      </c>
      <c r="FF8" vm="1390">
        <f ca="1"/>
        <v>161.02000000000001</v>
      </c>
      <c r="FG8" vm="1391">
        <f ca="1"/>
        <v>161.93</v>
      </c>
      <c r="FH8" vm="1392">
        <f ca="1"/>
        <v>162.77000000000001</v>
      </c>
      <c r="FI8" vm="996">
        <f ca="1"/>
        <v>165.8</v>
      </c>
      <c r="FJ8" vm="1393">
        <f ca="1"/>
        <v>166.94</v>
      </c>
      <c r="FK8" vm="1394">
        <f ca="1"/>
        <v>166.8</v>
      </c>
      <c r="FL8" vm="1395">
        <f ca="1"/>
        <v>170.23</v>
      </c>
      <c r="FM8" vm="1396">
        <f ca="1"/>
        <v>170.1</v>
      </c>
      <c r="FN8" vm="1397">
        <f ca="1"/>
        <v>177.59</v>
      </c>
      <c r="FO8" vm="1398">
        <f ca="1"/>
        <v>177.06</v>
      </c>
      <c r="FP8" vm="1299">
        <f ca="1"/>
        <v>178.22</v>
      </c>
      <c r="FQ8" vm="1233">
        <f ca="1"/>
        <v>178.88</v>
      </c>
      <c r="FR8" vm="1399">
        <f ca="1"/>
        <v>180.11</v>
      </c>
      <c r="FS8" vm="1400">
        <f ca="1"/>
        <v>176.13</v>
      </c>
      <c r="FT8" vm="1401">
        <f ca="1"/>
        <v>177.04</v>
      </c>
      <c r="FU8" vm="1402">
        <f ca="1"/>
        <v>175.5</v>
      </c>
      <c r="FV8" vm="1403">
        <f ca="1"/>
        <v>173.12</v>
      </c>
      <c r="FW8" vm="1404">
        <f ca="1"/>
        <v>170.8</v>
      </c>
      <c r="FX8" vm="1405">
        <f ca="1"/>
        <v>172.12</v>
      </c>
      <c r="FY8" vm="1406">
        <f ca="1"/>
        <v>178.5</v>
      </c>
      <c r="FZ8" vm="1407">
        <f ca="1"/>
        <v>176.25</v>
      </c>
      <c r="GA8" vm="1408">
        <f ca="1"/>
        <v>173.33</v>
      </c>
      <c r="GB8" vm="1409">
        <f ca="1"/>
        <v>177.89</v>
      </c>
      <c r="GC8" vm="1410">
        <f ca="1"/>
        <v>171.39</v>
      </c>
      <c r="GD8" vm="1411">
        <f ca="1"/>
        <v>175.4</v>
      </c>
      <c r="GE8" vm="1412">
        <f ca="1"/>
        <v>179.55</v>
      </c>
      <c r="GF8" vm="1413">
        <f ca="1"/>
        <v>184.52</v>
      </c>
      <c r="GG8" vm="1414">
        <f ca="1"/>
        <v>187</v>
      </c>
      <c r="GH8" vm="1415">
        <f ca="1"/>
        <v>186.49</v>
      </c>
      <c r="GI8" vm="1416">
        <f ca="1"/>
        <v>184.89</v>
      </c>
      <c r="GJ8" vm="1417">
        <f ca="1"/>
        <v>186.88</v>
      </c>
      <c r="GK8" vm="1418">
        <f ca="1"/>
        <v>186.43</v>
      </c>
      <c r="GL8" vm="1419">
        <f ca="1"/>
        <v>189.87</v>
      </c>
      <c r="GM8" vm="1420">
        <f ca="1"/>
        <v>191.6</v>
      </c>
      <c r="GN8" vm="1421">
        <f ca="1"/>
        <v>193.88</v>
      </c>
      <c r="GO8" vm="1422">
        <f ca="1"/>
        <v>193.96</v>
      </c>
      <c r="GP8" vm="600">
        <f ca="1"/>
        <v>192.53</v>
      </c>
      <c r="GQ8" vm="1423">
        <f ca="1"/>
        <v>191.16</v>
      </c>
      <c r="GR8" vm="1424">
        <f ca="1"/>
        <v>187.97</v>
      </c>
      <c r="GS8" vm="1425">
        <f ca="1"/>
        <v>186.33</v>
      </c>
      <c r="GT8" vm="1426">
        <f ca="1"/>
        <v>185.13</v>
      </c>
      <c r="GU8" vm="1427">
        <f ca="1"/>
        <v>184.76</v>
      </c>
      <c r="GV8" vm="1428">
        <f ca="1"/>
        <v>181.96</v>
      </c>
      <c r="GW8" vm="1429">
        <f ca="1"/>
        <v>186.51</v>
      </c>
      <c r="GX8" vm="1430">
        <f ca="1"/>
        <v>180.8</v>
      </c>
      <c r="GY8" vm="1431">
        <f ca="1"/>
        <v>182.72</v>
      </c>
      <c r="GZ8" vm="1249">
        <f ca="1"/>
        <v>185.17</v>
      </c>
      <c r="HA8" vm="1432">
        <f ca="1"/>
        <v>186.65</v>
      </c>
      <c r="HB8" vm="1433">
        <f ca="1"/>
        <v>188.82</v>
      </c>
      <c r="HC8" vm="1434">
        <f ca="1"/>
        <v>187.54</v>
      </c>
      <c r="HD8" vm="1435">
        <f ca="1"/>
        <v>187.69</v>
      </c>
      <c r="HE8" vm="1358">
        <f ca="1"/>
        <v>186.89</v>
      </c>
      <c r="HF8" vm="1436">
        <f ca="1"/>
        <v>187.53</v>
      </c>
      <c r="HG8" vm="1437">
        <f ca="1"/>
        <v>188.99</v>
      </c>
      <c r="HH8" vm="1438">
        <f ca="1"/>
        <v>189.07</v>
      </c>
      <c r="HI8" vm="1439">
        <f ca="1"/>
        <v>189.7</v>
      </c>
      <c r="HJ8" vm="1440">
        <f ca="1"/>
        <v>184.71</v>
      </c>
      <c r="HK8" vm="1441">
        <f ca="1"/>
        <v>186.38</v>
      </c>
      <c r="HL8" vm="1442">
        <f ca="1"/>
        <v>187.83</v>
      </c>
      <c r="HM8" vm="1443">
        <f ca="1"/>
        <v>188.39</v>
      </c>
      <c r="HN8" vm="1444">
        <f ca="1"/>
        <v>190.83</v>
      </c>
      <c r="HO8" vm="1445">
        <f ca="1"/>
        <v>192.73</v>
      </c>
      <c r="HP8" vm="1446">
        <f ca="1"/>
        <v>186.4</v>
      </c>
      <c r="HQ8" vm="1447">
        <f ca="1"/>
        <v>197.93</v>
      </c>
      <c r="HR8" vm="1448">
        <f ca="1"/>
        <v>195.78</v>
      </c>
      <c r="HS8" vm="1449">
        <f ca="1"/>
        <v>199.5</v>
      </c>
      <c r="HT8" vm="1450">
        <f ca="1"/>
        <v>207.09</v>
      </c>
      <c r="HU8" vm="1451">
        <f ca="1"/>
        <v>210.05</v>
      </c>
      <c r="HV8" vm="1452">
        <f ca="1"/>
        <v>208.18</v>
      </c>
      <c r="HW8" vm="1453">
        <f ca="1"/>
        <v>206.84</v>
      </c>
      <c r="HX8" vm="1454">
        <f ca="1"/>
        <v>208.91</v>
      </c>
      <c r="HY8" vm="1455">
        <f ca="1"/>
        <v>214.1</v>
      </c>
      <c r="HZ8" vm="1456">
        <f ca="1"/>
        <v>211.48</v>
      </c>
      <c r="IA8" vm="1457">
        <f ca="1"/>
        <v>202.61</v>
      </c>
      <c r="IB8" vm="1458">
        <f ca="1"/>
        <v>201.7</v>
      </c>
      <c r="IC8" vm="1459">
        <f ca="1"/>
        <v>204.61</v>
      </c>
      <c r="ID8" vm="1460">
        <f ca="1"/>
        <v>202.88</v>
      </c>
      <c r="IE8" vm="1461">
        <f ca="1"/>
        <v>198.38</v>
      </c>
      <c r="IF8" vm="1462">
        <f ca="1"/>
        <v>197.12</v>
      </c>
      <c r="IG8" vm="1463">
        <f ca="1"/>
        <v>201.45</v>
      </c>
      <c r="IH8" vm="1464">
        <f ca="1"/>
        <v>207.86</v>
      </c>
      <c r="II8" vm="1465">
        <f ca="1"/>
        <v>205.74</v>
      </c>
      <c r="IJ8" vm="1466">
        <f ca="1"/>
        <v>207.89</v>
      </c>
      <c r="IK8" vm="1467">
        <f ca="1"/>
        <v>210.71</v>
      </c>
      <c r="IL8" vm="1468">
        <f ca="1"/>
        <v>213.44</v>
      </c>
      <c r="IM8" vm="1469">
        <f ca="1"/>
        <v>218.16</v>
      </c>
      <c r="IN8" vm="1470">
        <f ca="1"/>
        <v>220.55</v>
      </c>
      <c r="IO8" vm="1471">
        <f ca="1"/>
        <v>227.03</v>
      </c>
      <c r="IP8" vm="1472">
        <f ca="1"/>
        <v>226.09</v>
      </c>
      <c r="IQ8" vm="1473">
        <f ca="1"/>
        <v>225.04</v>
      </c>
    </row>
    <row r="9" spans="1:251">
      <c r="A9" cm="1" vm="1474">
        <f t="array" aca="1" ref="A9:IQ9" ca="1">TRANSPOSE(_xlfn.STOCKHISTORY(Table3[[#This Row],[Stock Name ]],TODAY()-365,TODAY(),0,0,1))</f>
        <v>194.71</v>
      </c>
      <c r="B9" vm="1475">
        <f ca="1"/>
        <v>197.96</v>
      </c>
      <c r="C9" vm="1476">
        <f ca="1"/>
        <v>198.11</v>
      </c>
      <c r="D9" vm="1477">
        <f ca="1"/>
        <v>197.57</v>
      </c>
      <c r="E9" vm="1478">
        <f ca="1"/>
        <v>195.89</v>
      </c>
      <c r="F9" vm="1479">
        <f ca="1"/>
        <v>196.94</v>
      </c>
      <c r="G9" vm="1480">
        <f ca="1"/>
        <v>194.83</v>
      </c>
      <c r="H9" vm="1481">
        <f ca="1"/>
        <v>194.68</v>
      </c>
      <c r="I9" vm="1482">
        <f ca="1"/>
        <v>193.6</v>
      </c>
      <c r="J9" vm="1483">
        <f ca="1"/>
        <v>193.05</v>
      </c>
      <c r="K9" vm="1484">
        <f ca="1"/>
        <v>193.15</v>
      </c>
      <c r="L9" vm="1485">
        <f ca="1"/>
        <v>193.58</v>
      </c>
      <c r="M9" vm="600">
        <f ca="1"/>
        <v>192.53</v>
      </c>
      <c r="N9" vm="1486">
        <f ca="1"/>
        <v>185.64</v>
      </c>
      <c r="O9" vm="1487">
        <f ca="1"/>
        <v>184.25</v>
      </c>
      <c r="P9" vm="1488">
        <f ca="1"/>
        <v>181.91</v>
      </c>
      <c r="Q9" vm="1489">
        <f ca="1"/>
        <v>181.18</v>
      </c>
      <c r="R9" vm="1490">
        <f ca="1"/>
        <v>185.56</v>
      </c>
      <c r="S9" vm="1491">
        <f ca="1"/>
        <v>185.14</v>
      </c>
      <c r="T9" vm="1492">
        <f ca="1"/>
        <v>186.19</v>
      </c>
      <c r="U9" vm="1493">
        <f ca="1"/>
        <v>185.59</v>
      </c>
      <c r="V9" vm="1494">
        <f ca="1"/>
        <v>185.92</v>
      </c>
      <c r="W9" vm="1344">
        <f ca="1"/>
        <v>183.63</v>
      </c>
      <c r="X9" vm="1495">
        <f ca="1"/>
        <v>182.68</v>
      </c>
      <c r="Y9" vm="1496">
        <f ca="1"/>
        <v>188.63</v>
      </c>
      <c r="Z9" vm="1497">
        <f ca="1"/>
        <v>191.56</v>
      </c>
      <c r="AA9" vm="1498">
        <f ca="1"/>
        <v>193.89</v>
      </c>
      <c r="AB9" vm="1499">
        <f ca="1"/>
        <v>195.18</v>
      </c>
      <c r="AC9" vm="1500">
        <f ca="1"/>
        <v>194.5</v>
      </c>
      <c r="AD9" vm="1501">
        <f ca="1"/>
        <v>194.17</v>
      </c>
      <c r="AE9" vm="1502">
        <f ca="1"/>
        <v>192.42</v>
      </c>
      <c r="AF9" vm="1503">
        <f ca="1"/>
        <v>191.73</v>
      </c>
      <c r="AG9" vm="1504">
        <f ca="1"/>
        <v>188.04</v>
      </c>
      <c r="AH9" vm="1505">
        <f ca="1"/>
        <v>184.4</v>
      </c>
      <c r="AI9" vm="921">
        <f ca="1"/>
        <v>186.86</v>
      </c>
      <c r="AJ9" vm="1506">
        <f ca="1"/>
        <v>185.85</v>
      </c>
      <c r="AK9" vm="1507">
        <f ca="1"/>
        <v>187.68</v>
      </c>
      <c r="AL9" vm="1508">
        <f ca="1"/>
        <v>189.3</v>
      </c>
      <c r="AM9" vm="1509">
        <f ca="1"/>
        <v>189.41</v>
      </c>
      <c r="AN9" vm="1510">
        <f ca="1"/>
        <v>188.32</v>
      </c>
      <c r="AO9" vm="1511">
        <f ca="1"/>
        <v>188.85</v>
      </c>
      <c r="AP9" vm="1512">
        <f ca="1"/>
        <v>187.15</v>
      </c>
      <c r="AQ9" vm="1513">
        <f ca="1"/>
        <v>185.04</v>
      </c>
      <c r="AR9" vm="1514">
        <f ca="1"/>
        <v>184.15</v>
      </c>
      <c r="AS9" vm="1515">
        <f ca="1"/>
        <v>183.86</v>
      </c>
      <c r="AT9" vm="1516">
        <f ca="1"/>
        <v>182.31</v>
      </c>
      <c r="AU9" vm="1517">
        <f ca="1"/>
        <v>181.56</v>
      </c>
      <c r="AV9" vm="1518">
        <f ca="1"/>
        <v>182.32</v>
      </c>
      <c r="AW9" vm="1519">
        <f ca="1"/>
        <v>184.37</v>
      </c>
      <c r="AX9" vm="1520">
        <f ca="1"/>
        <v>182.52</v>
      </c>
      <c r="AY9" vm="1521">
        <f ca="1"/>
        <v>181.16</v>
      </c>
      <c r="AZ9" vm="1522">
        <f ca="1"/>
        <v>182.63</v>
      </c>
      <c r="BA9" vm="613">
        <f ca="1"/>
        <v>181.42</v>
      </c>
      <c r="BB9" vm="1230">
        <f ca="1"/>
        <v>180.75</v>
      </c>
      <c r="BC9" vm="1523">
        <f ca="1"/>
        <v>179.66</v>
      </c>
      <c r="BD9" vm="1524">
        <f ca="1"/>
        <v>175.1</v>
      </c>
      <c r="BE9" vm="1525">
        <f ca="1"/>
        <v>170.12</v>
      </c>
      <c r="BF9" vm="1241">
        <f ca="1"/>
        <v>169.12</v>
      </c>
      <c r="BG9" vm="1526">
        <f ca="1"/>
        <v>169</v>
      </c>
      <c r="BH9" vm="1527">
        <f ca="1"/>
        <v>170.73</v>
      </c>
      <c r="BI9" vm="1528">
        <f ca="1"/>
        <v>172.75</v>
      </c>
      <c r="BJ9" vm="1529">
        <f ca="1"/>
        <v>173.23</v>
      </c>
      <c r="BK9" vm="942">
        <f ca="1"/>
        <v>171.13</v>
      </c>
      <c r="BL9" vm="1530">
        <f ca="1"/>
        <v>173</v>
      </c>
      <c r="BM9" vm="1531">
        <f ca="1"/>
        <v>172.62</v>
      </c>
      <c r="BN9" vm="1532">
        <f ca="1"/>
        <v>173.72</v>
      </c>
      <c r="BO9" vm="1533">
        <f ca="1"/>
        <v>176.08</v>
      </c>
      <c r="BP9" vm="1534">
        <f ca="1"/>
        <v>178.67</v>
      </c>
      <c r="BQ9" vm="1535">
        <f ca="1"/>
        <v>171.37</v>
      </c>
      <c r="BR9" vm="1536">
        <f ca="1"/>
        <v>172.28</v>
      </c>
      <c r="BS9" vm="1537">
        <f ca="1"/>
        <v>170.85</v>
      </c>
      <c r="BT9" vm="1538">
        <f ca="1"/>
        <v>169.71</v>
      </c>
      <c r="BU9" vm="1539">
        <f ca="1"/>
        <v>173.31</v>
      </c>
      <c r="BV9" vm="1540">
        <f ca="1"/>
        <v>171.48</v>
      </c>
      <c r="BW9" vm="1541">
        <f ca="1"/>
        <v>170.03</v>
      </c>
      <c r="BX9" vm="1542">
        <f ca="1"/>
        <v>168.84</v>
      </c>
      <c r="BY9" vm="1543">
        <f ca="1"/>
        <v>169.65</v>
      </c>
      <c r="BZ9" vm="1544">
        <f ca="1"/>
        <v>168.82</v>
      </c>
      <c r="CA9" vm="1545">
        <f ca="1"/>
        <v>169.58</v>
      </c>
      <c r="CB9" vm="1546">
        <f ca="1"/>
        <v>168.45</v>
      </c>
      <c r="CC9" vm="1547">
        <f ca="1"/>
        <v>169.67</v>
      </c>
      <c r="CD9" vm="1548">
        <f ca="1"/>
        <v>167.78</v>
      </c>
      <c r="CE9" vm="1549">
        <f ca="1"/>
        <v>175.04</v>
      </c>
      <c r="CF9" vm="1550">
        <f ca="1"/>
        <v>176.55</v>
      </c>
      <c r="CG9" vm="1004">
        <f ca="1"/>
        <v>172.69</v>
      </c>
      <c r="CH9" vm="1123">
        <f ca="1"/>
        <v>169.38</v>
      </c>
      <c r="CI9" vm="1551">
        <f ca="1"/>
        <v>168</v>
      </c>
      <c r="CJ9" vm="1552">
        <f ca="1"/>
        <v>167.04</v>
      </c>
      <c r="CK9" vm="1553">
        <f ca="1"/>
        <v>165</v>
      </c>
      <c r="CL9" vm="1554">
        <f ca="1"/>
        <v>165.84</v>
      </c>
      <c r="CM9" vm="663">
        <f ca="1"/>
        <v>166.9</v>
      </c>
      <c r="CN9" vm="1555">
        <f ca="1"/>
        <v>169.02</v>
      </c>
      <c r="CO9" vm="1556">
        <f ca="1"/>
        <v>169.89</v>
      </c>
      <c r="CP9" vm="1557">
        <f ca="1"/>
        <v>169.3</v>
      </c>
      <c r="CQ9" vm="1558">
        <f ca="1"/>
        <v>173.5</v>
      </c>
      <c r="CR9" vm="1559">
        <f ca="1"/>
        <v>170.33</v>
      </c>
      <c r="CS9" vm="1557">
        <f ca="1"/>
        <v>169.3</v>
      </c>
      <c r="CT9" vm="1560">
        <f ca="1"/>
        <v>173.03</v>
      </c>
      <c r="CU9" vm="1561">
        <f ca="1"/>
        <v>183.38</v>
      </c>
      <c r="CV9" vm="1387">
        <f ca="1"/>
        <v>181.71</v>
      </c>
      <c r="CW9" vm="1562">
        <f ca="1"/>
        <v>182.4</v>
      </c>
      <c r="CX9" vm="1563">
        <f ca="1"/>
        <v>182.74</v>
      </c>
      <c r="CY9" vm="1564">
        <f ca="1"/>
        <v>184.57</v>
      </c>
      <c r="CZ9" vm="1565">
        <f ca="1"/>
        <v>183.05</v>
      </c>
      <c r="DA9" vm="1566">
        <f ca="1"/>
        <v>186.28</v>
      </c>
      <c r="DB9" vm="1567">
        <f ca="1"/>
        <v>187.43</v>
      </c>
      <c r="DC9" vm="1568">
        <f ca="1"/>
        <v>189.72</v>
      </c>
      <c r="DD9" vm="1569">
        <f ca="1"/>
        <v>189.84</v>
      </c>
      <c r="DE9" vm="1419">
        <f ca="1"/>
        <v>189.87</v>
      </c>
      <c r="DF9" vm="1570">
        <f ca="1"/>
        <v>191.04</v>
      </c>
      <c r="DG9" vm="1571">
        <f ca="1"/>
        <v>192.35</v>
      </c>
      <c r="DH9" vm="1572">
        <f ca="1"/>
        <v>190.9</v>
      </c>
      <c r="DI9" vm="1417">
        <f ca="1"/>
        <v>186.88</v>
      </c>
      <c r="DJ9" vm="1573">
        <f ca="1"/>
        <v>189.98</v>
      </c>
      <c r="DK9" vm="1574">
        <f ca="1"/>
        <v>189.99</v>
      </c>
      <c r="DL9" vm="1575">
        <f ca="1"/>
        <v>190.29</v>
      </c>
      <c r="DM9" vm="1576">
        <f ca="1"/>
        <v>191.29</v>
      </c>
      <c r="DN9" vm="1577">
        <f ca="1"/>
        <v>192.25</v>
      </c>
      <c r="DO9" vm="1578">
        <f ca="1"/>
        <v>194.03</v>
      </c>
      <c r="DP9" vm="1579">
        <f ca="1"/>
        <v>194.35</v>
      </c>
      <c r="DQ9" vm="1580">
        <f ca="1"/>
        <v>195.87</v>
      </c>
      <c r="DR9" vm="1581">
        <f ca="1"/>
        <v>194.48</v>
      </c>
      <c r="DS9" vm="1582">
        <f ca="1"/>
        <v>196.89</v>
      </c>
      <c r="DT9" vm="1583">
        <f ca="1"/>
        <v>193.12</v>
      </c>
      <c r="DU9" vm="1584">
        <f ca="1"/>
        <v>207.15</v>
      </c>
      <c r="DV9" vm="1585">
        <f ca="1"/>
        <v>213.07</v>
      </c>
      <c r="DW9" vm="1586">
        <f ca="1"/>
        <v>214.24</v>
      </c>
      <c r="DX9" vm="1587">
        <f ca="1"/>
        <v>212.49</v>
      </c>
      <c r="DY9" vm="1588">
        <f ca="1"/>
        <v>216.67</v>
      </c>
      <c r="DZ9" vm="1589">
        <f ca="1"/>
        <v>214.29</v>
      </c>
      <c r="EA9" vm="1590">
        <f ca="1"/>
        <v>209.68</v>
      </c>
      <c r="EB9" vm="1591">
        <f ca="1"/>
        <v>207.49</v>
      </c>
      <c r="EC9" vm="1592">
        <f ca="1"/>
        <v>208.14</v>
      </c>
      <c r="ED9" vm="1593">
        <f ca="1"/>
        <v>209.07</v>
      </c>
      <c r="EE9" vm="1594">
        <f ca="1"/>
        <v>213.25</v>
      </c>
      <c r="EF9" vm="1455">
        <f ca="1"/>
        <v>214.1</v>
      </c>
      <c r="EG9" vm="1595">
        <f ca="1"/>
        <v>210.62</v>
      </c>
      <c r="EH9" vm="1596">
        <f ca="1"/>
        <v>216.75</v>
      </c>
      <c r="EI9" vm="1597">
        <f ca="1"/>
        <v>220.27</v>
      </c>
      <c r="EJ9" vm="1598">
        <f ca="1"/>
        <v>221.55</v>
      </c>
      <c r="EK9" vm="1599">
        <f ca="1"/>
        <v>226.34</v>
      </c>
      <c r="EL9" vm="1600">
        <f ca="1"/>
        <v>227.82</v>
      </c>
      <c r="EM9" vm="1601">
        <f ca="1"/>
        <v>228.68</v>
      </c>
      <c r="EN9" vm="1602">
        <f ca="1"/>
        <v>232.98</v>
      </c>
      <c r="EO9" vm="1603">
        <f ca="1"/>
        <v>227.57</v>
      </c>
      <c r="EP9" vm="1604">
        <f ca="1"/>
        <v>230.54</v>
      </c>
      <c r="EQ9" vm="1605">
        <f ca="1"/>
        <v>234.4</v>
      </c>
      <c r="ER9" vm="1606">
        <f ca="1"/>
        <v>234.82</v>
      </c>
      <c r="ES9" vm="1607">
        <f ca="1"/>
        <v>228.88</v>
      </c>
      <c r="ET9" vm="1608">
        <f ca="1"/>
        <v>224.18</v>
      </c>
      <c r="EU9" vm="1609">
        <f ca="1"/>
        <v>224.31</v>
      </c>
      <c r="EV9" vm="1610">
        <f ca="1"/>
        <v>223.96</v>
      </c>
      <c r="EW9" vm="1611">
        <f ca="1"/>
        <v>225.01</v>
      </c>
      <c r="EX9" vm="1612">
        <f ca="1"/>
        <v>218.54</v>
      </c>
      <c r="EY9" vm="1613">
        <f ca="1"/>
        <v>217.49</v>
      </c>
      <c r="EZ9" vm="1614">
        <f ca="1"/>
        <v>217.96</v>
      </c>
      <c r="FA9" vm="1615">
        <f ca="1"/>
        <v>218.24</v>
      </c>
      <c r="FB9" vm="1616">
        <f ca="1"/>
        <v>218.8</v>
      </c>
      <c r="FC9" vm="1617">
        <f ca="1"/>
        <v>222.08</v>
      </c>
      <c r="FD9" vm="1618">
        <f ca="1"/>
        <v>218.36</v>
      </c>
      <c r="FE9" vm="1619">
        <f ca="1"/>
        <v>219.86</v>
      </c>
      <c r="FF9" vm="1620">
        <f ca="1"/>
        <v>209.27</v>
      </c>
      <c r="FG9" vm="1621">
        <f ca="1"/>
        <v>207.23</v>
      </c>
      <c r="FH9" vm="1622">
        <f ca="1"/>
        <v>209.82</v>
      </c>
      <c r="FI9" vm="1623">
        <f ca="1"/>
        <v>213.31</v>
      </c>
      <c r="FJ9" vm="1624">
        <f ca="1"/>
        <v>216.24</v>
      </c>
      <c r="FK9" vm="1625">
        <f ca="1"/>
        <v>217.53</v>
      </c>
      <c r="FL9" vm="1626">
        <f ca="1"/>
        <v>221.27</v>
      </c>
      <c r="FM9" vm="1627">
        <f ca="1"/>
        <v>221.72</v>
      </c>
      <c r="FN9" vm="1628">
        <f ca="1"/>
        <v>224.72</v>
      </c>
      <c r="FO9" vm="1629">
        <f ca="1"/>
        <v>226.05</v>
      </c>
      <c r="FP9" vm="1630">
        <f ca="1"/>
        <v>225.89</v>
      </c>
      <c r="FQ9" vm="1631">
        <f ca="1"/>
        <v>226.51</v>
      </c>
      <c r="FR9" vm="1632">
        <f ca="1"/>
        <v>226.4</v>
      </c>
      <c r="FS9" vm="1633">
        <f ca="1"/>
        <v>224.53</v>
      </c>
      <c r="FT9" vm="1634">
        <f ca="1"/>
        <v>226.84</v>
      </c>
      <c r="FU9" vm="1635">
        <f ca="1"/>
        <v>227.18</v>
      </c>
      <c r="FV9" vm="1636">
        <f ca="1"/>
        <v>228.03</v>
      </c>
      <c r="FW9" vm="1637">
        <f ca="1"/>
        <v>226.49</v>
      </c>
      <c r="FX9" vm="1638">
        <f ca="1"/>
        <v>229.79</v>
      </c>
      <c r="FY9" vm="1639">
        <f ca="1"/>
        <v>229</v>
      </c>
      <c r="FZ9" vm="1640">
        <f ca="1"/>
        <v>222.77</v>
      </c>
      <c r="GA9" vm="1641">
        <f ca="1"/>
        <v>220.85</v>
      </c>
      <c r="GB9" vm="1642">
        <f ca="1"/>
        <v>222.38</v>
      </c>
      <c r="GC9" vm="1643">
        <f ca="1"/>
        <v>220.82</v>
      </c>
      <c r="GD9" vm="1644">
        <f ca="1"/>
        <v>220.91</v>
      </c>
      <c r="GE9" vm="1645">
        <f ca="1"/>
        <v>220.11</v>
      </c>
      <c r="GF9" vm="1646">
        <f ca="1"/>
        <v>222.66</v>
      </c>
      <c r="GG9" vm="1640">
        <f ca="1"/>
        <v>222.77</v>
      </c>
      <c r="GH9" vm="1647">
        <f ca="1"/>
        <v>222.5</v>
      </c>
      <c r="GI9" vm="1648">
        <f ca="1"/>
        <v>216.32</v>
      </c>
      <c r="GJ9" vm="1649">
        <f ca="1"/>
        <v>216.79</v>
      </c>
      <c r="GK9" vm="1650">
        <f ca="1"/>
        <v>220.69</v>
      </c>
      <c r="GL9" vm="1651">
        <f ca="1"/>
        <v>228.87</v>
      </c>
      <c r="GM9" vm="1652">
        <f ca="1"/>
        <v>228.2</v>
      </c>
      <c r="GN9" vm="1653">
        <f ca="1"/>
        <v>226.47</v>
      </c>
      <c r="GO9" vm="1654">
        <f ca="1"/>
        <v>227.37</v>
      </c>
      <c r="GP9" vm="1655">
        <f ca="1"/>
        <v>226.37</v>
      </c>
      <c r="GQ9" vm="1656">
        <f ca="1"/>
        <v>227.52</v>
      </c>
      <c r="GR9" vm="1657">
        <f ca="1"/>
        <v>227.79</v>
      </c>
      <c r="GS9" vm="1658">
        <f ca="1"/>
        <v>233</v>
      </c>
      <c r="GT9" vm="1659">
        <f ca="1"/>
        <v>226.21</v>
      </c>
      <c r="GU9" vm="1660">
        <f ca="1"/>
        <v>226.78</v>
      </c>
      <c r="GV9" vm="1661">
        <f ca="1"/>
        <v>225.67</v>
      </c>
      <c r="GW9" vm="1662">
        <f ca="1"/>
        <v>226.8</v>
      </c>
      <c r="GX9" vm="1663">
        <f ca="1"/>
        <v>221.69</v>
      </c>
      <c r="GY9" vm="1664">
        <f ca="1"/>
        <v>225.77</v>
      </c>
      <c r="GZ9" vm="1665">
        <f ca="1"/>
        <v>229.54</v>
      </c>
      <c r="HA9" vm="1666">
        <f ca="1"/>
        <v>229.04</v>
      </c>
      <c r="HB9" vm="1667">
        <f ca="1"/>
        <v>227.55</v>
      </c>
      <c r="HC9" vm="1668">
        <f ca="1"/>
        <v>231.3</v>
      </c>
      <c r="HD9" vm="1669">
        <f ca="1"/>
        <v>233.85</v>
      </c>
      <c r="HE9" vm="1670">
        <f ca="1"/>
        <v>231.78</v>
      </c>
      <c r="HF9" vm="1671">
        <f ca="1"/>
        <v>232.15</v>
      </c>
      <c r="HG9" vm="1672">
        <f ca="1"/>
        <v>235</v>
      </c>
      <c r="HH9" vm="1673">
        <f ca="1"/>
        <v>236.48</v>
      </c>
      <c r="HI9" vm="1674">
        <f ca="1"/>
        <v>235.86</v>
      </c>
      <c r="HJ9" vm="1675">
        <f ca="1"/>
        <v>230.76</v>
      </c>
      <c r="HK9" vm="1676">
        <f ca="1"/>
        <v>230.57</v>
      </c>
      <c r="HL9" vm="1677">
        <f ca="1"/>
        <v>231.41</v>
      </c>
      <c r="HM9" vm="1678">
        <f ca="1"/>
        <v>233.4</v>
      </c>
      <c r="HN9" vm="1679">
        <f ca="1"/>
        <v>233.67</v>
      </c>
      <c r="HO9" vm="1680">
        <f ca="1"/>
        <v>230.1</v>
      </c>
      <c r="HP9" vm="1681">
        <f ca="1"/>
        <v>225.91</v>
      </c>
      <c r="HQ9" vm="1682">
        <f ca="1"/>
        <v>222.91</v>
      </c>
      <c r="HR9" vm="1683">
        <f ca="1"/>
        <v>222.01</v>
      </c>
      <c r="HS9" vm="1684">
        <f ca="1"/>
        <v>223.45</v>
      </c>
      <c r="HT9" vm="1685">
        <f ca="1"/>
        <v>222.72</v>
      </c>
      <c r="HU9" vm="1686">
        <f ca="1"/>
        <v>227.48</v>
      </c>
      <c r="HV9" vm="1687">
        <f ca="1"/>
        <v>226.96</v>
      </c>
      <c r="HW9" vm="1688">
        <f ca="1"/>
        <v>224.23</v>
      </c>
      <c r="HX9" vm="1688">
        <f ca="1"/>
        <v>224.23</v>
      </c>
      <c r="HY9" vm="1689">
        <f ca="1"/>
        <v>225.12</v>
      </c>
      <c r="HZ9" vm="1690">
        <f ca="1"/>
        <v>228.22</v>
      </c>
      <c r="IA9" vm="1691">
        <f ca="1"/>
        <v>225</v>
      </c>
      <c r="IB9" vm="1692">
        <f ca="1"/>
        <v>228.02</v>
      </c>
      <c r="IC9" vm="1693">
        <f ca="1"/>
        <v>228.28</v>
      </c>
      <c r="ID9" vm="1639">
        <f ca="1"/>
        <v>229</v>
      </c>
      <c r="IE9" vm="1694">
        <f ca="1"/>
        <v>228.52</v>
      </c>
      <c r="IF9" vm="1695">
        <f ca="1"/>
        <v>229.87</v>
      </c>
      <c r="IG9" vm="1696">
        <f ca="1"/>
        <v>232.87</v>
      </c>
      <c r="IH9" vm="1697">
        <f ca="1"/>
        <v>235.06</v>
      </c>
      <c r="II9" vm="1698">
        <f ca="1"/>
        <v>234.93</v>
      </c>
      <c r="IJ9" vm="1699">
        <f ca="1"/>
        <v>237.33</v>
      </c>
      <c r="IK9" vm="1700">
        <f ca="1"/>
        <v>239.59</v>
      </c>
      <c r="IL9" vm="1701">
        <f ca="1"/>
        <v>242.65</v>
      </c>
      <c r="IM9" vm="1702">
        <f ca="1"/>
        <v>243.01</v>
      </c>
      <c r="IN9" vm="1703">
        <f ca="1"/>
        <v>243.04</v>
      </c>
      <c r="IO9" vm="1704">
        <f ca="1"/>
        <v>242.84</v>
      </c>
      <c r="IP9" vm="1705">
        <f ca="1"/>
        <v>246.75</v>
      </c>
      <c r="IQ9" vm="1706">
        <f ca="1"/>
        <v>247.77</v>
      </c>
    </row>
    <row r="10" spans="1:251">
      <c r="A10" cm="1" vm="1707">
        <f t="array" aca="1" ref="A10:IQ10" ca="1">TRANSPOSE(_xlfn.STOCKHISTORY(Table3[[#This Row],[Stock Name ]],TODAY()-365,TODAY(),0,0,1))</f>
        <v>16.41</v>
      </c>
      <c r="B10" vm="1708">
        <f ca="1"/>
        <v>16.45</v>
      </c>
      <c r="C10" vm="1709">
        <f ca="1"/>
        <v>16.649999999999999</v>
      </c>
      <c r="D10" vm="1710">
        <f ca="1"/>
        <v>16.52</v>
      </c>
      <c r="E10" vm="1711">
        <f ca="1"/>
        <v>16.46</v>
      </c>
      <c r="F10" vm="1712">
        <f ca="1"/>
        <v>16.61</v>
      </c>
      <c r="G10" vm="1713">
        <f ca="1"/>
        <v>16.399999999999999</v>
      </c>
      <c r="H10" vm="1714">
        <f ca="1"/>
        <v>16.489999999999998</v>
      </c>
      <c r="I10" vm="1715">
        <f ca="1"/>
        <v>16.55</v>
      </c>
      <c r="J10" vm="1716">
        <f ca="1"/>
        <v>16.57</v>
      </c>
      <c r="K10" vm="1717">
        <f ca="1"/>
        <v>16.579999999999998</v>
      </c>
      <c r="L10" vm="1718">
        <f ca="1"/>
        <v>16.739999999999998</v>
      </c>
      <c r="M10" vm="1719">
        <f ca="1"/>
        <v>16.78</v>
      </c>
      <c r="N10" vm="1720">
        <f ca="1"/>
        <v>17.25</v>
      </c>
      <c r="O10" vm="1721">
        <f ca="1"/>
        <v>17.23</v>
      </c>
      <c r="P10" vm="1722">
        <f ca="1"/>
        <v>17.149999999999999</v>
      </c>
      <c r="Q10" vm="1723">
        <f ca="1"/>
        <v>17.47</v>
      </c>
      <c r="R10" vm="1724">
        <f ca="1"/>
        <v>17.32</v>
      </c>
      <c r="S10" vm="1725">
        <f ca="1"/>
        <v>16.95</v>
      </c>
      <c r="T10" vm="1726">
        <f ca="1"/>
        <v>16.87</v>
      </c>
      <c r="U10" vm="1727">
        <f ca="1"/>
        <v>16.23</v>
      </c>
      <c r="V10" vm="1728">
        <f ca="1"/>
        <v>16.48</v>
      </c>
      <c r="W10" vm="1729">
        <f ca="1"/>
        <v>16.440000000000001</v>
      </c>
      <c r="X10" vm="1707">
        <f ca="1"/>
        <v>16.41</v>
      </c>
      <c r="Y10" vm="1713">
        <f ca="1"/>
        <v>16.399999999999999</v>
      </c>
      <c r="Z10" vm="1730">
        <f ca="1"/>
        <v>16.670000000000002</v>
      </c>
      <c r="AA10" vm="1731">
        <f ca="1"/>
        <v>16.8</v>
      </c>
      <c r="AB10" vm="1732">
        <f ca="1"/>
        <v>17.190000000000001</v>
      </c>
      <c r="AC10" vm="1733">
        <f ca="1"/>
        <v>16.68</v>
      </c>
      <c r="AD10" vm="1734">
        <f ca="1"/>
        <v>17.18</v>
      </c>
      <c r="AE10" vm="1735">
        <f ca="1"/>
        <v>17.29</v>
      </c>
      <c r="AF10" vm="1720">
        <f ca="1"/>
        <v>17.25</v>
      </c>
      <c r="AG10" vm="1736">
        <f ca="1"/>
        <v>17.53</v>
      </c>
      <c r="AH10" vm="1737">
        <f ca="1"/>
        <v>17.690000000000001</v>
      </c>
      <c r="AI10" vm="1738">
        <f ca="1"/>
        <v>18.04</v>
      </c>
      <c r="AJ10" vm="1739">
        <f ca="1"/>
        <v>17.829999999999998</v>
      </c>
      <c r="AK10" vm="1740">
        <f ca="1"/>
        <v>17.73</v>
      </c>
      <c r="AL10" vm="1741">
        <f ca="1"/>
        <v>17.61</v>
      </c>
      <c r="AM10" vm="1742">
        <f ca="1"/>
        <v>17.329999999999998</v>
      </c>
      <c r="AN10" vm="1743">
        <f ca="1"/>
        <v>16.82</v>
      </c>
      <c r="AO10" vm="1744">
        <f ca="1"/>
        <v>16.84</v>
      </c>
      <c r="AP10" vm="1745">
        <f ca="1"/>
        <v>17.02</v>
      </c>
      <c r="AQ10" vm="1746">
        <f ca="1"/>
        <v>16.899999999999999</v>
      </c>
      <c r="AR10" vm="1747">
        <f ca="1"/>
        <v>16.91</v>
      </c>
      <c r="AS10" vm="1748">
        <f ca="1"/>
        <v>17.09</v>
      </c>
      <c r="AT10" vm="1749">
        <f ca="1"/>
        <v>16.97</v>
      </c>
      <c r="AU10" vm="1747">
        <f ca="1"/>
        <v>16.91</v>
      </c>
      <c r="AV10" vm="1750">
        <f ca="1"/>
        <v>17</v>
      </c>
      <c r="AW10" vm="1751">
        <f ca="1"/>
        <v>16.59</v>
      </c>
      <c r="AX10" vm="1731">
        <f ca="1"/>
        <v>16.8</v>
      </c>
      <c r="AY10" vm="1752">
        <f ca="1"/>
        <v>16.600000000000001</v>
      </c>
      <c r="AZ10" vm="1753">
        <f ca="1"/>
        <v>16.829999999999998</v>
      </c>
      <c r="BA10" vm="1754">
        <f ca="1"/>
        <v>16.96</v>
      </c>
      <c r="BB10" vm="1755">
        <f ca="1"/>
        <v>16.93</v>
      </c>
      <c r="BC10" vm="1756">
        <f ca="1"/>
        <v>16.98</v>
      </c>
      <c r="BD10" vm="1731">
        <f ca="1"/>
        <v>16.8</v>
      </c>
      <c r="BE10" vm="1757">
        <f ca="1"/>
        <v>17.170000000000002</v>
      </c>
      <c r="BF10" vm="1734">
        <f ca="1"/>
        <v>17.18</v>
      </c>
      <c r="BG10" vm="1758">
        <f ca="1"/>
        <v>17.05</v>
      </c>
      <c r="BH10" vm="1759">
        <f ca="1"/>
        <v>17.2</v>
      </c>
      <c r="BI10" vm="1742">
        <f ca="1"/>
        <v>17.329999999999998</v>
      </c>
      <c r="BJ10" vm="1759">
        <f ca="1"/>
        <v>17.2</v>
      </c>
      <c r="BK10" vm="1732">
        <f ca="1"/>
        <v>17.190000000000001</v>
      </c>
      <c r="BL10" vm="1760">
        <f ca="1"/>
        <v>17.010000000000002</v>
      </c>
      <c r="BM10" vm="1758">
        <f ca="1"/>
        <v>17.05</v>
      </c>
      <c r="BN10" vm="1761">
        <f ca="1"/>
        <v>17.3</v>
      </c>
      <c r="BO10" vm="1757">
        <f ca="1"/>
        <v>17.170000000000002</v>
      </c>
      <c r="BP10" vm="1762">
        <f ca="1"/>
        <v>17.21</v>
      </c>
      <c r="BQ10" vm="1763">
        <f ca="1"/>
        <v>17.16</v>
      </c>
      <c r="BR10" vm="1756">
        <f ca="1"/>
        <v>16.98</v>
      </c>
      <c r="BS10" vm="1764">
        <f ca="1"/>
        <v>17.12</v>
      </c>
      <c r="BT10" vm="1734">
        <f ca="1"/>
        <v>17.18</v>
      </c>
      <c r="BU10" vm="1765">
        <f ca="1"/>
        <v>17.55</v>
      </c>
      <c r="BV10" vm="1766">
        <f ca="1"/>
        <v>17.600000000000001</v>
      </c>
      <c r="BW10" vm="1767">
        <f ca="1"/>
        <v>17.5</v>
      </c>
      <c r="BX10" vm="1768">
        <f ca="1"/>
        <v>17.52</v>
      </c>
      <c r="BY10" vm="1741">
        <f ca="1"/>
        <v>17.61</v>
      </c>
      <c r="BZ10" vm="1769">
        <f ca="1"/>
        <v>17.57</v>
      </c>
      <c r="CA10" vm="1770">
        <f ca="1"/>
        <v>17.420000000000002</v>
      </c>
      <c r="CB10" vm="1720">
        <f ca="1"/>
        <v>17.25</v>
      </c>
      <c r="CC10" vm="1746">
        <f ca="1"/>
        <v>16.899999999999999</v>
      </c>
      <c r="CD10" vm="1771">
        <f ca="1"/>
        <v>16.73</v>
      </c>
      <c r="CE10" vm="1772">
        <f ca="1"/>
        <v>16.420000000000002</v>
      </c>
      <c r="CF10" vm="1773">
        <f ca="1"/>
        <v>16.309999999999999</v>
      </c>
      <c r="CG10" vm="1774">
        <f ca="1"/>
        <v>16.239999999999998</v>
      </c>
      <c r="CH10" vm="1775">
        <f ca="1"/>
        <v>16.09</v>
      </c>
      <c r="CI10" vm="1776">
        <f ca="1"/>
        <v>16.12</v>
      </c>
      <c r="CJ10" vm="1777">
        <f ca="1"/>
        <v>16.329999999999998</v>
      </c>
      <c r="CK10" vm="1778">
        <f ca="1"/>
        <v>16.510000000000002</v>
      </c>
      <c r="CL10" vm="1773">
        <f ca="1"/>
        <v>16.309999999999999</v>
      </c>
      <c r="CM10" vm="1779">
        <f ca="1"/>
        <v>16.5</v>
      </c>
      <c r="CN10" vm="1780">
        <f ca="1"/>
        <v>16.809999999999999</v>
      </c>
      <c r="CO10" vm="1717">
        <f ca="1"/>
        <v>16.579999999999998</v>
      </c>
      <c r="CP10" vm="1781">
        <f ca="1"/>
        <v>16.75</v>
      </c>
      <c r="CQ10" vm="1745">
        <f ca="1"/>
        <v>17.02</v>
      </c>
      <c r="CR10" vm="1782">
        <f ca="1"/>
        <v>16.89</v>
      </c>
      <c r="CS10" vm="1783">
        <f ca="1"/>
        <v>16.920000000000002</v>
      </c>
      <c r="CT10" vm="1743">
        <f ca="1"/>
        <v>16.82</v>
      </c>
      <c r="CU10" vm="1784">
        <f ca="1"/>
        <v>16.850000000000001</v>
      </c>
      <c r="CV10" vm="1785">
        <f ca="1"/>
        <v>16.989999999999998</v>
      </c>
      <c r="CW10" vm="1786">
        <f ca="1"/>
        <v>17.079999999999998</v>
      </c>
      <c r="CX10" vm="1787">
        <f ca="1"/>
        <v>17.11</v>
      </c>
      <c r="CY10" vm="1734">
        <f ca="1"/>
        <v>17.18</v>
      </c>
      <c r="CZ10" vm="1757">
        <f ca="1"/>
        <v>17.170000000000002</v>
      </c>
      <c r="DA10" vm="1788">
        <f ca="1"/>
        <v>17.260000000000002</v>
      </c>
      <c r="DB10" vm="1761">
        <f ca="1"/>
        <v>17.3</v>
      </c>
      <c r="DC10" vm="1742">
        <f ca="1"/>
        <v>17.329999999999998</v>
      </c>
      <c r="DD10" vm="1761">
        <f ca="1"/>
        <v>17.3</v>
      </c>
      <c r="DE10" vm="1789">
        <f ca="1"/>
        <v>17.399999999999999</v>
      </c>
      <c r="DF10" vm="1768">
        <f ca="1"/>
        <v>17.52</v>
      </c>
      <c r="DG10" vm="1790">
        <f ca="1"/>
        <v>17.27</v>
      </c>
      <c r="DH10" vm="1767">
        <f ca="1"/>
        <v>17.5</v>
      </c>
      <c r="DI10" vm="1723">
        <f ca="1"/>
        <v>17.47</v>
      </c>
      <c r="DJ10" vm="1767">
        <f ca="1"/>
        <v>17.5</v>
      </c>
      <c r="DK10" vm="1790">
        <f ca="1"/>
        <v>17.27</v>
      </c>
      <c r="DL10" vm="1764">
        <f ca="1"/>
        <v>17.12</v>
      </c>
      <c r="DM10" vm="1791">
        <f ca="1"/>
        <v>17.62</v>
      </c>
      <c r="DN10" vm="1792">
        <f ca="1"/>
        <v>18.22</v>
      </c>
      <c r="DO10" vm="1793">
        <f ca="1"/>
        <v>18.010000000000002</v>
      </c>
      <c r="DP10" vm="1794">
        <f ca="1"/>
        <v>18.350000000000001</v>
      </c>
      <c r="DQ10" vm="1795">
        <f ca="1"/>
        <v>18.3</v>
      </c>
      <c r="DR10" vm="1796">
        <f ca="1"/>
        <v>18.28</v>
      </c>
      <c r="DS10" vm="1797">
        <f ca="1"/>
        <v>18.100000000000001</v>
      </c>
      <c r="DT10" vm="1798">
        <f ca="1"/>
        <v>17.86</v>
      </c>
      <c r="DU10" vm="1798">
        <f ca="1"/>
        <v>17.86</v>
      </c>
      <c r="DV10" vm="1741">
        <f ca="1"/>
        <v>17.61</v>
      </c>
      <c r="DW10" vm="1799">
        <f ca="1"/>
        <v>17.670000000000002</v>
      </c>
      <c r="DX10" vm="1800">
        <f ca="1"/>
        <v>17.64</v>
      </c>
      <c r="DY10" vm="1799">
        <f ca="1"/>
        <v>17.670000000000002</v>
      </c>
      <c r="DZ10" vm="1801">
        <f ca="1"/>
        <v>18.05</v>
      </c>
      <c r="EA10" vm="1802">
        <f ca="1"/>
        <v>18.11</v>
      </c>
      <c r="EB10" vm="1803">
        <f ca="1"/>
        <v>18.399999999999999</v>
      </c>
      <c r="EC10" vm="1804">
        <f ca="1"/>
        <v>18.649999999999999</v>
      </c>
      <c r="ED10" vm="1805">
        <f ca="1"/>
        <v>18.690000000000001</v>
      </c>
      <c r="EE10" vm="1806">
        <f ca="1"/>
        <v>18.760000000000002</v>
      </c>
      <c r="EF10" vm="1807">
        <f ca="1"/>
        <v>18.75</v>
      </c>
      <c r="EG10" vm="1808">
        <f ca="1"/>
        <v>19.11</v>
      </c>
      <c r="EH10" vm="1809">
        <f ca="1"/>
        <v>18.98</v>
      </c>
      <c r="EI10" vm="1810">
        <f ca="1"/>
        <v>18.82</v>
      </c>
      <c r="EJ10" vm="1811">
        <f ca="1"/>
        <v>18.68</v>
      </c>
      <c r="EK10" vm="1812">
        <f ca="1"/>
        <v>18.77</v>
      </c>
      <c r="EL10" vm="1813">
        <f ca="1"/>
        <v>18.809999999999999</v>
      </c>
      <c r="EM10" vm="1814">
        <f ca="1"/>
        <v>18.8</v>
      </c>
      <c r="EN10" vm="1815">
        <f ca="1"/>
        <v>18.739999999999998</v>
      </c>
      <c r="EO10" vm="1816">
        <f ca="1"/>
        <v>18.86</v>
      </c>
      <c r="EP10" vm="1813">
        <f ca="1"/>
        <v>18.809999999999999</v>
      </c>
      <c r="EQ10" vm="1817">
        <f ca="1"/>
        <v>18.579999999999998</v>
      </c>
      <c r="ER10" vm="1818">
        <f ca="1"/>
        <v>18.850000000000001</v>
      </c>
      <c r="ES10" vm="1819">
        <f ca="1"/>
        <v>19.16</v>
      </c>
      <c r="ET10" vm="1820">
        <f ca="1"/>
        <v>19.149999999999999</v>
      </c>
      <c r="EU10" vm="1821">
        <f ca="1"/>
        <v>19.12</v>
      </c>
      <c r="EV10" vm="1822">
        <f ca="1"/>
        <v>18.55</v>
      </c>
      <c r="EW10" vm="1823">
        <f ca="1"/>
        <v>18.21</v>
      </c>
      <c r="EX10" vm="1819">
        <f ca="1"/>
        <v>19.16</v>
      </c>
      <c r="EY10" vm="1824">
        <f ca="1"/>
        <v>19.190000000000001</v>
      </c>
      <c r="EZ10" vm="1825">
        <f ca="1"/>
        <v>19.010000000000002</v>
      </c>
      <c r="FA10" vm="1826">
        <f ca="1"/>
        <v>18.899999999999999</v>
      </c>
      <c r="FB10" vm="1809">
        <f ca="1"/>
        <v>18.98</v>
      </c>
      <c r="FC10" vm="1827">
        <f ca="1"/>
        <v>19.25</v>
      </c>
      <c r="FD10" vm="1828">
        <f ca="1"/>
        <v>19.47</v>
      </c>
      <c r="FE10" vm="1829">
        <f ca="1"/>
        <v>19.37</v>
      </c>
      <c r="FF10" vm="1830">
        <f ca="1"/>
        <v>18.91</v>
      </c>
      <c r="FG10" vm="1824">
        <f ca="1"/>
        <v>19.190000000000001</v>
      </c>
      <c r="FH10" vm="1827">
        <f ca="1"/>
        <v>19.25</v>
      </c>
      <c r="FI10" vm="1831">
        <f ca="1"/>
        <v>19.399999999999999</v>
      </c>
      <c r="FJ10" vm="1832">
        <f ca="1"/>
        <v>19.489999999999998</v>
      </c>
      <c r="FK10" vm="1833">
        <f ca="1"/>
        <v>19.43</v>
      </c>
      <c r="FL10" vm="1834">
        <f ca="1"/>
        <v>19.52</v>
      </c>
      <c r="FM10" vm="1835">
        <f ca="1"/>
        <v>19.63</v>
      </c>
      <c r="FN10" vm="1836">
        <f ca="1"/>
        <v>19.09</v>
      </c>
      <c r="FO10" vm="1837">
        <f ca="1"/>
        <v>19.34</v>
      </c>
      <c r="FP10" vm="1832">
        <f ca="1"/>
        <v>19.489999999999998</v>
      </c>
      <c r="FQ10" vm="1832">
        <f ca="1"/>
        <v>19.489999999999998</v>
      </c>
      <c r="FR10" vm="1838">
        <f ca="1"/>
        <v>19.54</v>
      </c>
      <c r="FS10" vm="1839">
        <f ca="1"/>
        <v>19.510000000000002</v>
      </c>
      <c r="FT10" vm="1840">
        <f ca="1"/>
        <v>19.73</v>
      </c>
      <c r="FU10" vm="1841">
        <f ca="1"/>
        <v>19.760000000000002</v>
      </c>
      <c r="FV10" vm="1842">
        <f ca="1"/>
        <v>19.649999999999999</v>
      </c>
      <c r="FW10" vm="1843">
        <f ca="1"/>
        <v>19.82</v>
      </c>
      <c r="FX10" vm="1841">
        <f ca="1"/>
        <v>19.760000000000002</v>
      </c>
      <c r="FY10" vm="1844">
        <f ca="1"/>
        <v>19.899999999999999</v>
      </c>
      <c r="FZ10" vm="1845">
        <f ca="1"/>
        <v>20.43</v>
      </c>
      <c r="GA10" vm="1846">
        <f ca="1"/>
        <v>20.57</v>
      </c>
      <c r="GB10" vm="1847">
        <f ca="1"/>
        <v>20.65</v>
      </c>
      <c r="GC10" vm="1848">
        <f ca="1"/>
        <v>20.97</v>
      </c>
      <c r="GD10" vm="1849">
        <f ca="1"/>
        <v>21.5</v>
      </c>
      <c r="GE10" vm="1850">
        <f ca="1"/>
        <v>21.71</v>
      </c>
      <c r="GF10" vm="1851">
        <f ca="1"/>
        <v>21.45</v>
      </c>
      <c r="GG10" vm="1852">
        <f ca="1"/>
        <v>21.59</v>
      </c>
      <c r="GH10" vm="1853">
        <f ca="1"/>
        <v>21.64</v>
      </c>
      <c r="GI10" vm="1854">
        <f ca="1"/>
        <v>22.27</v>
      </c>
      <c r="GJ10" vm="1855">
        <f ca="1"/>
        <v>21.78</v>
      </c>
      <c r="GK10" vm="1856">
        <f ca="1"/>
        <v>21.73</v>
      </c>
      <c r="GL10" vm="1857">
        <f ca="1"/>
        <v>21.36</v>
      </c>
      <c r="GM10" vm="1858">
        <f ca="1"/>
        <v>21.54</v>
      </c>
      <c r="GN10" vm="1859">
        <f ca="1"/>
        <v>21.49</v>
      </c>
      <c r="GO10" vm="1852">
        <f ca="1"/>
        <v>21.59</v>
      </c>
      <c r="GP10" vm="1860">
        <f ca="1"/>
        <v>21.56</v>
      </c>
      <c r="GQ10" vm="1861">
        <f ca="1"/>
        <v>21.65</v>
      </c>
      <c r="GR10" vm="1862">
        <f ca="1"/>
        <v>21.9</v>
      </c>
      <c r="GS10" vm="1863">
        <f ca="1"/>
        <v>22</v>
      </c>
      <c r="GT10" vm="1864">
        <f ca="1"/>
        <v>22.13</v>
      </c>
      <c r="GU10" vm="1865">
        <f ca="1"/>
        <v>22.19</v>
      </c>
      <c r="GV10" vm="1866">
        <f ca="1"/>
        <v>22.05</v>
      </c>
      <c r="GW10" vm="1867">
        <f ca="1"/>
        <v>21.91</v>
      </c>
      <c r="GX10" vm="1855">
        <f ca="1"/>
        <v>21.78</v>
      </c>
      <c r="GY10" vm="1868">
        <f ca="1"/>
        <v>21.86</v>
      </c>
      <c r="GZ10" vm="1869">
        <f ca="1"/>
        <v>21.93</v>
      </c>
      <c r="HA10" vm="1870">
        <f ca="1"/>
        <v>21.22</v>
      </c>
      <c r="HB10" vm="1871">
        <f ca="1"/>
        <v>21.37</v>
      </c>
      <c r="HC10" vm="1872">
        <f ca="1"/>
        <v>21.26</v>
      </c>
      <c r="HD10" vm="1873">
        <f ca="1"/>
        <v>21.51</v>
      </c>
      <c r="HE10" vm="1850">
        <f ca="1"/>
        <v>21.71</v>
      </c>
      <c r="HF10" vm="1856">
        <f ca="1"/>
        <v>21.73</v>
      </c>
      <c r="HG10" vm="1874">
        <f ca="1"/>
        <v>21.85</v>
      </c>
      <c r="HH10" vm="1875">
        <f ca="1"/>
        <v>21.66</v>
      </c>
      <c r="HI10" vm="1849">
        <f ca="1"/>
        <v>21.5</v>
      </c>
      <c r="HJ10" vm="1876">
        <f ca="1"/>
        <v>22.49</v>
      </c>
      <c r="HK10" vm="1877">
        <f ca="1"/>
        <v>22.2</v>
      </c>
      <c r="HL10" vm="1878">
        <f ca="1"/>
        <v>21.83</v>
      </c>
      <c r="HM10" vm="1879">
        <f ca="1"/>
        <v>22.11</v>
      </c>
      <c r="HN10" vm="1880">
        <f ca="1"/>
        <v>22.18</v>
      </c>
      <c r="HO10" vm="1881">
        <f ca="1"/>
        <v>22.02</v>
      </c>
      <c r="HP10" vm="1882">
        <f ca="1"/>
        <v>22.54</v>
      </c>
      <c r="HQ10" vm="1883">
        <f ca="1"/>
        <v>22.12</v>
      </c>
      <c r="HR10" vm="1884">
        <f ca="1"/>
        <v>21.92</v>
      </c>
      <c r="HS10" vm="1866">
        <f ca="1"/>
        <v>22.05</v>
      </c>
      <c r="HT10" vm="1885">
        <f ca="1"/>
        <v>22.32</v>
      </c>
      <c r="HU10" vm="1886">
        <f ca="1"/>
        <v>22.04</v>
      </c>
      <c r="HV10" vm="1887">
        <f ca="1"/>
        <v>22.34</v>
      </c>
      <c r="HW10" vm="1888">
        <f ca="1"/>
        <v>22.31</v>
      </c>
      <c r="HX10" vm="1889">
        <f ca="1"/>
        <v>22.15</v>
      </c>
      <c r="HY10" vm="1890">
        <f ca="1"/>
        <v>22.3</v>
      </c>
      <c r="HZ10" vm="1891">
        <f ca="1"/>
        <v>22.25</v>
      </c>
      <c r="IA10" vm="1892">
        <f ca="1"/>
        <v>22.68</v>
      </c>
      <c r="IB10" vm="1893">
        <f ca="1"/>
        <v>22.99</v>
      </c>
      <c r="IC10" vm="1894">
        <f ca="1"/>
        <v>22.73</v>
      </c>
      <c r="ID10" vm="1895">
        <f ca="1"/>
        <v>22.83</v>
      </c>
      <c r="IE10" vm="1896">
        <f ca="1"/>
        <v>22.98</v>
      </c>
      <c r="IF10" vm="1897">
        <f ca="1"/>
        <v>23.18</v>
      </c>
      <c r="IG10" vm="1898">
        <f ca="1"/>
        <v>23.1</v>
      </c>
      <c r="IH10" vm="1899">
        <f ca="1"/>
        <v>23.09</v>
      </c>
      <c r="II10" vm="1900">
        <f ca="1"/>
        <v>23.27</v>
      </c>
      <c r="IJ10" vm="1901">
        <f ca="1"/>
        <v>23.16</v>
      </c>
      <c r="IK10" vm="1902">
        <f ca="1"/>
        <v>22.7</v>
      </c>
      <c r="IL10" vm="1903">
        <f ca="1"/>
        <v>23.74</v>
      </c>
      <c r="IM10" vm="1904">
        <f ca="1"/>
        <v>23.53</v>
      </c>
      <c r="IN10" vm="1905">
        <f ca="1"/>
        <v>23.83</v>
      </c>
      <c r="IO10" vm="1906">
        <f ca="1"/>
        <v>23.88</v>
      </c>
      <c r="IP10" vm="1907">
        <f ca="1"/>
        <v>23.37</v>
      </c>
      <c r="IQ10" vm="1908">
        <f ca="1"/>
        <v>23.51</v>
      </c>
    </row>
    <row r="11" spans="1:251">
      <c r="A11" cm="1" vm="1909">
        <f t="array" aca="1" ref="A11:IQ11" ca="1">TRANSPOSE(_xlfn.STOCKHISTORY(Table3[[#This Row],[Stock Name ]],TODAY()-365,TODAY(),0,0,1))</f>
        <v>30.74</v>
      </c>
      <c r="B11" vm="1910">
        <f ca="1"/>
        <v>32.04</v>
      </c>
      <c r="C11" vm="1911">
        <f ca="1"/>
        <v>33.94</v>
      </c>
      <c r="D11" vm="1912">
        <f ca="1"/>
        <v>33.6</v>
      </c>
      <c r="E11" vm="1913">
        <f ca="1"/>
        <v>33.43</v>
      </c>
      <c r="F11" vm="1914">
        <f ca="1"/>
        <v>33.51</v>
      </c>
      <c r="G11" vm="1915">
        <f ca="1"/>
        <v>32.979999999999997</v>
      </c>
      <c r="H11" vm="1916">
        <f ca="1"/>
        <v>33.200000000000003</v>
      </c>
      <c r="I11" vm="1913">
        <f ca="1"/>
        <v>33.43</v>
      </c>
      <c r="J11" vm="1917">
        <f ca="1"/>
        <v>33.86</v>
      </c>
      <c r="K11" vm="1918">
        <f ca="1"/>
        <v>33.840000000000003</v>
      </c>
      <c r="L11" vm="1919">
        <f ca="1"/>
        <v>33.880000000000003</v>
      </c>
      <c r="M11" vm="1920">
        <f ca="1"/>
        <v>33.67</v>
      </c>
      <c r="N11" vm="1921">
        <f ca="1"/>
        <v>33.9</v>
      </c>
      <c r="O11" vm="1922">
        <f ca="1"/>
        <v>33.53</v>
      </c>
      <c r="P11" vm="1923">
        <f ca="1"/>
        <v>33.799999999999997</v>
      </c>
      <c r="Q11" vm="1924">
        <f ca="1"/>
        <v>34.43</v>
      </c>
      <c r="R11" vm="1925">
        <f ca="1"/>
        <v>34.159999999999997</v>
      </c>
      <c r="S11" vm="1926">
        <f ca="1"/>
        <v>33.630000000000003</v>
      </c>
      <c r="T11" vm="1912">
        <f ca="1"/>
        <v>33.6</v>
      </c>
      <c r="U11" vm="1927">
        <f ca="1"/>
        <v>33.15</v>
      </c>
      <c r="V11" vm="1928">
        <f ca="1"/>
        <v>32.799999999999997</v>
      </c>
      <c r="W11" vm="1929">
        <f ca="1"/>
        <v>32.119999999999997</v>
      </c>
      <c r="X11" vm="1930">
        <f ca="1"/>
        <v>31.8</v>
      </c>
      <c r="Y11" vm="1931">
        <f ca="1"/>
        <v>31.73</v>
      </c>
      <c r="Z11" vm="1932">
        <f ca="1"/>
        <v>32.22</v>
      </c>
      <c r="AA11" vm="1933">
        <f ca="1"/>
        <v>32.549999999999997</v>
      </c>
      <c r="AB11" vm="1934">
        <f ca="1"/>
        <v>32.770000000000003</v>
      </c>
      <c r="AC11" vm="1915">
        <f ca="1"/>
        <v>32.979999999999997</v>
      </c>
      <c r="AD11" vm="1935">
        <f ca="1"/>
        <v>33.39</v>
      </c>
      <c r="AE11" vm="1913">
        <f ca="1"/>
        <v>33.43</v>
      </c>
      <c r="AF11" vm="1936">
        <f ca="1"/>
        <v>33.61</v>
      </c>
      <c r="AG11" vm="1937">
        <f ca="1"/>
        <v>34.79</v>
      </c>
      <c r="AH11" vm="1938">
        <f ca="1"/>
        <v>34.01</v>
      </c>
      <c r="AI11" vm="1939">
        <f ca="1"/>
        <v>33.549999999999997</v>
      </c>
      <c r="AJ11" vm="1940">
        <f ca="1"/>
        <v>33.47</v>
      </c>
      <c r="AK11" vm="1941">
        <f ca="1"/>
        <v>32.99</v>
      </c>
      <c r="AL11" vm="1942">
        <f ca="1"/>
        <v>33.04</v>
      </c>
      <c r="AM11" vm="1943">
        <f ca="1"/>
        <v>33.18</v>
      </c>
      <c r="AN11" vm="1944">
        <f ca="1"/>
        <v>33.119999999999997</v>
      </c>
      <c r="AO11" vm="1945">
        <f ca="1"/>
        <v>33.07</v>
      </c>
      <c r="AP11" vm="1946">
        <f ca="1"/>
        <v>33.619999999999997</v>
      </c>
      <c r="AQ11" vm="1947">
        <f ca="1"/>
        <v>32.75</v>
      </c>
      <c r="AR11" vm="1948">
        <f ca="1"/>
        <v>33.130000000000003</v>
      </c>
      <c r="AS11" vm="1949">
        <f ca="1"/>
        <v>34.07</v>
      </c>
      <c r="AT11" vm="1950">
        <f ca="1"/>
        <v>34.090000000000003</v>
      </c>
      <c r="AU11" vm="1951">
        <f ca="1"/>
        <v>33.96</v>
      </c>
      <c r="AV11" vm="1952">
        <f ca="1"/>
        <v>33.700000000000003</v>
      </c>
      <c r="AW11" vm="1936">
        <f ca="1"/>
        <v>33.61</v>
      </c>
      <c r="AX11" vm="1953">
        <f ca="1"/>
        <v>33.92</v>
      </c>
      <c r="AY11" vm="1936">
        <f ca="1"/>
        <v>33.61</v>
      </c>
      <c r="AZ11" vm="1954">
        <f ca="1"/>
        <v>34.28</v>
      </c>
      <c r="BA11" vm="1955">
        <f ca="1"/>
        <v>34.31</v>
      </c>
      <c r="BB11" vm="1956">
        <f ca="1"/>
        <v>34.520000000000003</v>
      </c>
      <c r="BC11" vm="1957">
        <f ca="1"/>
        <v>34.35</v>
      </c>
      <c r="BD11" vm="1958">
        <f ca="1"/>
        <v>35.15</v>
      </c>
      <c r="BE11" vm="1959">
        <f ca="1"/>
        <v>35.39</v>
      </c>
      <c r="BF11" vm="1960">
        <f ca="1"/>
        <v>35.42</v>
      </c>
      <c r="BG11" vm="1961">
        <f ca="1"/>
        <v>35.630000000000003</v>
      </c>
      <c r="BH11" vm="1962">
        <f ca="1"/>
        <v>35.6</v>
      </c>
      <c r="BI11" vm="1963">
        <f ca="1"/>
        <v>35.89</v>
      </c>
      <c r="BJ11" vm="1964">
        <f ca="1"/>
        <v>35.96</v>
      </c>
      <c r="BK11" vm="1965">
        <f ca="1"/>
        <v>36.08</v>
      </c>
      <c r="BL11" vm="1966">
        <f ca="1"/>
        <v>35.69</v>
      </c>
      <c r="BM11" vm="1967">
        <f ca="1"/>
        <v>35.409999999999997</v>
      </c>
      <c r="BN11" vm="1968">
        <f ca="1"/>
        <v>36.01</v>
      </c>
      <c r="BO11" vm="1969">
        <f ca="1"/>
        <v>36.03</v>
      </c>
      <c r="BP11" vm="1970">
        <f ca="1"/>
        <v>36.75</v>
      </c>
      <c r="BQ11" vm="1971">
        <f ca="1"/>
        <v>37.51</v>
      </c>
      <c r="BR11" vm="1972">
        <f ca="1"/>
        <v>37.049999999999997</v>
      </c>
      <c r="BS11" vm="1973">
        <f ca="1"/>
        <v>36.86</v>
      </c>
      <c r="BT11" vm="1974">
        <f ca="1"/>
        <v>37.090000000000003</v>
      </c>
      <c r="BU11" vm="1975">
        <f ca="1"/>
        <v>37.81</v>
      </c>
      <c r="BV11" vm="1976">
        <f ca="1"/>
        <v>37.92</v>
      </c>
      <c r="BW11" vm="1977">
        <f ca="1"/>
        <v>37.520000000000003</v>
      </c>
      <c r="BX11" vm="1978">
        <f ca="1"/>
        <v>37.299999999999997</v>
      </c>
      <c r="BY11" vm="1979">
        <f ca="1"/>
        <v>37.44</v>
      </c>
      <c r="BZ11" vm="1980">
        <f ca="1"/>
        <v>36.92</v>
      </c>
      <c r="CA11" vm="1981">
        <f ca="1"/>
        <v>37.11</v>
      </c>
      <c r="CB11" vm="1982">
        <f ca="1"/>
        <v>37.5</v>
      </c>
      <c r="CC11" vm="1983">
        <f ca="1"/>
        <v>37.729999999999997</v>
      </c>
      <c r="CD11" vm="1984">
        <f ca="1"/>
        <v>36.65</v>
      </c>
      <c r="CE11" vm="1985">
        <f ca="1"/>
        <v>36.35</v>
      </c>
      <c r="CF11" vm="1986">
        <f ca="1"/>
        <v>35.79</v>
      </c>
      <c r="CG11" vm="1987">
        <f ca="1"/>
        <v>35.950000000000003</v>
      </c>
      <c r="CH11" vm="1988">
        <f ca="1"/>
        <v>34.68</v>
      </c>
      <c r="CI11" vm="1989">
        <f ca="1"/>
        <v>35.229999999999997</v>
      </c>
      <c r="CJ11" vm="1990">
        <f ca="1"/>
        <v>35.770000000000003</v>
      </c>
      <c r="CK11" vm="1991">
        <f ca="1"/>
        <v>36.97</v>
      </c>
      <c r="CL11" vm="1983">
        <f ca="1"/>
        <v>37.729999999999997</v>
      </c>
      <c r="CM11" vm="1992">
        <f ca="1"/>
        <v>38.369999999999997</v>
      </c>
      <c r="CN11" vm="1993">
        <f ca="1"/>
        <v>38.32</v>
      </c>
      <c r="CO11" vm="1994">
        <f ca="1"/>
        <v>37.909999999999997</v>
      </c>
      <c r="CP11" vm="1995">
        <f ca="1"/>
        <v>37.83</v>
      </c>
      <c r="CQ11" vm="1996">
        <f ca="1"/>
        <v>37.549999999999997</v>
      </c>
      <c r="CR11" vm="1997">
        <f ca="1"/>
        <v>37.01</v>
      </c>
      <c r="CS11" vm="1998">
        <f ca="1"/>
        <v>36.950000000000003</v>
      </c>
      <c r="CT11" vm="1999">
        <f ca="1"/>
        <v>36.880000000000003</v>
      </c>
      <c r="CU11" vm="2000">
        <f ca="1"/>
        <v>37.25</v>
      </c>
      <c r="CV11" vm="2001">
        <f ca="1"/>
        <v>37.69</v>
      </c>
      <c r="CW11" vm="2002">
        <f ca="1"/>
        <v>37.840000000000003</v>
      </c>
      <c r="CX11" vm="2003">
        <f ca="1"/>
        <v>37.71</v>
      </c>
      <c r="CY11" vm="2004">
        <f ca="1"/>
        <v>38.28</v>
      </c>
      <c r="CZ11" vm="2005">
        <f ca="1"/>
        <v>38.450000000000003</v>
      </c>
      <c r="DA11" vm="2006">
        <f ca="1"/>
        <v>38.21</v>
      </c>
      <c r="DB11" vm="2007">
        <f ca="1"/>
        <v>38.49</v>
      </c>
      <c r="DC11" vm="2008">
        <f ca="1"/>
        <v>38.909999999999997</v>
      </c>
      <c r="DD11" vm="2009">
        <f ca="1"/>
        <v>39.22</v>
      </c>
      <c r="DE11" vm="2010">
        <f ca="1"/>
        <v>39.29</v>
      </c>
      <c r="DF11" vm="2011">
        <f ca="1"/>
        <v>38.82</v>
      </c>
      <c r="DG11" vm="2012">
        <f ca="1"/>
        <v>39.65</v>
      </c>
      <c r="DH11" vm="2013">
        <f ca="1"/>
        <v>39.76</v>
      </c>
      <c r="DI11" vm="2014">
        <f ca="1"/>
        <v>39.17</v>
      </c>
      <c r="DJ11" vm="2015">
        <f ca="1"/>
        <v>39.700000000000003</v>
      </c>
      <c r="DK11" vm="2016">
        <f ca="1"/>
        <v>39.32</v>
      </c>
      <c r="DL11" vm="2017">
        <f ca="1"/>
        <v>38.72</v>
      </c>
      <c r="DM11" vm="2018">
        <f ca="1"/>
        <v>38.630000000000003</v>
      </c>
      <c r="DN11" vm="2019">
        <f ca="1"/>
        <v>39.99</v>
      </c>
      <c r="DO11" vm="2020">
        <f ca="1"/>
        <v>39.880000000000003</v>
      </c>
      <c r="DP11" vm="2021">
        <f ca="1"/>
        <v>39.68</v>
      </c>
      <c r="DQ11" vm="2022">
        <f ca="1"/>
        <v>39.96</v>
      </c>
      <c r="DR11" vm="2015">
        <f ca="1"/>
        <v>39.700000000000003</v>
      </c>
      <c r="DS11" vm="2023">
        <f ca="1"/>
        <v>39.78</v>
      </c>
      <c r="DT11" vm="2024">
        <f ca="1"/>
        <v>39.67</v>
      </c>
      <c r="DU11" vm="2025">
        <f ca="1"/>
        <v>38.86</v>
      </c>
      <c r="DV11" vm="2026">
        <f ca="1"/>
        <v>39.409999999999997</v>
      </c>
      <c r="DW11" vm="2027">
        <f ca="1"/>
        <v>39.26</v>
      </c>
      <c r="DX11" vm="2028">
        <f ca="1"/>
        <v>39.24</v>
      </c>
      <c r="DY11" vm="2029">
        <f ca="1"/>
        <v>39.51</v>
      </c>
      <c r="DZ11" vm="2019">
        <f ca="1"/>
        <v>39.99</v>
      </c>
      <c r="EA11" vm="2019">
        <f ca="1"/>
        <v>39.99</v>
      </c>
      <c r="EB11" vm="2030">
        <f ca="1"/>
        <v>39.49</v>
      </c>
      <c r="EC11" vm="2031">
        <f ca="1"/>
        <v>40.020000000000003</v>
      </c>
      <c r="ED11" vm="2032">
        <f ca="1"/>
        <v>39.380000000000003</v>
      </c>
      <c r="EE11" vm="2033">
        <f ca="1"/>
        <v>39</v>
      </c>
      <c r="EF11" vm="2034">
        <f ca="1"/>
        <v>39.25</v>
      </c>
      <c r="EG11" vm="2035">
        <f ca="1"/>
        <v>39.770000000000003</v>
      </c>
      <c r="EH11" vm="2036">
        <f ca="1"/>
        <v>40.01</v>
      </c>
      <c r="EI11" vm="2037">
        <f ca="1"/>
        <v>40.93</v>
      </c>
      <c r="EJ11" vm="2038">
        <f ca="1"/>
        <v>40.9</v>
      </c>
      <c r="EK11" vm="2039">
        <f ca="1"/>
        <v>40.409999999999997</v>
      </c>
      <c r="EL11" vm="2040">
        <f ca="1"/>
        <v>40.619999999999997</v>
      </c>
      <c r="EM11" vm="2041">
        <f ca="1"/>
        <v>41.42</v>
      </c>
      <c r="EN11" vm="2042">
        <f ca="1"/>
        <v>41.74</v>
      </c>
      <c r="EO11" vm="2043">
        <f ca="1"/>
        <v>41.81</v>
      </c>
      <c r="EP11" vm="2044">
        <f ca="1"/>
        <v>41.59</v>
      </c>
      <c r="EQ11" vm="2045">
        <f ca="1"/>
        <v>41.89</v>
      </c>
      <c r="ER11" vm="2046">
        <f ca="1"/>
        <v>44.13</v>
      </c>
      <c r="ES11" vm="2047">
        <f ca="1"/>
        <v>43.98</v>
      </c>
      <c r="ET11" vm="2048">
        <f ca="1"/>
        <v>43.01</v>
      </c>
      <c r="EU11" vm="2049">
        <f ca="1"/>
        <v>42.9</v>
      </c>
      <c r="EV11" vm="2050">
        <f ca="1"/>
        <v>42.3</v>
      </c>
      <c r="EW11" vm="2051">
        <f ca="1"/>
        <v>42.41</v>
      </c>
      <c r="EX11" vm="2052">
        <f ca="1"/>
        <v>42.19</v>
      </c>
      <c r="EY11" vm="2053">
        <f ca="1"/>
        <v>41.68</v>
      </c>
      <c r="EZ11" vm="2054">
        <f ca="1"/>
        <v>41.67</v>
      </c>
      <c r="FA11" vm="2055">
        <f ca="1"/>
        <v>41.09</v>
      </c>
      <c r="FB11" vm="2056">
        <f ca="1"/>
        <v>41.28</v>
      </c>
      <c r="FC11" vm="2057">
        <f ca="1"/>
        <v>40.31</v>
      </c>
      <c r="FD11" vm="2058">
        <f ca="1"/>
        <v>39.5</v>
      </c>
      <c r="FE11" vm="2059">
        <f ca="1"/>
        <v>37.58</v>
      </c>
      <c r="FF11" vm="1984">
        <f ca="1"/>
        <v>36.65</v>
      </c>
      <c r="FG11" vm="1980">
        <f ca="1"/>
        <v>36.92</v>
      </c>
      <c r="FH11" vm="1978">
        <f ca="1"/>
        <v>37.299999999999997</v>
      </c>
      <c r="FI11" vm="2006">
        <f ca="1"/>
        <v>38.21</v>
      </c>
      <c r="FJ11" vm="2004">
        <f ca="1"/>
        <v>38.28</v>
      </c>
      <c r="FK11" vm="2060">
        <f ca="1"/>
        <v>38.17</v>
      </c>
      <c r="FL11" vm="2061">
        <f ca="1"/>
        <v>38.46</v>
      </c>
      <c r="FM11" vm="2062">
        <f ca="1"/>
        <v>38.81</v>
      </c>
      <c r="FN11" vm="2063">
        <f ca="1"/>
        <v>39.03</v>
      </c>
      <c r="FO11" vm="2064">
        <f ca="1"/>
        <v>39.340000000000003</v>
      </c>
      <c r="FP11" vm="2024">
        <f ca="1"/>
        <v>39.67</v>
      </c>
      <c r="FQ11" vm="2065">
        <f ca="1"/>
        <v>38.69</v>
      </c>
      <c r="FR11" vm="2066">
        <f ca="1"/>
        <v>38.75</v>
      </c>
      <c r="FS11" vm="2028">
        <f ca="1"/>
        <v>39.24</v>
      </c>
      <c r="FT11" vm="2035">
        <f ca="1"/>
        <v>39.770000000000003</v>
      </c>
      <c r="FU11" vm="2067">
        <f ca="1"/>
        <v>39.92</v>
      </c>
      <c r="FV11" vm="2024">
        <f ca="1"/>
        <v>39.67</v>
      </c>
      <c r="FW11" vm="2068">
        <f ca="1"/>
        <v>39.950000000000003</v>
      </c>
      <c r="FX11" vm="2069">
        <f ca="1"/>
        <v>40.17</v>
      </c>
      <c r="FY11" vm="2070">
        <f ca="1"/>
        <v>40.75</v>
      </c>
      <c r="FZ11" vm="2071">
        <f ca="1"/>
        <v>40.700000000000003</v>
      </c>
      <c r="GA11" vm="2072">
        <f ca="1"/>
        <v>40.5</v>
      </c>
      <c r="GB11" vm="2073">
        <f ca="1"/>
        <v>40.14</v>
      </c>
      <c r="GC11" vm="2074">
        <f ca="1"/>
        <v>38.76</v>
      </c>
      <c r="GD11" vm="2075">
        <f ca="1"/>
        <v>39.47</v>
      </c>
      <c r="GE11" vm="2076">
        <f ca="1"/>
        <v>39.28</v>
      </c>
      <c r="GF11" vm="2033">
        <f ca="1"/>
        <v>39</v>
      </c>
      <c r="GG11" vm="2077">
        <f ca="1"/>
        <v>38.78</v>
      </c>
      <c r="GH11" vm="2078">
        <f ca="1"/>
        <v>38.65</v>
      </c>
      <c r="GI11" vm="2079">
        <f ca="1"/>
        <v>39.1</v>
      </c>
      <c r="GJ11" vm="2080">
        <f ca="1"/>
        <v>39.549999999999997</v>
      </c>
      <c r="GK11" vm="2081">
        <f ca="1"/>
        <v>39.619999999999997</v>
      </c>
      <c r="GL11" vm="2082">
        <f ca="1"/>
        <v>40.869999999999997</v>
      </c>
      <c r="GM11" vm="2083">
        <f ca="1"/>
        <v>40.270000000000003</v>
      </c>
      <c r="GN11" vm="2084">
        <f ca="1"/>
        <v>39.869999999999997</v>
      </c>
      <c r="GO11" vm="2085">
        <f ca="1"/>
        <v>39.450000000000003</v>
      </c>
      <c r="GP11" vm="2034">
        <f ca="1"/>
        <v>39.25</v>
      </c>
      <c r="GQ11" vm="2086">
        <f ca="1"/>
        <v>39.520000000000003</v>
      </c>
      <c r="GR11" vm="2087">
        <f ca="1"/>
        <v>39.4</v>
      </c>
      <c r="GS11" vm="2021">
        <f ca="1"/>
        <v>39.68</v>
      </c>
      <c r="GT11" vm="2009">
        <f ca="1"/>
        <v>39.22</v>
      </c>
      <c r="GU11" vm="2088">
        <f ca="1"/>
        <v>39.229999999999997</v>
      </c>
      <c r="GV11" vm="2034">
        <f ca="1"/>
        <v>39.25</v>
      </c>
      <c r="GW11" vm="2089">
        <f ca="1"/>
        <v>40.11</v>
      </c>
      <c r="GX11" vm="2022">
        <f ca="1"/>
        <v>39.96</v>
      </c>
      <c r="GY11" vm="2090">
        <f ca="1"/>
        <v>39.93</v>
      </c>
      <c r="GZ11" vm="2091">
        <f ca="1"/>
        <v>40.19</v>
      </c>
      <c r="HA11" vm="2092">
        <f ca="1"/>
        <v>39.97</v>
      </c>
      <c r="HB11" vm="2093">
        <f ca="1"/>
        <v>41.95</v>
      </c>
      <c r="HC11" vm="2094">
        <f ca="1"/>
        <v>41.91</v>
      </c>
      <c r="HD11" vm="2095">
        <f ca="1"/>
        <v>42.14</v>
      </c>
      <c r="HE11" vm="2096">
        <f ca="1"/>
        <v>42.8</v>
      </c>
      <c r="HF11" vm="2097">
        <f ca="1"/>
        <v>42.6</v>
      </c>
      <c r="HG11" vm="2098">
        <f ca="1"/>
        <v>42.32</v>
      </c>
      <c r="HH11" vm="2099">
        <f ca="1"/>
        <v>41.76</v>
      </c>
      <c r="HI11" vm="2050">
        <f ca="1"/>
        <v>42.3</v>
      </c>
      <c r="HJ11" vm="2100">
        <f ca="1"/>
        <v>42.34</v>
      </c>
      <c r="HK11" vm="2101">
        <f ca="1"/>
        <v>42.65</v>
      </c>
      <c r="HL11" vm="2045">
        <f ca="1"/>
        <v>41.89</v>
      </c>
      <c r="HM11" vm="2102">
        <f ca="1"/>
        <v>42.62</v>
      </c>
      <c r="HN11" vm="2103">
        <f ca="1"/>
        <v>42.53</v>
      </c>
      <c r="HO11" vm="2104">
        <f ca="1"/>
        <v>42.31</v>
      </c>
      <c r="HP11" vm="2105">
        <f ca="1"/>
        <v>41.82</v>
      </c>
      <c r="HQ11" vm="2099">
        <f ca="1"/>
        <v>41.76</v>
      </c>
      <c r="HR11" vm="2106">
        <f ca="1"/>
        <v>41.33</v>
      </c>
      <c r="HS11" vm="2107">
        <f ca="1"/>
        <v>41.88</v>
      </c>
      <c r="HT11" vm="2108">
        <f ca="1"/>
        <v>45.41</v>
      </c>
      <c r="HU11" vm="2109">
        <f ca="1"/>
        <v>44.77</v>
      </c>
      <c r="HV11" vm="2110">
        <f ca="1"/>
        <v>45.13</v>
      </c>
      <c r="HW11" vm="2111">
        <f ca="1"/>
        <v>46.08</v>
      </c>
      <c r="HX11" vm="2112">
        <f ca="1"/>
        <v>45.86</v>
      </c>
      <c r="HY11" vm="2113">
        <f ca="1"/>
        <v>45.87</v>
      </c>
      <c r="HZ11" vm="2114">
        <f ca="1"/>
        <v>45.9</v>
      </c>
      <c r="IA11" vm="2115">
        <f ca="1"/>
        <v>46.75</v>
      </c>
      <c r="IB11" vm="2116">
        <f ca="1"/>
        <v>46.72</v>
      </c>
      <c r="IC11" vm="2117">
        <f ca="1"/>
        <v>46.41</v>
      </c>
      <c r="ID11" vm="2118">
        <f ca="1"/>
        <v>46.06</v>
      </c>
      <c r="IE11" vm="2119">
        <f ca="1"/>
        <v>46.46</v>
      </c>
      <c r="IF11" vm="2120">
        <f ca="1"/>
        <v>47</v>
      </c>
      <c r="IG11" vm="2121">
        <f ca="1"/>
        <v>47.5</v>
      </c>
      <c r="IH11" vm="2122">
        <f ca="1"/>
        <v>47.75</v>
      </c>
      <c r="II11" vm="2123">
        <f ca="1"/>
        <v>47.77</v>
      </c>
      <c r="IJ11" vm="2124">
        <f ca="1"/>
        <v>47.51</v>
      </c>
      <c r="IK11" vm="2125">
        <f ca="1"/>
        <v>47.04</v>
      </c>
      <c r="IL11" vm="2126">
        <f ca="1"/>
        <v>46.82</v>
      </c>
      <c r="IM11" vm="2127">
        <f ca="1"/>
        <v>46.37</v>
      </c>
      <c r="IN11" vm="2120">
        <f ca="1"/>
        <v>47</v>
      </c>
      <c r="IO11" vm="2115">
        <f ca="1"/>
        <v>46.75</v>
      </c>
      <c r="IP11" vm="2128">
        <f ca="1"/>
        <v>45.91</v>
      </c>
      <c r="IQ11" vm="2129">
        <f ca="1"/>
        <v>45.75</v>
      </c>
    </row>
    <row r="12" spans="1:251">
      <c r="A12" cm="1" vm="2130">
        <f t="array" aca="1" ref="A12:IQ12" ca="1">TRANSPOSE(_xlfn.STOCKHISTORY(Table3[[#This Row],[Stock Name ]],TODAY()-365,TODAY(),0,0,1))</f>
        <v>360.02</v>
      </c>
      <c r="B12" vm="2131">
        <f ca="1"/>
        <v>362.03</v>
      </c>
      <c r="C12" vm="2132">
        <f ca="1"/>
        <v>358.12</v>
      </c>
      <c r="D12" vm="2133">
        <f ca="1"/>
        <v>356.5</v>
      </c>
      <c r="E12" vm="2134">
        <f ca="1"/>
        <v>359.65</v>
      </c>
      <c r="F12" vm="2135">
        <f ca="1"/>
        <v>361.8</v>
      </c>
      <c r="G12" vm="2136">
        <f ca="1"/>
        <v>355.35</v>
      </c>
      <c r="H12" vm="2137">
        <f ca="1"/>
        <v>356.14</v>
      </c>
      <c r="I12" vm="2138">
        <f ca="1"/>
        <v>356.47</v>
      </c>
      <c r="J12" vm="2139">
        <f ca="1"/>
        <v>356.83</v>
      </c>
      <c r="K12" vm="2140">
        <f ca="1"/>
        <v>356.95</v>
      </c>
      <c r="L12" vm="2141">
        <f ca="1"/>
        <v>357.57</v>
      </c>
      <c r="M12" vm="2142">
        <f ca="1"/>
        <v>356.66</v>
      </c>
      <c r="N12" vm="2143">
        <f ca="1"/>
        <v>362.46</v>
      </c>
      <c r="O12" vm="2144">
        <f ca="1"/>
        <v>366.75</v>
      </c>
      <c r="P12" vm="2145">
        <f ca="1"/>
        <v>363.68</v>
      </c>
      <c r="Q12" vm="2146">
        <f ca="1"/>
        <v>365.59</v>
      </c>
      <c r="R12" vm="2147">
        <f ca="1"/>
        <v>368.18</v>
      </c>
      <c r="S12" vm="2148">
        <f ca="1"/>
        <v>366.9</v>
      </c>
      <c r="T12" vm="2149">
        <f ca="1"/>
        <v>367.92</v>
      </c>
      <c r="U12" vm="2150">
        <f ca="1"/>
        <v>363.34</v>
      </c>
      <c r="V12" vm="2151">
        <f ca="1"/>
        <v>363.62</v>
      </c>
      <c r="W12" vm="2152">
        <f ca="1"/>
        <v>361.1</v>
      </c>
      <c r="X12" vm="2153">
        <f ca="1"/>
        <v>359.29</v>
      </c>
      <c r="Y12" vm="2154">
        <f ca="1"/>
        <v>362.38</v>
      </c>
      <c r="Z12" vm="2155">
        <f ca="1"/>
        <v>366.99</v>
      </c>
      <c r="AA12" vm="2156">
        <f ca="1"/>
        <v>368.06</v>
      </c>
      <c r="AB12" vm="2157">
        <f ca="1"/>
        <v>372.14</v>
      </c>
      <c r="AC12" vm="2158">
        <f ca="1"/>
        <v>376.59</v>
      </c>
      <c r="AD12" vm="2159">
        <f ca="1"/>
        <v>380.85</v>
      </c>
      <c r="AE12" vm="2160">
        <f ca="1"/>
        <v>385.4</v>
      </c>
      <c r="AF12" vm="2161">
        <f ca="1"/>
        <v>383.18</v>
      </c>
      <c r="AG12" vm="2162">
        <f ca="1"/>
        <v>387.15</v>
      </c>
      <c r="AH12" vm="2163">
        <f ca="1"/>
        <v>383.74</v>
      </c>
      <c r="AI12" vm="2164">
        <f ca="1"/>
        <v>386.44</v>
      </c>
      <c r="AJ12" vm="2165">
        <f ca="1"/>
        <v>390.75</v>
      </c>
      <c r="AK12" vm="2166">
        <f ca="1"/>
        <v>390.76</v>
      </c>
      <c r="AL12" vm="2167">
        <f ca="1"/>
        <v>393.74</v>
      </c>
      <c r="AM12" vm="2168">
        <f ca="1"/>
        <v>397.66</v>
      </c>
      <c r="AN12" vm="2169">
        <f ca="1"/>
        <v>397.49</v>
      </c>
      <c r="AO12" vm="2170">
        <f ca="1"/>
        <v>398.36</v>
      </c>
      <c r="AP12" vm="2171">
        <f ca="1"/>
        <v>397.71</v>
      </c>
      <c r="AQ12" vm="2172">
        <f ca="1"/>
        <v>394.8</v>
      </c>
      <c r="AR12" vm="2173">
        <f ca="1"/>
        <v>398.68</v>
      </c>
      <c r="AS12" vm="2174">
        <f ca="1"/>
        <v>403.45</v>
      </c>
      <c r="AT12" vm="2175">
        <f ca="1"/>
        <v>405.99</v>
      </c>
      <c r="AU12" vm="2176">
        <f ca="1"/>
        <v>407.15</v>
      </c>
      <c r="AV12" vm="2177">
        <f ca="1"/>
        <v>409.25</v>
      </c>
      <c r="AW12" vm="2178">
        <f ca="1"/>
        <v>415.16</v>
      </c>
      <c r="AX12" vm="2179">
        <f ca="1"/>
        <v>417.22</v>
      </c>
      <c r="AY12" vm="2180">
        <f ca="1"/>
        <v>409.14</v>
      </c>
      <c r="AZ12" vm="2181">
        <f ca="1"/>
        <v>408.91</v>
      </c>
      <c r="BA12" vm="2182">
        <f ca="1"/>
        <v>412.14</v>
      </c>
      <c r="BB12" vm="2183">
        <f ca="1"/>
        <v>409.4</v>
      </c>
      <c r="BC12" vm="2184">
        <f ca="1"/>
        <v>407.11</v>
      </c>
      <c r="BD12" vm="2185">
        <f ca="1"/>
        <v>403.39</v>
      </c>
      <c r="BE12" vm="2186">
        <f ca="1"/>
        <v>400.74</v>
      </c>
      <c r="BF12" vm="2187">
        <f ca="1"/>
        <v>403.96</v>
      </c>
      <c r="BG12" vm="2188">
        <f ca="1"/>
        <v>402.39</v>
      </c>
      <c r="BH12" vm="2189">
        <f ca="1"/>
        <v>403.15</v>
      </c>
      <c r="BI12" vm="2190">
        <f ca="1"/>
        <v>404.76</v>
      </c>
      <c r="BJ12" vm="2191">
        <f ca="1"/>
        <v>404.98</v>
      </c>
      <c r="BK12" vm="2192">
        <f ca="1"/>
        <v>408.13</v>
      </c>
      <c r="BL12" vm="2193">
        <f ca="1"/>
        <v>406.73</v>
      </c>
      <c r="BM12" vm="2192">
        <f ca="1"/>
        <v>408.13</v>
      </c>
      <c r="BN12" vm="2194">
        <f ca="1"/>
        <v>408.41</v>
      </c>
      <c r="BO12" vm="2195">
        <f ca="1"/>
        <v>411.76</v>
      </c>
      <c r="BP12" vm="2196">
        <f ca="1"/>
        <v>416.11</v>
      </c>
      <c r="BQ12" vm="2197">
        <f ca="1"/>
        <v>413.78</v>
      </c>
      <c r="BR12" vm="2198">
        <f ca="1"/>
        <v>411.6</v>
      </c>
      <c r="BS12" vm="2199">
        <f ca="1"/>
        <v>409.92</v>
      </c>
      <c r="BT12" vm="2200">
        <f ca="1"/>
        <v>411.57</v>
      </c>
      <c r="BU12" vm="2201">
        <f ca="1"/>
        <v>416.93</v>
      </c>
      <c r="BV12" vm="2202">
        <f ca="1"/>
        <v>420.52</v>
      </c>
      <c r="BW12" vm="2203">
        <f ca="1"/>
        <v>420.2</v>
      </c>
      <c r="BX12" vm="2204">
        <f ca="1"/>
        <v>418.92</v>
      </c>
      <c r="BY12" vm="2205">
        <f ca="1"/>
        <v>420.24</v>
      </c>
      <c r="BZ12" vm="2206">
        <f ca="1"/>
        <v>415.32</v>
      </c>
      <c r="CA12" vm="2207">
        <f ca="1"/>
        <v>418.62</v>
      </c>
      <c r="CB12" vm="2208">
        <f ca="1"/>
        <v>415.97</v>
      </c>
      <c r="CC12" vm="2209">
        <f ca="1"/>
        <v>414.69</v>
      </c>
      <c r="CD12" vm="2210">
        <f ca="1"/>
        <v>409.11</v>
      </c>
      <c r="CE12" vm="2211">
        <f ca="1"/>
        <v>407.61</v>
      </c>
      <c r="CF12" vm="2212">
        <f ca="1"/>
        <v>403.26</v>
      </c>
      <c r="CG12" vm="2213">
        <f ca="1"/>
        <v>400.26</v>
      </c>
      <c r="CH12" vm="2214">
        <f ca="1"/>
        <v>396.92</v>
      </c>
      <c r="CI12" vm="2215">
        <f ca="1"/>
        <v>397.74</v>
      </c>
      <c r="CJ12" vm="2216">
        <f ca="1"/>
        <v>399.89</v>
      </c>
      <c r="CK12" vm="2217">
        <f ca="1"/>
        <v>405.08</v>
      </c>
      <c r="CL12" vm="2218">
        <f ca="1"/>
        <v>408.78</v>
      </c>
      <c r="CM12" vm="2219">
        <f ca="1"/>
        <v>408.74</v>
      </c>
      <c r="CN12" vm="2220">
        <f ca="1"/>
        <v>405.95</v>
      </c>
      <c r="CO12" vm="2221">
        <f ca="1"/>
        <v>404.91</v>
      </c>
      <c r="CP12" vm="2222">
        <f ca="1"/>
        <v>402.1</v>
      </c>
      <c r="CQ12" vm="2223">
        <f ca="1"/>
        <v>400.96</v>
      </c>
      <c r="CR12" vm="2224">
        <f ca="1"/>
        <v>396.73</v>
      </c>
      <c r="CS12" vm="2225">
        <f ca="1"/>
        <v>398.58</v>
      </c>
      <c r="CT12" vm="2226">
        <f ca="1"/>
        <v>400.6</v>
      </c>
      <c r="CU12" vm="2227">
        <f ca="1"/>
        <v>400.87</v>
      </c>
      <c r="CV12" vm="2228">
        <f ca="1"/>
        <v>404.92</v>
      </c>
      <c r="CW12" vm="2229">
        <f ca="1"/>
        <v>406.14</v>
      </c>
      <c r="CX12" vm="2230">
        <f ca="1"/>
        <v>406.37</v>
      </c>
      <c r="CY12" vm="2231">
        <f ca="1"/>
        <v>408.82</v>
      </c>
      <c r="CZ12" vm="2232">
        <f ca="1"/>
        <v>412.05</v>
      </c>
      <c r="DA12" vm="2233">
        <f ca="1"/>
        <v>411.22</v>
      </c>
      <c r="DB12" vm="2234">
        <f ca="1"/>
        <v>410.24</v>
      </c>
      <c r="DC12" vm="2235">
        <f ca="1"/>
        <v>412.76</v>
      </c>
      <c r="DD12" vm="2236">
        <f ca="1"/>
        <v>413.12</v>
      </c>
      <c r="DE12" vm="2237">
        <f ca="1"/>
        <v>416.94</v>
      </c>
      <c r="DF12" vm="2238">
        <f ca="1"/>
        <v>413</v>
      </c>
      <c r="DG12" vm="2239">
        <f ca="1"/>
        <v>414.37</v>
      </c>
      <c r="DH12" vm="2240">
        <f ca="1"/>
        <v>413.99</v>
      </c>
      <c r="DI12" vm="2241">
        <f ca="1"/>
        <v>405.88</v>
      </c>
      <c r="DJ12" vm="2242">
        <f ca="1"/>
        <v>407.41</v>
      </c>
      <c r="DK12" vm="2243">
        <f ca="1"/>
        <v>403.9</v>
      </c>
      <c r="DL12" vm="2244">
        <f ca="1"/>
        <v>404.09</v>
      </c>
      <c r="DM12" vm="2245">
        <f ca="1"/>
        <v>408.61</v>
      </c>
      <c r="DN12" vm="2246">
        <f ca="1"/>
        <v>414.4</v>
      </c>
      <c r="DO12" vm="2247">
        <f ca="1"/>
        <v>414.79</v>
      </c>
      <c r="DP12" vm="2248">
        <f ca="1"/>
        <v>409.53</v>
      </c>
      <c r="DQ12" vm="2249">
        <f ca="1"/>
        <v>409.85</v>
      </c>
      <c r="DR12" vm="2250">
        <f ca="1"/>
        <v>411.08</v>
      </c>
      <c r="DS12" vm="2251">
        <f ca="1"/>
        <v>413.72</v>
      </c>
      <c r="DT12" vm="2252">
        <f ca="1"/>
        <v>410.81</v>
      </c>
      <c r="DU12" vm="2253">
        <f ca="1"/>
        <v>408.5</v>
      </c>
      <c r="DV12" vm="2254">
        <f ca="1"/>
        <v>408.77</v>
      </c>
      <c r="DW12" vm="2255">
        <f ca="1"/>
        <v>405.92</v>
      </c>
      <c r="DX12" vm="2256">
        <f ca="1"/>
        <v>405.54</v>
      </c>
      <c r="DY12" vm="2257">
        <f ca="1"/>
        <v>407.32</v>
      </c>
      <c r="DZ12" vm="2258">
        <f ca="1"/>
        <v>407.95</v>
      </c>
      <c r="EA12" vm="2259">
        <f ca="1"/>
        <v>409.15</v>
      </c>
      <c r="EB12" vm="2260">
        <f ca="1"/>
        <v>409.62</v>
      </c>
      <c r="EC12" vm="2261">
        <f ca="1"/>
        <v>413.98</v>
      </c>
      <c r="ED12" vm="2262">
        <f ca="1"/>
        <v>410.97</v>
      </c>
      <c r="EE12" vm="2263">
        <f ca="1"/>
        <v>410.26</v>
      </c>
      <c r="EF12" vm="2258">
        <f ca="1"/>
        <v>407.95</v>
      </c>
      <c r="EG12" vm="2264">
        <f ca="1"/>
        <v>406.8</v>
      </c>
      <c r="EH12" vm="2265">
        <f ca="1"/>
        <v>405.19</v>
      </c>
      <c r="EI12" vm="2266">
        <f ca="1"/>
        <v>407.1</v>
      </c>
      <c r="EJ12" vm="2267">
        <f ca="1"/>
        <v>405.77</v>
      </c>
      <c r="EK12" vm="2268">
        <f ca="1"/>
        <v>411.17</v>
      </c>
      <c r="EL12" vm="2269">
        <f ca="1"/>
        <v>409.08</v>
      </c>
      <c r="EM12" vm="2270">
        <f ca="1"/>
        <v>410.52</v>
      </c>
      <c r="EN12" vm="2271">
        <f ca="1"/>
        <v>413.79</v>
      </c>
      <c r="EO12" vm="2272">
        <f ca="1"/>
        <v>418.78</v>
      </c>
      <c r="EP12" vm="2273">
        <f ca="1"/>
        <v>424.44</v>
      </c>
      <c r="EQ12" vm="2274">
        <f ca="1"/>
        <v>434.42</v>
      </c>
      <c r="ER12" vm="2275">
        <f ca="1"/>
        <v>438.9</v>
      </c>
      <c r="ES12" vm="2276">
        <f ca="1"/>
        <v>445.61</v>
      </c>
      <c r="ET12" vm="2277">
        <f ca="1"/>
        <v>441.82</v>
      </c>
      <c r="EU12" vm="2278">
        <f ca="1"/>
        <v>434.47</v>
      </c>
      <c r="EV12" vm="2279">
        <f ca="1"/>
        <v>435.98</v>
      </c>
      <c r="EW12" vm="2280">
        <f ca="1"/>
        <v>434.01</v>
      </c>
      <c r="EX12" vm="2281">
        <f ca="1"/>
        <v>432.8</v>
      </c>
      <c r="EY12" vm="2282">
        <f ca="1"/>
        <v>433.29</v>
      </c>
      <c r="EZ12" vm="2283">
        <f ca="1"/>
        <v>437.66</v>
      </c>
      <c r="FA12" vm="2284">
        <f ca="1"/>
        <v>438.31</v>
      </c>
      <c r="FB12" vm="2285">
        <f ca="1"/>
        <v>441.26</v>
      </c>
      <c r="FC12" vm="2286">
        <f ca="1"/>
        <v>438.5</v>
      </c>
      <c r="FD12" vm="2287">
        <f ca="1"/>
        <v>431.81</v>
      </c>
      <c r="FE12" vm="2288">
        <f ca="1"/>
        <v>428.36</v>
      </c>
      <c r="FF12" vm="2251">
        <f ca="1"/>
        <v>413.72</v>
      </c>
      <c r="FG12" vm="2289">
        <f ca="1"/>
        <v>422.14</v>
      </c>
      <c r="FH12" vm="2290">
        <f ca="1"/>
        <v>427.02</v>
      </c>
      <c r="FI12" vm="2291">
        <f ca="1"/>
        <v>431.54</v>
      </c>
      <c r="FJ12" vm="2292">
        <f ca="1"/>
        <v>431.67</v>
      </c>
      <c r="FK12" vm="2293">
        <f ca="1"/>
        <v>430.39</v>
      </c>
      <c r="FL12" vm="2294">
        <f ca="1"/>
        <v>432.41</v>
      </c>
      <c r="FM12" vm="2295">
        <f ca="1"/>
        <v>438.47</v>
      </c>
      <c r="FN12" vm="2296">
        <f ca="1"/>
        <v>440.84</v>
      </c>
      <c r="FO12" vm="2297">
        <f ca="1"/>
        <v>444.51</v>
      </c>
      <c r="FP12" vm="2298">
        <f ca="1"/>
        <v>448.77</v>
      </c>
      <c r="FQ12" vm="2299">
        <f ca="1"/>
        <v>448.36</v>
      </c>
      <c r="FR12" vm="2300">
        <f ca="1"/>
        <v>446.6</v>
      </c>
      <c r="FS12" vm="2301">
        <f ca="1"/>
        <v>449.03</v>
      </c>
      <c r="FT12" vm="2302">
        <f ca="1"/>
        <v>453.38</v>
      </c>
      <c r="FU12" vm="2303">
        <f ca="1"/>
        <v>454.49</v>
      </c>
      <c r="FV12" vm="2304">
        <f ca="1"/>
        <v>460.63</v>
      </c>
      <c r="FW12" vm="2305">
        <f ca="1"/>
        <v>464.59</v>
      </c>
      <c r="FX12" vm="2306">
        <f ca="1"/>
        <v>468.37</v>
      </c>
      <c r="FY12" vm="2307">
        <f ca="1"/>
        <v>475.92</v>
      </c>
      <c r="FZ12" vm="2308">
        <f ca="1"/>
        <v>476.83</v>
      </c>
      <c r="GA12" vm="2309">
        <f ca="1"/>
        <v>478.57</v>
      </c>
      <c r="GB12" vm="2310">
        <f ca="1"/>
        <v>464.92</v>
      </c>
      <c r="GC12" vm="2311">
        <f ca="1"/>
        <v>459.42</v>
      </c>
      <c r="GD12" vm="2312">
        <f ca="1"/>
        <v>459.61</v>
      </c>
      <c r="GE12" vm="2313">
        <f ca="1"/>
        <v>458.92</v>
      </c>
      <c r="GF12" vm="2314">
        <f ca="1"/>
        <v>453.1</v>
      </c>
      <c r="GG12" vm="2315">
        <f ca="1"/>
        <v>450.87</v>
      </c>
      <c r="GH12" vm="2316">
        <f ca="1"/>
        <v>447.61</v>
      </c>
      <c r="GI12" vm="2317">
        <f ca="1"/>
        <v>451.78</v>
      </c>
      <c r="GJ12" vm="2318">
        <f ca="1"/>
        <v>456.68</v>
      </c>
      <c r="GK12" vm="2319">
        <f ca="1"/>
        <v>456.6</v>
      </c>
      <c r="GL12" vm="2320">
        <f ca="1"/>
        <v>459.71</v>
      </c>
      <c r="GM12" vm="2321">
        <f ca="1"/>
        <v>455.31</v>
      </c>
      <c r="GN12" vm="2322">
        <f ca="1"/>
        <v>454.98</v>
      </c>
      <c r="GO12" vm="2323">
        <f ca="1"/>
        <v>454.56</v>
      </c>
      <c r="GP12" vm="2324">
        <f ca="1"/>
        <v>452.36</v>
      </c>
      <c r="GQ12" vm="2325">
        <f ca="1"/>
        <v>454.18</v>
      </c>
      <c r="GR12" vm="2326">
        <f ca="1"/>
        <v>457.47</v>
      </c>
      <c r="GS12" vm="2327">
        <f ca="1"/>
        <v>460.26</v>
      </c>
      <c r="GT12" vm="2328">
        <f ca="1"/>
        <v>457.41</v>
      </c>
      <c r="GU12" vm="2329">
        <f ca="1"/>
        <v>456.67</v>
      </c>
      <c r="GV12" vm="2330">
        <f ca="1"/>
        <v>452.96</v>
      </c>
      <c r="GW12" vm="2331">
        <f ca="1"/>
        <v>461.97</v>
      </c>
      <c r="GX12" vm="2332">
        <f ca="1"/>
        <v>453.5</v>
      </c>
      <c r="GY12" vm="2333">
        <f ca="1"/>
        <v>453.8</v>
      </c>
      <c r="GZ12" vm="2334">
        <f ca="1"/>
        <v>455.9</v>
      </c>
      <c r="HA12" vm="2335">
        <f ca="1"/>
        <v>454.93</v>
      </c>
      <c r="HB12" vm="2336">
        <f ca="1"/>
        <v>460.21</v>
      </c>
      <c r="HC12" vm="2337">
        <f ca="1"/>
        <v>459.98</v>
      </c>
      <c r="HD12" vm="2338">
        <f ca="1"/>
        <v>462.68</v>
      </c>
      <c r="HE12" vm="2339">
        <f ca="1"/>
        <v>465.69</v>
      </c>
      <c r="HF12" vm="2340">
        <f ca="1"/>
        <v>465.85</v>
      </c>
      <c r="HG12" vm="2341">
        <f ca="1"/>
        <v>464.8</v>
      </c>
      <c r="HH12" vm="2342">
        <f ca="1"/>
        <v>464.16</v>
      </c>
      <c r="HI12" vm="2343">
        <f ca="1"/>
        <v>461.45</v>
      </c>
      <c r="HJ12" vm="2344">
        <f ca="1"/>
        <v>460.61</v>
      </c>
      <c r="HK12" vm="2345">
        <f ca="1"/>
        <v>457.77</v>
      </c>
      <c r="HL12" vm="2346">
        <f ca="1"/>
        <v>454.01</v>
      </c>
      <c r="HM12" vm="2347">
        <f ca="1"/>
        <v>458.49</v>
      </c>
      <c r="HN12" vm="2348">
        <f ca="1"/>
        <v>454.62</v>
      </c>
      <c r="HO12" vm="2349">
        <f ca="1"/>
        <v>454.96</v>
      </c>
      <c r="HP12" vm="2350">
        <f ca="1"/>
        <v>450.92</v>
      </c>
      <c r="HQ12" vm="2351">
        <f ca="1"/>
        <v>452.14</v>
      </c>
      <c r="HR12" vm="2352">
        <f ca="1"/>
        <v>442.29</v>
      </c>
      <c r="HS12" vm="2353">
        <f ca="1"/>
        <v>445.06</v>
      </c>
      <c r="HT12" vm="2354">
        <f ca="1"/>
        <v>468.9</v>
      </c>
      <c r="HU12" vm="2355">
        <f ca="1"/>
        <v>460.13</v>
      </c>
      <c r="HV12" vm="2356">
        <f ca="1"/>
        <v>463.41</v>
      </c>
      <c r="HW12" vm="2357">
        <f ca="1"/>
        <v>467.36</v>
      </c>
      <c r="HX12" vm="2358">
        <f ca="1"/>
        <v>466.29</v>
      </c>
      <c r="HY12" vm="2359">
        <f ca="1"/>
        <v>468.1</v>
      </c>
      <c r="HZ12" vm="2360">
        <f ca="1"/>
        <v>467.7</v>
      </c>
      <c r="IA12" vm="2361">
        <f ca="1"/>
        <v>470.28</v>
      </c>
      <c r="IB12" vm="2362">
        <f ca="1"/>
        <v>472.2</v>
      </c>
      <c r="IC12" vm="2363">
        <f ca="1"/>
        <v>468.86</v>
      </c>
      <c r="ID12" vm="2364">
        <f ca="1"/>
        <v>468.83</v>
      </c>
      <c r="IE12" vm="2365">
        <f ca="1"/>
        <v>472.06</v>
      </c>
      <c r="IF12" vm="395">
        <f ca="1"/>
        <v>476.57</v>
      </c>
      <c r="IG12" vm="2366">
        <f ca="1"/>
        <v>477.43</v>
      </c>
      <c r="IH12" vm="2367">
        <f ca="1"/>
        <v>478.56</v>
      </c>
      <c r="II12" vm="2368">
        <f ca="1"/>
        <v>483.08</v>
      </c>
      <c r="IJ12" vm="2369">
        <f ca="1"/>
        <v>483.02</v>
      </c>
      <c r="IK12" vm="2370">
        <f ca="1"/>
        <v>477.33</v>
      </c>
      <c r="IL12" vm="2371">
        <f ca="1"/>
        <v>470.19</v>
      </c>
      <c r="IM12" vm="2372">
        <f ca="1"/>
        <v>468.32</v>
      </c>
      <c r="IN12" vm="2373">
        <f ca="1"/>
        <v>470.57</v>
      </c>
      <c r="IO12" vm="2374">
        <f ca="1"/>
        <v>470.5</v>
      </c>
      <c r="IP12" vm="2375">
        <f ca="1"/>
        <v>463.87</v>
      </c>
      <c r="IQ12" vm="2376">
        <f ca="1"/>
        <v>462.49</v>
      </c>
    </row>
    <row r="13" spans="1:251">
      <c r="A13" cm="1" vm="2377">
        <f t="array" aca="1" ref="A13:IQ13" ca="1">TRANSPOSE(_xlfn.STOCKHISTORY(Table3[[#This Row],[Stock Name ]],TODAY()-365,TODAY(),0,0,1))</f>
        <v>69.569999999999993</v>
      </c>
      <c r="B13" vm="2378">
        <f ca="1"/>
        <v>70.06</v>
      </c>
      <c r="C13" vm="2379">
        <f ca="1"/>
        <v>74.760000000000005</v>
      </c>
      <c r="D13" vm="2380">
        <f ca="1"/>
        <v>74.209999999999994</v>
      </c>
      <c r="E13" vm="2381">
        <f ca="1"/>
        <v>73.88</v>
      </c>
      <c r="F13" vm="2382">
        <f ca="1"/>
        <v>77.31</v>
      </c>
      <c r="G13" vm="2383">
        <f ca="1"/>
        <v>76.11</v>
      </c>
      <c r="H13" vm="2384">
        <f ca="1"/>
        <v>76.900000000000006</v>
      </c>
      <c r="I13" vm="2385">
        <f ca="1"/>
        <v>77.14</v>
      </c>
      <c r="J13" vm="2386">
        <f ca="1"/>
        <v>78.180000000000007</v>
      </c>
      <c r="K13" vm="2387">
        <f ca="1"/>
        <v>79.599999999999994</v>
      </c>
      <c r="L13" vm="2388">
        <f ca="1"/>
        <v>79.510000000000005</v>
      </c>
      <c r="M13" vm="2389">
        <f ca="1"/>
        <v>77.349999999999994</v>
      </c>
      <c r="N13" vm="2390">
        <f ca="1"/>
        <v>72.22</v>
      </c>
      <c r="O13" vm="2391">
        <f ca="1"/>
        <v>68.63</v>
      </c>
      <c r="P13" vm="2392">
        <f ca="1"/>
        <v>68.150000000000006</v>
      </c>
      <c r="Q13" vm="2393">
        <f ca="1"/>
        <v>66.959999999999994</v>
      </c>
      <c r="R13" vm="2394">
        <f ca="1"/>
        <v>69.31</v>
      </c>
      <c r="S13" vm="2395">
        <f ca="1"/>
        <v>69.53</v>
      </c>
      <c r="T13" vm="2396">
        <f ca="1"/>
        <v>67.900000000000006</v>
      </c>
      <c r="U13" vm="2397">
        <f ca="1"/>
        <v>67.87</v>
      </c>
      <c r="V13" vm="2398">
        <f ca="1"/>
        <v>66.48</v>
      </c>
      <c r="W13" vm="2399">
        <f ca="1"/>
        <v>65.16</v>
      </c>
      <c r="X13" vm="2400">
        <f ca="1"/>
        <v>63.9</v>
      </c>
      <c r="Y13" vm="2401">
        <f ca="1"/>
        <v>64.47</v>
      </c>
      <c r="Z13" vm="2402">
        <f ca="1"/>
        <v>65.849999999999994</v>
      </c>
      <c r="AA13" vm="2403">
        <f ca="1"/>
        <v>66.69</v>
      </c>
      <c r="AB13" vm="2404">
        <f ca="1"/>
        <v>66.2</v>
      </c>
      <c r="AC13" vm="2405">
        <f ca="1"/>
        <v>62.57</v>
      </c>
      <c r="AD13" vm="2406">
        <f ca="1"/>
        <v>62.71</v>
      </c>
      <c r="AE13" vm="2407">
        <f ca="1"/>
        <v>64.97</v>
      </c>
      <c r="AF13" vm="2408">
        <f ca="1"/>
        <v>68.98</v>
      </c>
      <c r="AG13" vm="2409">
        <f ca="1"/>
        <v>68.22</v>
      </c>
      <c r="AH13" vm="2410">
        <f ca="1"/>
        <v>65.010000000000005</v>
      </c>
      <c r="AI13" vm="2411">
        <f ca="1"/>
        <v>66.67</v>
      </c>
      <c r="AJ13" vm="2412">
        <f ca="1"/>
        <v>67.88</v>
      </c>
      <c r="AK13" vm="2402">
        <f ca="1"/>
        <v>65.849999999999994</v>
      </c>
      <c r="AL13" vm="2413">
        <f ca="1"/>
        <v>67</v>
      </c>
      <c r="AM13" vm="2414">
        <f ca="1"/>
        <v>68.31</v>
      </c>
      <c r="AN13" vm="2415">
        <f ca="1"/>
        <v>68.83</v>
      </c>
      <c r="AO13" vm="2416">
        <f ca="1"/>
        <v>66.88</v>
      </c>
      <c r="AP13" vm="2417">
        <f ca="1"/>
        <v>68.84</v>
      </c>
      <c r="AQ13" vm="2418">
        <f ca="1"/>
        <v>64.98</v>
      </c>
      <c r="AR13" vm="2419">
        <f ca="1"/>
        <v>67.41</v>
      </c>
      <c r="AS13" vm="2420">
        <f ca="1"/>
        <v>69.48</v>
      </c>
      <c r="AT13" vm="2421">
        <f ca="1"/>
        <v>65.64</v>
      </c>
      <c r="AU13" vm="2422">
        <f ca="1"/>
        <v>65.73</v>
      </c>
      <c r="AV13" vm="2401">
        <f ca="1"/>
        <v>64.47</v>
      </c>
      <c r="AW13" vm="2423">
        <f ca="1"/>
        <v>67.959999999999994</v>
      </c>
      <c r="AX13" vm="2424">
        <f ca="1"/>
        <v>78.92</v>
      </c>
      <c r="AY13" vm="2425">
        <f ca="1"/>
        <v>74.66</v>
      </c>
      <c r="AZ13" vm="2426">
        <f ca="1"/>
        <v>77.709999999999994</v>
      </c>
      <c r="BA13" vm="2427">
        <f ca="1"/>
        <v>78.42</v>
      </c>
      <c r="BB13" vm="2428">
        <f ca="1"/>
        <v>79.47</v>
      </c>
      <c r="BC13" vm="2429">
        <f ca="1"/>
        <v>79.25</v>
      </c>
      <c r="BD13" vm="2430">
        <f ca="1"/>
        <v>77</v>
      </c>
      <c r="BE13" vm="2431">
        <f ca="1"/>
        <v>74.430000000000007</v>
      </c>
      <c r="BF13" vm="2432">
        <f ca="1"/>
        <v>75.53</v>
      </c>
      <c r="BG13" vm="2433">
        <f ca="1"/>
        <v>77.22</v>
      </c>
      <c r="BH13" vm="2434">
        <f ca="1"/>
        <v>80.739999999999995</v>
      </c>
      <c r="BI13" vm="2435">
        <f ca="1"/>
        <v>81.53</v>
      </c>
      <c r="BJ13" vm="2436">
        <f ca="1"/>
        <v>81.709999999999994</v>
      </c>
      <c r="BK13" vm="2437">
        <f ca="1"/>
        <v>85.72</v>
      </c>
      <c r="BL13" vm="2438">
        <f ca="1"/>
        <v>81.239999999999995</v>
      </c>
      <c r="BM13" vm="2439">
        <f ca="1"/>
        <v>80.17</v>
      </c>
      <c r="BN13" vm="2440">
        <f ca="1"/>
        <v>80.86</v>
      </c>
      <c r="BO13" vm="2441">
        <f ca="1"/>
        <v>79.319999999999993</v>
      </c>
      <c r="BP13" vm="2442">
        <f ca="1"/>
        <v>81.459999999999994</v>
      </c>
      <c r="BQ13" vm="2443">
        <f ca="1"/>
        <v>84.05</v>
      </c>
      <c r="BR13" vm="2444">
        <f ca="1"/>
        <v>80.77</v>
      </c>
      <c r="BS13" vm="2445">
        <f ca="1"/>
        <v>82.62</v>
      </c>
      <c r="BT13" vm="2446">
        <f ca="1"/>
        <v>83.8</v>
      </c>
      <c r="BU13" vm="2447">
        <f ca="1"/>
        <v>83.18</v>
      </c>
      <c r="BV13" vm="2448">
        <f ca="1"/>
        <v>84.58</v>
      </c>
      <c r="BW13" vm="2442">
        <f ca="1"/>
        <v>81.459999999999994</v>
      </c>
      <c r="BX13" vm="2449">
        <f ca="1"/>
        <v>79.209999999999994</v>
      </c>
      <c r="BY13" vm="2450">
        <f ca="1"/>
        <v>79.650000000000006</v>
      </c>
      <c r="BZ13" vm="2451">
        <f ca="1"/>
        <v>74.73</v>
      </c>
      <c r="CA13" vm="2452">
        <f ca="1"/>
        <v>77.17</v>
      </c>
      <c r="CB13" vm="2453">
        <f ca="1"/>
        <v>78.349999999999994</v>
      </c>
      <c r="CC13" vm="2454">
        <f ca="1"/>
        <v>79.98</v>
      </c>
      <c r="CD13" vm="2455">
        <f ca="1"/>
        <v>78.510000000000005</v>
      </c>
      <c r="CE13" vm="2456">
        <f ca="1"/>
        <v>80.06</v>
      </c>
      <c r="CF13" vm="2457">
        <f ca="1"/>
        <v>76.989999999999995</v>
      </c>
      <c r="CG13" vm="2458">
        <f ca="1"/>
        <v>73.5</v>
      </c>
      <c r="CH13" vm="2459">
        <f ca="1"/>
        <v>73.14</v>
      </c>
      <c r="CI13" vm="2460">
        <f ca="1"/>
        <v>73.510000000000005</v>
      </c>
      <c r="CJ13" vm="2461">
        <f ca="1"/>
        <v>72.06</v>
      </c>
      <c r="CK13" vm="2462">
        <f ca="1"/>
        <v>70.42</v>
      </c>
      <c r="CL13" vm="2463">
        <f ca="1"/>
        <v>71.599999999999994</v>
      </c>
      <c r="CM13" vm="2464">
        <f ca="1"/>
        <v>75.209999999999994</v>
      </c>
      <c r="CN13" vm="2465">
        <f ca="1"/>
        <v>74.03</v>
      </c>
      <c r="CO13" vm="2466">
        <f ca="1"/>
        <v>72.790000000000006</v>
      </c>
      <c r="CP13" vm="2467">
        <f ca="1"/>
        <v>74.48</v>
      </c>
      <c r="CQ13" vm="2468">
        <f ca="1"/>
        <v>75.31</v>
      </c>
      <c r="CR13" vm="2469">
        <f ca="1"/>
        <v>73</v>
      </c>
      <c r="CS13" vm="2470">
        <f ca="1"/>
        <v>66.84</v>
      </c>
      <c r="CT13" vm="2471">
        <f ca="1"/>
        <v>70.3</v>
      </c>
      <c r="CU13" vm="2472">
        <f ca="1"/>
        <v>69.47</v>
      </c>
      <c r="CV13" vm="2473">
        <f ca="1"/>
        <v>73.53</v>
      </c>
      <c r="CW13" vm="2463">
        <f ca="1"/>
        <v>71.599999999999994</v>
      </c>
      <c r="CX13" vm="2474">
        <f ca="1"/>
        <v>71.14</v>
      </c>
      <c r="CY13" vm="2475">
        <f ca="1"/>
        <v>73.2</v>
      </c>
      <c r="CZ13" vm="2476">
        <f ca="1"/>
        <v>71.31</v>
      </c>
      <c r="DA13" vm="2477">
        <f ca="1"/>
        <v>69.739999999999995</v>
      </c>
      <c r="DB13" vm="2478">
        <f ca="1"/>
        <v>71.2</v>
      </c>
      <c r="DC13" vm="2479">
        <f ca="1"/>
        <v>71.52</v>
      </c>
      <c r="DD13" vm="2480">
        <f ca="1"/>
        <v>71.75</v>
      </c>
      <c r="DE13" vm="2481">
        <f ca="1"/>
        <v>72.260000000000005</v>
      </c>
      <c r="DF13" vm="2482">
        <f ca="1"/>
        <v>73.540000000000006</v>
      </c>
      <c r="DG13" vm="2483">
        <f ca="1"/>
        <v>71.510000000000005</v>
      </c>
      <c r="DH13" vm="2484">
        <f ca="1"/>
        <v>67.34</v>
      </c>
      <c r="DI13" vm="2485">
        <f ca="1"/>
        <v>66.62</v>
      </c>
      <c r="DJ13" vm="2486">
        <f ca="1"/>
        <v>66.34</v>
      </c>
      <c r="DK13" vm="2487">
        <f ca="1"/>
        <v>66.08</v>
      </c>
      <c r="DL13" vm="2488">
        <f ca="1"/>
        <v>65.56</v>
      </c>
      <c r="DM13" vm="2489">
        <f ca="1"/>
        <v>65.02</v>
      </c>
      <c r="DN13" vm="2490">
        <f ca="1"/>
        <v>64.08</v>
      </c>
      <c r="DO13" vm="2491">
        <f ca="1"/>
        <v>64.3</v>
      </c>
      <c r="DP13" vm="2492">
        <f ca="1"/>
        <v>64.25</v>
      </c>
      <c r="DQ13" vm="2493">
        <f ca="1"/>
        <v>64.8</v>
      </c>
      <c r="DR13" vm="2494">
        <f ca="1"/>
        <v>66.400000000000006</v>
      </c>
      <c r="DS13" vm="2495">
        <f ca="1"/>
        <v>65.099999999999994</v>
      </c>
      <c r="DT13" vm="2496">
        <f ca="1"/>
        <v>64.34</v>
      </c>
      <c r="DU13" vm="2497">
        <f ca="1"/>
        <v>64.16</v>
      </c>
      <c r="DV13" vm="2498">
        <f ca="1"/>
        <v>64.63</v>
      </c>
      <c r="DW13" vm="2499">
        <f ca="1"/>
        <v>62.36</v>
      </c>
      <c r="DX13" vm="2500">
        <f ca="1"/>
        <v>62.15</v>
      </c>
      <c r="DY13" vm="2501">
        <f ca="1"/>
        <v>62.5</v>
      </c>
      <c r="DZ13" vm="2502">
        <f ca="1"/>
        <v>61.9</v>
      </c>
      <c r="EA13" vm="2503">
        <f ca="1"/>
        <v>62.74</v>
      </c>
      <c r="EB13" vm="2504">
        <f ca="1"/>
        <v>62.97</v>
      </c>
      <c r="EC13" vm="2505">
        <f ca="1"/>
        <v>64.400000000000006</v>
      </c>
      <c r="ED13" vm="2506">
        <f ca="1"/>
        <v>64.02</v>
      </c>
      <c r="EE13" vm="2507">
        <f ca="1"/>
        <v>63.29</v>
      </c>
      <c r="EF13" vm="2508">
        <f ca="1"/>
        <v>63.39</v>
      </c>
      <c r="EG13" vm="2509">
        <f ca="1"/>
        <v>64.489999999999995</v>
      </c>
      <c r="EH13" vm="2510">
        <f ca="1"/>
        <v>63.84</v>
      </c>
      <c r="EI13" vm="2511">
        <f ca="1"/>
        <v>64.58</v>
      </c>
      <c r="EJ13" vm="2512">
        <f ca="1"/>
        <v>64.44</v>
      </c>
      <c r="EK13" vm="2513">
        <f ca="1"/>
        <v>65.78</v>
      </c>
      <c r="EL13" vm="2514">
        <f ca="1"/>
        <v>64.23</v>
      </c>
      <c r="EM13" vm="2515">
        <f ca="1"/>
        <v>64.510000000000005</v>
      </c>
      <c r="EN13" vm="2496">
        <f ca="1"/>
        <v>64.34</v>
      </c>
      <c r="EO13" vm="2516">
        <f ca="1"/>
        <v>66.489999999999995</v>
      </c>
      <c r="EP13" vm="2517">
        <f ca="1"/>
        <v>68.739999999999995</v>
      </c>
      <c r="EQ13" vm="2461">
        <f ca="1"/>
        <v>72.06</v>
      </c>
      <c r="ER13" vm="2518">
        <f ca="1"/>
        <v>72.069999999999993</v>
      </c>
      <c r="ES13" vm="2519">
        <f ca="1"/>
        <v>71.849999999999994</v>
      </c>
      <c r="ET13" vm="2520">
        <f ca="1"/>
        <v>68</v>
      </c>
      <c r="EU13" vm="2521">
        <f ca="1"/>
        <v>68.099999999999994</v>
      </c>
      <c r="EV13" vm="2522">
        <f ca="1"/>
        <v>68.25</v>
      </c>
      <c r="EW13" vm="2523">
        <f ca="1"/>
        <v>66.89</v>
      </c>
      <c r="EX13" vm="2524">
        <f ca="1"/>
        <v>61.71</v>
      </c>
      <c r="EY13" vm="2525">
        <f ca="1"/>
        <v>61.58</v>
      </c>
      <c r="EZ13" vm="2526">
        <f ca="1"/>
        <v>60.18</v>
      </c>
      <c r="FA13" vm="2527">
        <f ca="1"/>
        <v>60.74</v>
      </c>
      <c r="FB13" vm="2528">
        <f ca="1"/>
        <v>60.09</v>
      </c>
      <c r="FC13" vm="2529">
        <f ca="1"/>
        <v>61.88</v>
      </c>
      <c r="FD13" vm="2530">
        <f ca="1"/>
        <v>59.9</v>
      </c>
      <c r="FE13" vm="2531">
        <f ca="1"/>
        <v>60.38</v>
      </c>
      <c r="FF13" vm="2532">
        <f ca="1"/>
        <v>57.21</v>
      </c>
      <c r="FG13" vm="2533">
        <f ca="1"/>
        <v>57.25</v>
      </c>
      <c r="FH13" vm="2534">
        <f ca="1"/>
        <v>58.05</v>
      </c>
      <c r="FI13" vm="2535">
        <f ca="1"/>
        <v>61.21</v>
      </c>
      <c r="FJ13" vm="2536">
        <f ca="1"/>
        <v>62.14</v>
      </c>
      <c r="FK13" vm="2537">
        <f ca="1"/>
        <v>61.09</v>
      </c>
      <c r="FL13" vm="2538">
        <f ca="1"/>
        <v>63.37</v>
      </c>
      <c r="FM13" vm="2539">
        <f ca="1"/>
        <v>62.2</v>
      </c>
      <c r="FN13" vm="2492">
        <f ca="1"/>
        <v>64.25</v>
      </c>
      <c r="FO13" vm="2540">
        <f ca="1"/>
        <v>65.87</v>
      </c>
      <c r="FP13" vm="2416">
        <f ca="1"/>
        <v>66.88</v>
      </c>
      <c r="FQ13" vm="2541">
        <f ca="1"/>
        <v>64.88</v>
      </c>
      <c r="FR13" vm="2542">
        <f ca="1"/>
        <v>65.650000000000006</v>
      </c>
      <c r="FS13" vm="2510">
        <f ca="1"/>
        <v>63.84</v>
      </c>
      <c r="FT13" vm="2543">
        <f ca="1"/>
        <v>65.36</v>
      </c>
      <c r="FU13" vm="2488">
        <f ca="1"/>
        <v>65.56</v>
      </c>
      <c r="FV13" vm="2544">
        <f ca="1"/>
        <v>66.64</v>
      </c>
      <c r="FW13" vm="2545">
        <f ca="1"/>
        <v>64.680000000000007</v>
      </c>
      <c r="FX13" vm="2546">
        <f ca="1"/>
        <v>66.42</v>
      </c>
      <c r="FY13" vm="2487">
        <f ca="1"/>
        <v>66.08</v>
      </c>
      <c r="FZ13" vm="2547">
        <f ca="1"/>
        <v>64.17</v>
      </c>
      <c r="GA13" vm="2490">
        <f ca="1"/>
        <v>64.08</v>
      </c>
      <c r="GB13" vm="2511">
        <f ca="1"/>
        <v>64.58</v>
      </c>
      <c r="GC13" vm="2548">
        <f ca="1"/>
        <v>61.24</v>
      </c>
      <c r="GD13" vm="2549">
        <f ca="1"/>
        <v>61.31</v>
      </c>
      <c r="GE13" vm="2550">
        <f ca="1"/>
        <v>61.37</v>
      </c>
      <c r="GF13" vm="2551">
        <f ca="1"/>
        <v>63.38</v>
      </c>
      <c r="GG13" vm="2552">
        <f ca="1"/>
        <v>63.67</v>
      </c>
      <c r="GH13" vm="2553">
        <f ca="1"/>
        <v>63.99</v>
      </c>
      <c r="GI13" vm="2513">
        <f ca="1"/>
        <v>65.78</v>
      </c>
      <c r="GJ13" vm="2554">
        <f ca="1"/>
        <v>67.33</v>
      </c>
      <c r="GK13" vm="2555">
        <f ca="1"/>
        <v>66.739999999999995</v>
      </c>
      <c r="GL13" vm="2556">
        <f ca="1"/>
        <v>68.64</v>
      </c>
      <c r="GM13" vm="2557">
        <f ca="1"/>
        <v>67.459999999999994</v>
      </c>
      <c r="GN13" vm="2558">
        <f ca="1"/>
        <v>67.83</v>
      </c>
      <c r="GO13" vm="2559">
        <f ca="1"/>
        <v>67.540000000000006</v>
      </c>
      <c r="GP13" vm="2560">
        <f ca="1"/>
        <v>65.239999999999995</v>
      </c>
      <c r="GQ13" vm="2561">
        <f ca="1"/>
        <v>66.52</v>
      </c>
      <c r="GR13" vm="2562">
        <f ca="1"/>
        <v>66.97</v>
      </c>
      <c r="GS13" vm="2563">
        <f ca="1"/>
        <v>67.13</v>
      </c>
      <c r="GT13" vm="2564">
        <f ca="1"/>
        <v>65.94</v>
      </c>
      <c r="GU13" vm="2565">
        <f ca="1"/>
        <v>65.06</v>
      </c>
      <c r="GV13" vm="2421">
        <f ca="1"/>
        <v>65.64</v>
      </c>
      <c r="GW13" vm="2566">
        <f ca="1"/>
        <v>67.02</v>
      </c>
      <c r="GX13" vm="2567">
        <f ca="1"/>
        <v>65.709999999999994</v>
      </c>
      <c r="GY13" vm="2522">
        <f ca="1"/>
        <v>68.25</v>
      </c>
      <c r="GZ13" vm="2568">
        <f ca="1"/>
        <v>68.27</v>
      </c>
      <c r="HA13" vm="2569">
        <f ca="1"/>
        <v>70.02</v>
      </c>
      <c r="HB13" vm="2570">
        <f ca="1"/>
        <v>69.7</v>
      </c>
      <c r="HC13" vm="2571">
        <f ca="1"/>
        <v>71.650000000000006</v>
      </c>
      <c r="HD13" vm="2572">
        <f ca="1"/>
        <v>71.790000000000006</v>
      </c>
      <c r="HE13" vm="2473">
        <f ca="1"/>
        <v>73.53</v>
      </c>
      <c r="HF13" vm="2573">
        <f ca="1"/>
        <v>73.680000000000007</v>
      </c>
      <c r="HG13" vm="2425">
        <f ca="1"/>
        <v>74.66</v>
      </c>
      <c r="HH13" vm="2574">
        <f ca="1"/>
        <v>73.91</v>
      </c>
      <c r="HI13" vm="2575">
        <f ca="1"/>
        <v>72.819999999999993</v>
      </c>
      <c r="HJ13" vm="2576">
        <f ca="1"/>
        <v>71.39</v>
      </c>
      <c r="HK13" vm="2577">
        <f ca="1"/>
        <v>72.55</v>
      </c>
      <c r="HL13" vm="2578">
        <f ca="1"/>
        <v>72.61</v>
      </c>
      <c r="HM13" vm="2467">
        <f ca="1"/>
        <v>74.48</v>
      </c>
      <c r="HN13" vm="2579">
        <f ca="1"/>
        <v>73.22</v>
      </c>
      <c r="HO13" vm="2580">
        <f ca="1"/>
        <v>73.290000000000006</v>
      </c>
      <c r="HP13" vm="2581">
        <f ca="1"/>
        <v>72.319999999999993</v>
      </c>
      <c r="HQ13" vm="2582">
        <f ca="1"/>
        <v>72.150000000000006</v>
      </c>
      <c r="HR13" vm="2583">
        <f ca="1"/>
        <v>72.69</v>
      </c>
      <c r="HS13" vm="2584">
        <f ca="1"/>
        <v>72.38</v>
      </c>
      <c r="HT13" vm="2585">
        <f ca="1"/>
        <v>77.64</v>
      </c>
      <c r="HU13" vm="2586">
        <f ca="1"/>
        <v>75.27</v>
      </c>
      <c r="HV13" vm="2587">
        <f ca="1"/>
        <v>74.56</v>
      </c>
      <c r="HW13" vm="2588">
        <f ca="1"/>
        <v>83.4</v>
      </c>
      <c r="HX13" vm="2589">
        <f ca="1"/>
        <v>87.25</v>
      </c>
      <c r="HY13" vm="2590">
        <f ca="1"/>
        <v>85.82</v>
      </c>
      <c r="HZ13" vm="2591">
        <f ca="1"/>
        <v>83.42</v>
      </c>
      <c r="IA13" vm="2592">
        <f ca="1"/>
        <v>84.3</v>
      </c>
      <c r="IB13" vm="2593">
        <f ca="1"/>
        <v>90.79</v>
      </c>
      <c r="IC13" vm="2594">
        <f ca="1"/>
        <v>92.42</v>
      </c>
      <c r="ID13" vm="2595">
        <f ca="1"/>
        <v>89.7</v>
      </c>
      <c r="IE13" vm="2596">
        <f ca="1"/>
        <v>92.7</v>
      </c>
      <c r="IF13" vm="2597">
        <f ca="1"/>
        <v>92.26</v>
      </c>
      <c r="IG13" vm="2598">
        <f ca="1"/>
        <v>90.75</v>
      </c>
      <c r="IH13" vm="2599">
        <f ca="1"/>
        <v>89.01</v>
      </c>
      <c r="II13" vm="2600">
        <f ca="1"/>
        <v>88.78</v>
      </c>
      <c r="IJ13" vm="2601">
        <f ca="1"/>
        <v>88.55</v>
      </c>
      <c r="IK13" vm="2602">
        <f ca="1"/>
        <v>92.78</v>
      </c>
      <c r="IL13" vm="2603">
        <f ca="1"/>
        <v>93.2</v>
      </c>
      <c r="IM13" vm="2604">
        <f ca="1"/>
        <v>98.92</v>
      </c>
      <c r="IN13" vm="2605">
        <f ca="1"/>
        <v>95.87</v>
      </c>
      <c r="IO13" vm="2606">
        <f ca="1"/>
        <v>98.25</v>
      </c>
      <c r="IP13" vm="2607">
        <f ca="1"/>
        <v>95.42</v>
      </c>
      <c r="IQ13" vm="2608">
        <f ca="1"/>
        <v>94.04</v>
      </c>
    </row>
    <row r="14" spans="1:251">
      <c r="A14" cm="1" vm="2609">
        <f t="array" aca="1" ref="A14:IQ14" ca="1">TRANSPOSE(_xlfn.STOCKHISTORY(Table3[[#This Row],[Stock Name ]],TODAY()-365,TODAY(),0,0,1))</f>
        <v>142.5</v>
      </c>
      <c r="B14" vm="2610">
        <f ca="1"/>
        <v>144.61000000000001</v>
      </c>
      <c r="C14" vm="1261">
        <f ca="1"/>
        <v>149.93</v>
      </c>
      <c r="D14" vm="2611">
        <f ca="1"/>
        <v>149.35</v>
      </c>
      <c r="E14" vm="860">
        <f ca="1"/>
        <v>149.68</v>
      </c>
      <c r="F14" vm="2612">
        <f ca="1"/>
        <v>151.63999999999999</v>
      </c>
      <c r="G14" vm="2613">
        <f ca="1"/>
        <v>150.25</v>
      </c>
      <c r="H14" vm="2614">
        <f ca="1"/>
        <v>150.71</v>
      </c>
      <c r="I14" vm="2615">
        <f ca="1"/>
        <v>151.05000000000001</v>
      </c>
      <c r="J14" vm="2616">
        <f ca="1"/>
        <v>152.41</v>
      </c>
      <c r="K14" vm="2617">
        <f ca="1"/>
        <v>151.91</v>
      </c>
      <c r="L14" vm="2618">
        <f ca="1"/>
        <v>149.77000000000001</v>
      </c>
      <c r="M14" vm="2619">
        <f ca="1"/>
        <v>149.16</v>
      </c>
      <c r="N14" vm="2620">
        <f ca="1"/>
        <v>149.47999999999999</v>
      </c>
      <c r="O14" vm="2621">
        <f ca="1"/>
        <v>152.33000000000001</v>
      </c>
      <c r="P14" vm="2622">
        <f ca="1"/>
        <v>150.66</v>
      </c>
      <c r="Q14" vm="2623">
        <f ca="1"/>
        <v>150.4</v>
      </c>
      <c r="R14" vm="2624">
        <f ca="1"/>
        <v>149.5</v>
      </c>
      <c r="S14" vm="2625">
        <f ca="1"/>
        <v>145.69999999999999</v>
      </c>
      <c r="T14" vm="2626">
        <f ca="1"/>
        <v>144.5</v>
      </c>
      <c r="U14" vm="2627">
        <f ca="1"/>
        <v>145.28</v>
      </c>
      <c r="V14" vm="2628">
        <f ca="1"/>
        <v>147.27000000000001</v>
      </c>
      <c r="W14" vm="2629">
        <f ca="1"/>
        <v>143.69</v>
      </c>
      <c r="X14" vm="2630">
        <f ca="1"/>
        <v>143.12</v>
      </c>
      <c r="Y14" vm="2631">
        <f ca="1"/>
        <v>141.82</v>
      </c>
      <c r="Z14" vm="2632">
        <f ca="1"/>
        <v>142.24</v>
      </c>
      <c r="AA14" vm="1050">
        <f ca="1"/>
        <v>142.49</v>
      </c>
      <c r="AB14" vm="2633">
        <f ca="1"/>
        <v>142.09</v>
      </c>
      <c r="AC14" vm="2634">
        <f ca="1"/>
        <v>144.91999999999999</v>
      </c>
      <c r="AD14" vm="2635">
        <f ca="1"/>
        <v>148.57</v>
      </c>
      <c r="AE14" vm="2636">
        <f ca="1"/>
        <v>149.13999999999999</v>
      </c>
      <c r="AF14" vm="2637">
        <f ca="1"/>
        <v>149.08000000000001</v>
      </c>
      <c r="AG14" vm="2638">
        <f ca="1"/>
        <v>150.12</v>
      </c>
      <c r="AH14" vm="2639">
        <f ca="1"/>
        <v>147.43</v>
      </c>
      <c r="AI14" vm="2640">
        <f ca="1"/>
        <v>147.88999999999999</v>
      </c>
      <c r="AJ14" vm="2641">
        <f ca="1"/>
        <v>152.24</v>
      </c>
      <c r="AK14" vm="2621">
        <f ca="1"/>
        <v>152.33000000000001</v>
      </c>
      <c r="AL14" vm="2642">
        <f ca="1"/>
        <v>152.35</v>
      </c>
      <c r="AM14" vm="968">
        <f ca="1"/>
        <v>152.13</v>
      </c>
      <c r="AN14" vm="2643">
        <f ca="1"/>
        <v>154.06</v>
      </c>
      <c r="AO14" vm="2644">
        <f ca="1"/>
        <v>151.04</v>
      </c>
      <c r="AP14" vm="734">
        <f ca="1"/>
        <v>152.08000000000001</v>
      </c>
      <c r="AQ14" vm="644">
        <f ca="1"/>
        <v>150.6</v>
      </c>
      <c r="AR14" vm="2645">
        <f ca="1"/>
        <v>151.01</v>
      </c>
      <c r="AS14" vm="2646">
        <f ca="1"/>
        <v>154.46</v>
      </c>
      <c r="AT14" vm="675">
        <f ca="1"/>
        <v>154.63</v>
      </c>
      <c r="AU14" vm="697">
        <f ca="1"/>
        <v>154</v>
      </c>
      <c r="AV14" vm="2647">
        <f ca="1"/>
        <v>155.44</v>
      </c>
      <c r="AW14" vm="2648">
        <f ca="1"/>
        <v>155.43</v>
      </c>
      <c r="AX14" vm="2649">
        <f ca="1"/>
        <v>154.66</v>
      </c>
      <c r="AY14" vm="2650">
        <f ca="1"/>
        <v>154.44999999999999</v>
      </c>
      <c r="AZ14" vm="2651">
        <f ca="1"/>
        <v>152.16</v>
      </c>
      <c r="BA14" vm="2652">
        <f ca="1"/>
        <v>152.34</v>
      </c>
      <c r="BB14" vm="2653">
        <f ca="1"/>
        <v>152.01</v>
      </c>
      <c r="BC14" vm="2654">
        <f ca="1"/>
        <v>152.81</v>
      </c>
      <c r="BD14" vm="2655">
        <f ca="1"/>
        <v>148.88</v>
      </c>
      <c r="BE14" vm="2656">
        <f ca="1"/>
        <v>149.59</v>
      </c>
      <c r="BF14" vm="2657">
        <f ca="1"/>
        <v>148.33000000000001</v>
      </c>
      <c r="BG14" vm="2658">
        <f ca="1"/>
        <v>149.37</v>
      </c>
      <c r="BH14" vm="2659">
        <f ca="1"/>
        <v>149.88</v>
      </c>
      <c r="BI14" vm="2660">
        <f ca="1"/>
        <v>152</v>
      </c>
      <c r="BJ14" vm="2661">
        <f ca="1"/>
        <v>151.88999999999999</v>
      </c>
      <c r="BK14" vm="2662">
        <f ca="1"/>
        <v>153.88999999999999</v>
      </c>
      <c r="BL14" vm="2663">
        <f ca="1"/>
        <v>155.69999999999999</v>
      </c>
      <c r="BM14" vm="2664">
        <f ca="1"/>
        <v>155.55000000000001</v>
      </c>
      <c r="BN14" vm="2665">
        <f ca="1"/>
        <v>155.41</v>
      </c>
      <c r="BO14" vm="2666">
        <f ca="1"/>
        <v>156.62</v>
      </c>
      <c r="BP14" vm="2667">
        <f ca="1"/>
        <v>154.55000000000001</v>
      </c>
      <c r="BQ14" vm="1108">
        <f ca="1"/>
        <v>154.86000000000001</v>
      </c>
      <c r="BR14" vm="2649">
        <f ca="1"/>
        <v>154.66</v>
      </c>
      <c r="BS14" vm="2668">
        <f ca="1"/>
        <v>156.47</v>
      </c>
      <c r="BT14" vm="2669">
        <f ca="1"/>
        <v>155.27000000000001</v>
      </c>
      <c r="BU14" vm="2670">
        <f ca="1"/>
        <v>156.35</v>
      </c>
      <c r="BV14" vm="2671">
        <f ca="1"/>
        <v>157.74</v>
      </c>
      <c r="BW14" vm="2672">
        <f ca="1"/>
        <v>159.08000000000001</v>
      </c>
      <c r="BX14" vm="746">
        <f ca="1"/>
        <v>159.78</v>
      </c>
      <c r="BY14" vm="2673">
        <f ca="1"/>
        <v>160.44</v>
      </c>
      <c r="BZ14" vm="2674">
        <f ca="1"/>
        <v>160.69</v>
      </c>
      <c r="CA14" vm="2675">
        <f ca="1"/>
        <v>161.6</v>
      </c>
      <c r="CB14" vm="2676">
        <f ca="1"/>
        <v>161.27000000000001</v>
      </c>
      <c r="CC14" vm="2677">
        <f ca="1"/>
        <v>162</v>
      </c>
      <c r="CD14" vm="572">
        <f ca="1"/>
        <v>162.66999999999999</v>
      </c>
      <c r="CE14" vm="2678">
        <f ca="1"/>
        <v>161.88999999999999</v>
      </c>
      <c r="CF14" vm="670">
        <f ca="1"/>
        <v>158.96</v>
      </c>
      <c r="CG14" vm="2679">
        <f ca="1"/>
        <v>157.59</v>
      </c>
      <c r="CH14" vm="1112">
        <f ca="1"/>
        <v>156.28</v>
      </c>
      <c r="CI14" vm="717">
        <f ca="1"/>
        <v>156.4</v>
      </c>
      <c r="CJ14" vm="2680">
        <f ca="1"/>
        <v>157.57</v>
      </c>
      <c r="CK14" vm="2681">
        <f ca="1"/>
        <v>160</v>
      </c>
      <c r="CL14" vm="2682">
        <f ca="1"/>
        <v>161.91999999999999</v>
      </c>
      <c r="CM14" vm="747">
        <f ca="1"/>
        <v>162.85</v>
      </c>
      <c r="CN14" vm="2683">
        <f ca="1"/>
        <v>163.57</v>
      </c>
      <c r="CO14" vm="2684">
        <f ca="1"/>
        <v>165.28</v>
      </c>
      <c r="CP14" vm="2685">
        <f ca="1"/>
        <v>165.89</v>
      </c>
      <c r="CQ14" vm="655">
        <f ca="1"/>
        <v>166.33</v>
      </c>
      <c r="CR14" vm="2676">
        <f ca="1"/>
        <v>161.27000000000001</v>
      </c>
      <c r="CS14" vm="673">
        <f ca="1"/>
        <v>159.63</v>
      </c>
      <c r="CT14" vm="2686">
        <f ca="1"/>
        <v>160.72999999999999</v>
      </c>
      <c r="CU14" vm="678">
        <f ca="1"/>
        <v>160.25</v>
      </c>
      <c r="CV14" vm="2687">
        <f ca="1"/>
        <v>162.30000000000001</v>
      </c>
      <c r="CW14" vm="572">
        <f ca="1"/>
        <v>162.66999999999999</v>
      </c>
      <c r="CX14" vm="2688">
        <f ca="1"/>
        <v>162.54</v>
      </c>
      <c r="CY14" vm="2689">
        <f ca="1"/>
        <v>165.45</v>
      </c>
      <c r="CZ14" vm="2690">
        <f ca="1"/>
        <v>165.82</v>
      </c>
      <c r="DA14" vm="999">
        <f ca="1"/>
        <v>164.53</v>
      </c>
      <c r="DB14" vm="2691">
        <f ca="1"/>
        <v>163.61000000000001</v>
      </c>
      <c r="DC14" vm="2692">
        <f ca="1"/>
        <v>163.05000000000001</v>
      </c>
      <c r="DD14" vm="2693">
        <f ca="1"/>
        <v>161.09</v>
      </c>
      <c r="DE14" vm="572">
        <f ca="1"/>
        <v>162.66999999999999</v>
      </c>
      <c r="DF14" vm="2694">
        <f ca="1"/>
        <v>161.13999999999999</v>
      </c>
      <c r="DG14" vm="2695">
        <f ca="1"/>
        <v>159.97</v>
      </c>
      <c r="DH14" vm="2680">
        <f ca="1"/>
        <v>157.57</v>
      </c>
      <c r="DI14" vm="2696">
        <f ca="1"/>
        <v>156.94</v>
      </c>
      <c r="DJ14" vm="1276">
        <f ca="1"/>
        <v>157.75</v>
      </c>
      <c r="DK14" vm="2697">
        <f ca="1"/>
        <v>159.04</v>
      </c>
      <c r="DL14" vm="2698">
        <f ca="1"/>
        <v>156.9</v>
      </c>
      <c r="DM14" vm="1113">
        <f ca="1"/>
        <v>158.26</v>
      </c>
      <c r="DN14" vm="2687">
        <f ca="1"/>
        <v>162.30000000000001</v>
      </c>
      <c r="DO14" vm="877">
        <f ca="1"/>
        <v>157.46</v>
      </c>
      <c r="DP14" vm="756">
        <f ca="1"/>
        <v>156.13</v>
      </c>
      <c r="DQ14" vm="720">
        <f ca="1"/>
        <v>154.97999999999999</v>
      </c>
      <c r="DR14" vm="2699">
        <f ca="1"/>
        <v>155.93</v>
      </c>
      <c r="DS14" vm="2700">
        <f ca="1"/>
        <v>156.08000000000001</v>
      </c>
      <c r="DT14" vm="737">
        <f ca="1"/>
        <v>156.74</v>
      </c>
      <c r="DU14" vm="2701">
        <f ca="1"/>
        <v>156.49</v>
      </c>
      <c r="DV14" vm="2702">
        <f ca="1"/>
        <v>154.22</v>
      </c>
      <c r="DW14" vm="2703">
        <f ca="1"/>
        <v>152.84</v>
      </c>
      <c r="DX14" vm="2704">
        <f ca="1"/>
        <v>152.57</v>
      </c>
      <c r="DY14" vm="2705">
        <f ca="1"/>
        <v>153.19</v>
      </c>
      <c r="DZ14" vm="2706">
        <f ca="1"/>
        <v>153.33000000000001</v>
      </c>
      <c r="EA14" vm="755">
        <f ca="1"/>
        <v>156.63999999999999</v>
      </c>
      <c r="EB14" vm="716">
        <f ca="1"/>
        <v>155.28</v>
      </c>
      <c r="EC14" vm="2707">
        <f ca="1"/>
        <v>159.31</v>
      </c>
      <c r="ED14" vm="2708">
        <f ca="1"/>
        <v>158.46</v>
      </c>
      <c r="EE14" vm="738">
        <f ca="1"/>
        <v>155.94999999999999</v>
      </c>
      <c r="EF14" vm="2709">
        <f ca="1"/>
        <v>156.32</v>
      </c>
      <c r="EG14" vm="2710">
        <f ca="1"/>
        <v>156.41999999999999</v>
      </c>
      <c r="EH14" vm="2711">
        <f ca="1"/>
        <v>156.52000000000001</v>
      </c>
      <c r="EI14" vm="739">
        <f ca="1"/>
        <v>156.75</v>
      </c>
      <c r="EJ14" vm="2712">
        <f ca="1"/>
        <v>156.71</v>
      </c>
      <c r="EK14" vm="2713">
        <f ca="1"/>
        <v>154.31</v>
      </c>
      <c r="EL14" vm="2714">
        <f ca="1"/>
        <v>154.33000000000001</v>
      </c>
      <c r="EM14" vm="2715">
        <f ca="1"/>
        <v>152.97999999999999</v>
      </c>
      <c r="EN14" vm="2716">
        <f ca="1"/>
        <v>155.13</v>
      </c>
      <c r="EO14" vm="2717">
        <f ca="1"/>
        <v>155.26</v>
      </c>
      <c r="EP14" vm="2718">
        <f ca="1"/>
        <v>155.59</v>
      </c>
      <c r="EQ14" vm="2719">
        <f ca="1"/>
        <v>158.04</v>
      </c>
      <c r="ER14" vm="2720">
        <f ca="1"/>
        <v>157.77000000000001</v>
      </c>
      <c r="ES14" vm="677">
        <f ca="1"/>
        <v>161.22999999999999</v>
      </c>
      <c r="ET14" vm="2721">
        <f ca="1"/>
        <v>161.97</v>
      </c>
      <c r="EU14" vm="2722">
        <f ca="1"/>
        <v>159.15</v>
      </c>
      <c r="EV14" vm="2723">
        <f ca="1"/>
        <v>156.99</v>
      </c>
      <c r="EW14" vm="760">
        <f ca="1"/>
        <v>154.09</v>
      </c>
      <c r="EX14" vm="2724">
        <f ca="1"/>
        <v>155.07</v>
      </c>
      <c r="EY14" vm="679">
        <f ca="1"/>
        <v>157.54</v>
      </c>
      <c r="EZ14" vm="2725">
        <f ca="1"/>
        <v>157.84</v>
      </c>
      <c r="FA14" vm="1105">
        <f ca="1"/>
        <v>156.6</v>
      </c>
      <c r="FB14" vm="2726">
        <f ca="1"/>
        <v>159.57</v>
      </c>
      <c r="FC14" vm="2727">
        <f ca="1"/>
        <v>160.47</v>
      </c>
      <c r="FD14" vm="2728">
        <f ca="1"/>
        <v>152.62</v>
      </c>
      <c r="FE14" vm="2729">
        <f ca="1"/>
        <v>148.55000000000001</v>
      </c>
      <c r="FF14" vm="2730">
        <f ca="1"/>
        <v>144.66</v>
      </c>
      <c r="FG14" vm="2731">
        <f ca="1"/>
        <v>143.22999999999999</v>
      </c>
      <c r="FH14" vm="2732">
        <f ca="1"/>
        <v>142.41</v>
      </c>
      <c r="FI14" vm="2733">
        <f ca="1"/>
        <v>144.49</v>
      </c>
      <c r="FJ14" vm="818">
        <f ca="1"/>
        <v>144.99</v>
      </c>
      <c r="FK14" vm="2734">
        <f ca="1"/>
        <v>145.02000000000001</v>
      </c>
      <c r="FL14" vm="2735">
        <f ca="1"/>
        <v>144.15</v>
      </c>
      <c r="FM14" vm="2736">
        <f ca="1"/>
        <v>144.66999999999999</v>
      </c>
      <c r="FN14" vm="2737">
        <f ca="1"/>
        <v>146.80000000000001</v>
      </c>
      <c r="FO14" vm="2628">
        <f ca="1"/>
        <v>147.27000000000001</v>
      </c>
      <c r="FP14" vm="2738">
        <f ca="1"/>
        <v>146.83000000000001</v>
      </c>
      <c r="FQ14" vm="2739">
        <f ca="1"/>
        <v>144.69</v>
      </c>
      <c r="FR14" vm="841">
        <f ca="1"/>
        <v>145.32</v>
      </c>
      <c r="FS14" vm="2740">
        <f ca="1"/>
        <v>145.72999999999999</v>
      </c>
      <c r="FT14" vm="2741">
        <f ca="1"/>
        <v>147.62</v>
      </c>
      <c r="FU14" vm="2742">
        <f ca="1"/>
        <v>148.5</v>
      </c>
      <c r="FV14" vm="2743">
        <f ca="1"/>
        <v>146.94999999999999</v>
      </c>
      <c r="FW14" vm="2744">
        <f ca="1"/>
        <v>146</v>
      </c>
      <c r="FX14" vm="1252">
        <f ca="1"/>
        <v>147.41999999999999</v>
      </c>
      <c r="FY14" vm="773">
        <f ca="1"/>
        <v>147.94999999999999</v>
      </c>
      <c r="FZ14" vm="2730">
        <f ca="1"/>
        <v>144.66</v>
      </c>
      <c r="GA14" vm="2745">
        <f ca="1"/>
        <v>142.07</v>
      </c>
      <c r="GB14" vm="806">
        <f ca="1"/>
        <v>140.93</v>
      </c>
      <c r="GC14" vm="2746">
        <f ca="1"/>
        <v>138.56</v>
      </c>
      <c r="GD14" vm="2747">
        <f ca="1"/>
        <v>140.30000000000001</v>
      </c>
      <c r="GE14" vm="2748">
        <f ca="1"/>
        <v>138.22999999999999</v>
      </c>
      <c r="GF14" vm="2749">
        <f ca="1"/>
        <v>137.88</v>
      </c>
      <c r="GG14" vm="2750">
        <f ca="1"/>
        <v>139.21</v>
      </c>
      <c r="GH14" vm="2751">
        <f ca="1"/>
        <v>140.61000000000001</v>
      </c>
      <c r="GI14" vm="2633">
        <f ca="1"/>
        <v>142.09</v>
      </c>
      <c r="GJ14" vm="558">
        <f ca="1"/>
        <v>143.41</v>
      </c>
      <c r="GK14" vm="1076">
        <f ca="1"/>
        <v>143.96</v>
      </c>
      <c r="GL14" vm="818">
        <f ca="1"/>
        <v>144.99</v>
      </c>
      <c r="GM14" vm="2752">
        <f ca="1"/>
        <v>145.68</v>
      </c>
      <c r="GN14" vm="2753">
        <f ca="1"/>
        <v>147.54</v>
      </c>
      <c r="GO14" vm="2754">
        <f ca="1"/>
        <v>147.44999999999999</v>
      </c>
      <c r="GP14" vm="2755">
        <f ca="1"/>
        <v>143.97</v>
      </c>
      <c r="GQ14" vm="2756">
        <f ca="1"/>
        <v>141.99</v>
      </c>
      <c r="GR14" vm="724">
        <f ca="1"/>
        <v>145.49</v>
      </c>
      <c r="GS14" vm="2628">
        <f ca="1"/>
        <v>147.27000000000001</v>
      </c>
      <c r="GT14" vm="2757">
        <f ca="1"/>
        <v>149.69999999999999</v>
      </c>
      <c r="GU14" vm="2758">
        <f ca="1"/>
        <v>150.94999999999999</v>
      </c>
      <c r="GV14" vm="2759">
        <f ca="1"/>
        <v>151.25</v>
      </c>
      <c r="GW14" vm="2760">
        <f ca="1"/>
        <v>150.74</v>
      </c>
      <c r="GX14" vm="2761">
        <f ca="1"/>
        <v>151.12</v>
      </c>
      <c r="GY14" vm="2762">
        <f ca="1"/>
        <v>148.75</v>
      </c>
      <c r="GZ14" vm="2763">
        <f ca="1"/>
        <v>149.65</v>
      </c>
      <c r="HA14" vm="2764">
        <f ca="1"/>
        <v>150.62</v>
      </c>
      <c r="HB14" vm="2765">
        <f ca="1"/>
        <v>151.41999999999999</v>
      </c>
      <c r="HC14" vm="2766">
        <f ca="1"/>
        <v>151.78</v>
      </c>
      <c r="HD14" vm="2767">
        <f ca="1"/>
        <v>147.72999999999999</v>
      </c>
      <c r="HE14" vm="834">
        <f ca="1"/>
        <v>148.72999999999999</v>
      </c>
      <c r="HF14" vm="2768">
        <f ca="1"/>
        <v>151.19999999999999</v>
      </c>
      <c r="HG14" vm="2769">
        <f ca="1"/>
        <v>150.75</v>
      </c>
      <c r="HH14" vm="2770">
        <f ca="1"/>
        <v>150.88</v>
      </c>
      <c r="HI14" vm="1198">
        <f ca="1"/>
        <v>150.91999999999999</v>
      </c>
      <c r="HJ14" vm="2771">
        <f ca="1"/>
        <v>150.47999999999999</v>
      </c>
      <c r="HK14" vm="2772">
        <f ca="1"/>
        <v>150.44999999999999</v>
      </c>
      <c r="HL14" vm="2773">
        <f ca="1"/>
        <v>150.81</v>
      </c>
      <c r="HM14" vm="2774">
        <f ca="1"/>
        <v>150.54</v>
      </c>
      <c r="HN14" vm="2775">
        <f ca="1"/>
        <v>148.52000000000001</v>
      </c>
      <c r="HO14" vm="2776">
        <f ca="1"/>
        <v>148.05000000000001</v>
      </c>
      <c r="HP14" vm="2777">
        <f ca="1"/>
        <v>148.82</v>
      </c>
      <c r="HQ14" vm="2778">
        <f ca="1"/>
        <v>153.07</v>
      </c>
      <c r="HR14" vm="2779">
        <f ca="1"/>
        <v>153.97</v>
      </c>
      <c r="HS14" vm="1258">
        <f ca="1"/>
        <v>153.41</v>
      </c>
      <c r="HT14" vm="2780">
        <f ca="1"/>
        <v>157.72</v>
      </c>
      <c r="HU14" vm="2781">
        <f ca="1"/>
        <v>156.77000000000001</v>
      </c>
      <c r="HV14" vm="2782">
        <f ca="1"/>
        <v>156.93</v>
      </c>
      <c r="HW14" vm="866">
        <f ca="1"/>
        <v>156.5</v>
      </c>
      <c r="HX14" vm="2783">
        <f ca="1"/>
        <v>155.29</v>
      </c>
      <c r="HY14" vm="2784">
        <f ca="1"/>
        <v>158.72</v>
      </c>
      <c r="HZ14" vm="2785">
        <f ca="1"/>
        <v>161.80000000000001</v>
      </c>
      <c r="IA14" vm="2786">
        <f ca="1"/>
        <v>161.41999999999999</v>
      </c>
      <c r="IB14" vm="2787">
        <f ca="1"/>
        <v>160.76</v>
      </c>
      <c r="IC14" vm="2788">
        <f ca="1"/>
        <v>159.6</v>
      </c>
      <c r="ID14" vm="2789">
        <f ca="1"/>
        <v>161.33000000000001</v>
      </c>
      <c r="IE14" vm="2790">
        <f ca="1"/>
        <v>161.63</v>
      </c>
      <c r="IF14" vm="2791">
        <f ca="1"/>
        <v>162.36000000000001</v>
      </c>
      <c r="IG14" vm="2792">
        <f ca="1"/>
        <v>160.36000000000001</v>
      </c>
      <c r="IH14" vm="2793">
        <f ca="1"/>
        <v>162.53</v>
      </c>
      <c r="II14" vm="2794">
        <f ca="1"/>
        <v>162.11000000000001</v>
      </c>
      <c r="IJ14" vm="1391">
        <f ca="1"/>
        <v>161.93</v>
      </c>
      <c r="IK14" vm="681">
        <f ca="1"/>
        <v>162.21</v>
      </c>
      <c r="IL14" vm="2682">
        <f ca="1"/>
        <v>161.91999999999999</v>
      </c>
      <c r="IM14" vm="740">
        <f ca="1"/>
        <v>158.32</v>
      </c>
      <c r="IN14" vm="2795">
        <f ca="1"/>
        <v>159.33000000000001</v>
      </c>
      <c r="IO14" vm="2796">
        <f ca="1"/>
        <v>155.24</v>
      </c>
      <c r="IP14" vm="2797">
        <f ca="1"/>
        <v>157.08000000000001</v>
      </c>
      <c r="IQ14" vm="2798">
        <f ca="1"/>
        <v>157</v>
      </c>
    </row>
    <row r="15" spans="1:251">
      <c r="A15" cm="1" vm="2799">
        <f t="array" aca="1" ref="A15:IQ15" ca="1">TRANSPOSE(_xlfn.STOCKHISTORY(Table3[[#This Row],[Stock Name ]],TODAY()-365,TODAY(),0,0,1))</f>
        <v>49.33</v>
      </c>
      <c r="B15" vm="2800">
        <f ca="1"/>
        <v>49.69</v>
      </c>
      <c r="C15" vm="2801">
        <f ca="1"/>
        <v>49.44</v>
      </c>
      <c r="D15" vm="2802">
        <f ca="1"/>
        <v>49.87</v>
      </c>
      <c r="E15" vm="2803">
        <f ca="1"/>
        <v>50.24</v>
      </c>
      <c r="F15" vm="2804">
        <f ca="1"/>
        <v>50.18</v>
      </c>
      <c r="G15" vm="2805">
        <f ca="1"/>
        <v>49.8</v>
      </c>
      <c r="H15" vm="2806">
        <f ca="1"/>
        <v>49.7</v>
      </c>
      <c r="I15" vm="2807">
        <f ca="1"/>
        <v>50.09</v>
      </c>
      <c r="J15" vm="2808">
        <f ca="1"/>
        <v>50.28</v>
      </c>
      <c r="K15" vm="2809">
        <f ca="1"/>
        <v>50.44</v>
      </c>
      <c r="L15" vm="2810">
        <f ca="1"/>
        <v>50.48</v>
      </c>
      <c r="M15" vm="2811">
        <f ca="1"/>
        <v>50.52</v>
      </c>
      <c r="N15" vm="2812">
        <f ca="1"/>
        <v>50.51</v>
      </c>
      <c r="O15" vm="2812">
        <f ca="1"/>
        <v>50.51</v>
      </c>
      <c r="P15" vm="2813">
        <f ca="1"/>
        <v>50.08</v>
      </c>
      <c r="Q15" vm="2807">
        <f ca="1"/>
        <v>50.09</v>
      </c>
      <c r="R15" vm="2814">
        <f ca="1"/>
        <v>50.46</v>
      </c>
      <c r="S15" vm="2815">
        <f ca="1"/>
        <v>49.91</v>
      </c>
      <c r="T15" vm="2803">
        <f ca="1"/>
        <v>50.24</v>
      </c>
      <c r="U15" vm="2809">
        <f ca="1"/>
        <v>50.44</v>
      </c>
      <c r="V15" vm="2816">
        <f ca="1"/>
        <v>50.34</v>
      </c>
      <c r="W15" vm="2817">
        <f ca="1"/>
        <v>50.59</v>
      </c>
      <c r="X15" vm="2818">
        <f ca="1"/>
        <v>50.3</v>
      </c>
      <c r="Y15" vm="2819">
        <f ca="1"/>
        <v>50.75</v>
      </c>
      <c r="Z15" vm="2820">
        <f ca="1"/>
        <v>51.27</v>
      </c>
      <c r="AA15" vm="2821">
        <f ca="1"/>
        <v>51.57</v>
      </c>
      <c r="AB15" vm="2822">
        <f ca="1"/>
        <v>51.76</v>
      </c>
      <c r="AC15" vm="2823">
        <f ca="1"/>
        <v>51.31</v>
      </c>
      <c r="AD15" vm="2824">
        <f ca="1"/>
        <v>52.33</v>
      </c>
      <c r="AE15" vm="2825">
        <f ca="1"/>
        <v>52.14</v>
      </c>
      <c r="AF15" vm="2826">
        <f ca="1"/>
        <v>52.29</v>
      </c>
      <c r="AG15" vm="2827">
        <f ca="1"/>
        <v>52.24</v>
      </c>
      <c r="AH15" vm="2804">
        <f ca="1"/>
        <v>50.18</v>
      </c>
      <c r="AI15" vm="2804">
        <f ca="1"/>
        <v>50.18</v>
      </c>
      <c r="AJ15" vm="2804">
        <f ca="1"/>
        <v>50.18</v>
      </c>
      <c r="AK15" vm="2828">
        <f ca="1"/>
        <v>49.51</v>
      </c>
      <c r="AL15" vm="2829">
        <f ca="1"/>
        <v>49.98</v>
      </c>
      <c r="AM15" vm="2830">
        <f ca="1"/>
        <v>49.77</v>
      </c>
      <c r="AN15" vm="2831">
        <f ca="1"/>
        <v>49.95</v>
      </c>
      <c r="AO15" vm="2832">
        <f ca="1"/>
        <v>50.13</v>
      </c>
      <c r="AP15" vm="2833">
        <f ca="1"/>
        <v>49.99</v>
      </c>
      <c r="AQ15" vm="2834">
        <f ca="1"/>
        <v>49.64</v>
      </c>
      <c r="AR15" vm="2808">
        <f ca="1"/>
        <v>50.28</v>
      </c>
      <c r="AS15" vm="2835">
        <f ca="1"/>
        <v>49.06</v>
      </c>
      <c r="AT15" vm="2836">
        <f ca="1"/>
        <v>48.44</v>
      </c>
      <c r="AU15" vm="2837">
        <f ca="1"/>
        <v>48.28</v>
      </c>
      <c r="AV15" vm="2838">
        <f ca="1"/>
        <v>48.48</v>
      </c>
      <c r="AW15" vm="2839">
        <f ca="1"/>
        <v>48.57</v>
      </c>
      <c r="AX15" vm="2840">
        <f ca="1"/>
        <v>48.86</v>
      </c>
      <c r="AY15" vm="2841">
        <f ca="1"/>
        <v>48.4</v>
      </c>
      <c r="AZ15" vm="2842">
        <f ca="1"/>
        <v>48.31</v>
      </c>
      <c r="BA15" vm="2843">
        <f ca="1"/>
        <v>48.06</v>
      </c>
      <c r="BB15" vm="2844">
        <f ca="1"/>
        <v>48.37</v>
      </c>
      <c r="BC15" vm="2841">
        <f ca="1"/>
        <v>48.4</v>
      </c>
      <c r="BD15" vm="2845">
        <f ca="1"/>
        <v>49.13</v>
      </c>
      <c r="BE15" vm="2846">
        <f ca="1"/>
        <v>48.95</v>
      </c>
      <c r="BF15" vm="2847">
        <f ca="1"/>
        <v>49.17</v>
      </c>
      <c r="BG15" vm="2848">
        <f ca="1"/>
        <v>48.9</v>
      </c>
      <c r="BH15" vm="2849">
        <f ca="1"/>
        <v>49.5</v>
      </c>
      <c r="BI15" vm="2850">
        <f ca="1"/>
        <v>50.22</v>
      </c>
      <c r="BJ15" vm="2851">
        <f ca="1"/>
        <v>50.07</v>
      </c>
      <c r="BK15" vm="2852">
        <f ca="1"/>
        <v>50.11</v>
      </c>
      <c r="BL15" vm="2853">
        <f ca="1"/>
        <v>49.79</v>
      </c>
      <c r="BM15" vm="2854">
        <f ca="1"/>
        <v>48.93</v>
      </c>
      <c r="BN15" vm="2855">
        <f ca="1"/>
        <v>49.27</v>
      </c>
      <c r="BO15" vm="2856">
        <f ca="1"/>
        <v>49.14</v>
      </c>
      <c r="BP15" vm="2857">
        <f ca="1"/>
        <v>49.55</v>
      </c>
      <c r="BQ15" vm="2858">
        <f ca="1"/>
        <v>49.88</v>
      </c>
      <c r="BR15" vm="2859">
        <f ca="1"/>
        <v>49.78</v>
      </c>
      <c r="BS15" vm="2860">
        <f ca="1"/>
        <v>49.68</v>
      </c>
      <c r="BT15" vm="2857">
        <f ca="1"/>
        <v>49.55</v>
      </c>
      <c r="BU15" vm="2830">
        <f ca="1"/>
        <v>49.77</v>
      </c>
      <c r="BV15" vm="2815">
        <f ca="1"/>
        <v>49.91</v>
      </c>
      <c r="BW15" vm="2861">
        <f ca="1"/>
        <v>50.04</v>
      </c>
      <c r="BX15" vm="2862">
        <f ca="1"/>
        <v>49.36</v>
      </c>
      <c r="BY15" vm="2863">
        <f ca="1"/>
        <v>48.74</v>
      </c>
      <c r="BZ15" vm="2864">
        <f ca="1"/>
        <v>48.11</v>
      </c>
      <c r="CA15" vm="2865">
        <f ca="1"/>
        <v>48.55</v>
      </c>
      <c r="CB15" vm="2866">
        <f ca="1"/>
        <v>48.24</v>
      </c>
      <c r="CC15" vm="2867">
        <f ca="1"/>
        <v>50.01</v>
      </c>
      <c r="CD15" vm="2868">
        <f ca="1"/>
        <v>49.21</v>
      </c>
      <c r="CE15" vm="2869">
        <f ca="1"/>
        <v>49.53</v>
      </c>
      <c r="CF15" vm="2870">
        <f ca="1"/>
        <v>48.49</v>
      </c>
      <c r="CG15" vm="2866">
        <f ca="1"/>
        <v>48.24</v>
      </c>
      <c r="CH15" vm="2871">
        <f ca="1"/>
        <v>47.92</v>
      </c>
      <c r="CI15" vm="2872">
        <f ca="1"/>
        <v>47.79</v>
      </c>
      <c r="CJ15" vm="2864">
        <f ca="1"/>
        <v>48.11</v>
      </c>
      <c r="CK15" vm="2873">
        <f ca="1"/>
        <v>48.32</v>
      </c>
      <c r="CL15" vm="2874">
        <f ca="1"/>
        <v>48.14</v>
      </c>
      <c r="CM15" vm="2873">
        <f ca="1"/>
        <v>48.32</v>
      </c>
      <c r="CN15" vm="2875">
        <f ca="1"/>
        <v>48.35</v>
      </c>
      <c r="CO15" vm="2876">
        <f ca="1"/>
        <v>48.1</v>
      </c>
      <c r="CP15" vm="2877">
        <f ca="1"/>
        <v>47.86</v>
      </c>
      <c r="CQ15" vm="2878">
        <f ca="1"/>
        <v>47.78</v>
      </c>
      <c r="CR15" vm="2879">
        <f ca="1"/>
        <v>46.98</v>
      </c>
      <c r="CS15" vm="2880">
        <f ca="1"/>
        <v>46.84</v>
      </c>
      <c r="CT15" vm="2881">
        <f ca="1"/>
        <v>46.79</v>
      </c>
      <c r="CU15" vm="2882">
        <f ca="1"/>
        <v>47.12</v>
      </c>
      <c r="CV15" vm="2883">
        <f ca="1"/>
        <v>47.11</v>
      </c>
      <c r="CW15" vm="2884">
        <f ca="1"/>
        <v>47.28</v>
      </c>
      <c r="CX15" vm="2885">
        <f ca="1"/>
        <v>48</v>
      </c>
      <c r="CY15" vm="2872">
        <f ca="1"/>
        <v>47.79</v>
      </c>
      <c r="CZ15" vm="2843">
        <f ca="1"/>
        <v>48.06</v>
      </c>
      <c r="DA15" vm="2886">
        <f ca="1"/>
        <v>48.68</v>
      </c>
      <c r="DB15" vm="2846">
        <f ca="1"/>
        <v>48.95</v>
      </c>
      <c r="DC15" vm="2887">
        <f ca="1"/>
        <v>49.67</v>
      </c>
      <c r="DD15" vm="2888">
        <f ca="1"/>
        <v>48.34</v>
      </c>
      <c r="DE15" vm="2889">
        <f ca="1"/>
        <v>48.17</v>
      </c>
      <c r="DF15" vm="2890">
        <f ca="1"/>
        <v>47.13</v>
      </c>
      <c r="DG15" vm="2891">
        <f ca="1"/>
        <v>46.94</v>
      </c>
      <c r="DH15" vm="2892">
        <f ca="1"/>
        <v>47.43</v>
      </c>
      <c r="DI15" vm="2893">
        <f ca="1"/>
        <v>46.6</v>
      </c>
      <c r="DJ15" vm="2894">
        <f ca="1"/>
        <v>46.42</v>
      </c>
      <c r="DK15" vm="2895">
        <f ca="1"/>
        <v>46.28</v>
      </c>
      <c r="DL15" vm="2111">
        <f ca="1"/>
        <v>46.08</v>
      </c>
      <c r="DM15" vm="2896">
        <f ca="1"/>
        <v>46.12</v>
      </c>
      <c r="DN15" vm="2897">
        <f ca="1"/>
        <v>46.5</v>
      </c>
      <c r="DO15" vm="2898">
        <f ca="1"/>
        <v>46.65</v>
      </c>
      <c r="DP15" vm="2899">
        <f ca="1"/>
        <v>47.42</v>
      </c>
      <c r="DQ15" vm="2900">
        <f ca="1"/>
        <v>46.02</v>
      </c>
      <c r="DR15" vm="2901">
        <f ca="1"/>
        <v>46.23</v>
      </c>
      <c r="DS15" vm="2902">
        <f ca="1"/>
        <v>45.84</v>
      </c>
      <c r="DT15" vm="2903">
        <f ca="1"/>
        <v>45.85</v>
      </c>
      <c r="DU15" vm="2904">
        <f ca="1"/>
        <v>45.77</v>
      </c>
      <c r="DV15" vm="2905">
        <f ca="1"/>
        <v>45.62</v>
      </c>
      <c r="DW15" vm="2906">
        <f ca="1"/>
        <v>45.52</v>
      </c>
      <c r="DX15" vm="2907">
        <f ca="1"/>
        <v>45.68</v>
      </c>
      <c r="DY15" vm="2908">
        <f ca="1"/>
        <v>45.69</v>
      </c>
      <c r="DZ15" vm="2909">
        <f ca="1"/>
        <v>45.97</v>
      </c>
      <c r="EA15" vm="2116">
        <f ca="1"/>
        <v>46.72</v>
      </c>
      <c r="EB15" vm="2910">
        <f ca="1"/>
        <v>47.29</v>
      </c>
      <c r="EC15" vm="2884">
        <f ca="1"/>
        <v>47.28</v>
      </c>
      <c r="ED15" vm="2911">
        <f ca="1"/>
        <v>47.38</v>
      </c>
      <c r="EE15" vm="2912">
        <f ca="1"/>
        <v>46.86</v>
      </c>
      <c r="EF15" vm="2913">
        <f ca="1"/>
        <v>47.45</v>
      </c>
      <c r="EG15" vm="2124">
        <f ca="1"/>
        <v>47.51</v>
      </c>
      <c r="EH15" vm="2914">
        <f ca="1"/>
        <v>47.52</v>
      </c>
      <c r="EI15" vm="2884">
        <f ca="1"/>
        <v>47.28</v>
      </c>
      <c r="EJ15" vm="2915">
        <f ca="1"/>
        <v>47.09</v>
      </c>
      <c r="EK15" vm="2898">
        <f ca="1"/>
        <v>46.65</v>
      </c>
      <c r="EL15" vm="2118">
        <f ca="1"/>
        <v>46.06</v>
      </c>
      <c r="EM15" vm="2916">
        <f ca="1"/>
        <v>45.8</v>
      </c>
      <c r="EN15" vm="2917">
        <f ca="1"/>
        <v>46.27</v>
      </c>
      <c r="EO15" vm="2918">
        <f ca="1"/>
        <v>46.76</v>
      </c>
      <c r="EP15" vm="2911">
        <f ca="1"/>
        <v>47.38</v>
      </c>
      <c r="EQ15" vm="2919">
        <f ca="1"/>
        <v>47.4</v>
      </c>
      <c r="ER15" vm="2899">
        <f ca="1"/>
        <v>47.42</v>
      </c>
      <c r="ES15" vm="2920">
        <f ca="1"/>
        <v>48.52</v>
      </c>
      <c r="ET15" vm="2921">
        <f ca="1"/>
        <v>48.04</v>
      </c>
      <c r="EU15" vm="2922">
        <f ca="1"/>
        <v>47.32</v>
      </c>
      <c r="EV15" vm="2126">
        <f ca="1"/>
        <v>46.82</v>
      </c>
      <c r="EW15" vm="2923">
        <f ca="1"/>
        <v>46.36</v>
      </c>
      <c r="EX15" vm="2924">
        <f ca="1"/>
        <v>46.85</v>
      </c>
      <c r="EY15" vm="2925">
        <f ca="1"/>
        <v>47.24</v>
      </c>
      <c r="EZ15" vm="2926">
        <f ca="1"/>
        <v>47.88</v>
      </c>
      <c r="FA15" vm="2927">
        <f ca="1"/>
        <v>47.99</v>
      </c>
      <c r="FB15" vm="2874">
        <f ca="1"/>
        <v>48.14</v>
      </c>
      <c r="FC15" vm="2928">
        <f ca="1"/>
        <v>48.45</v>
      </c>
      <c r="FD15" vm="2929">
        <f ca="1"/>
        <v>47.39</v>
      </c>
      <c r="FE15" vm="2930">
        <f ca="1"/>
        <v>46.66</v>
      </c>
      <c r="FF15" vm="2931">
        <f ca="1"/>
        <v>44.74</v>
      </c>
      <c r="FG15" vm="2932">
        <f ca="1"/>
        <v>45.16</v>
      </c>
      <c r="FH15" vm="2933">
        <f ca="1"/>
        <v>45.12</v>
      </c>
      <c r="FI15" vm="2934">
        <f ca="1"/>
        <v>45.83</v>
      </c>
      <c r="FJ15" vm="2935">
        <f ca="1"/>
        <v>45.47</v>
      </c>
      <c r="FK15" vm="2936">
        <f ca="1"/>
        <v>44.86</v>
      </c>
      <c r="FL15" vm="2937">
        <f ca="1"/>
        <v>45.37</v>
      </c>
      <c r="FM15" vm="2938">
        <f ca="1"/>
        <v>45.44</v>
      </c>
      <c r="FN15" vm="2939">
        <f ca="1"/>
        <v>48.53</v>
      </c>
      <c r="FO15" vm="2940">
        <f ca="1"/>
        <v>49.46</v>
      </c>
      <c r="FP15" vm="2829">
        <f ca="1"/>
        <v>49.98</v>
      </c>
      <c r="FQ15" vm="2803">
        <f ca="1"/>
        <v>50.24</v>
      </c>
      <c r="FR15" vm="2941">
        <f ca="1"/>
        <v>50.45</v>
      </c>
      <c r="FS15" vm="2850">
        <f ca="1"/>
        <v>50.22</v>
      </c>
      <c r="FT15" vm="2942">
        <f ca="1"/>
        <v>50.74</v>
      </c>
      <c r="FU15" vm="2943">
        <f ca="1"/>
        <v>50.79</v>
      </c>
      <c r="FV15" vm="2944">
        <f ca="1"/>
        <v>50.71</v>
      </c>
      <c r="FW15" vm="2945">
        <f ca="1"/>
        <v>49.85</v>
      </c>
      <c r="FX15" vm="2946">
        <f ca="1"/>
        <v>50.39</v>
      </c>
      <c r="FY15" vm="2947">
        <f ca="1"/>
        <v>50.54</v>
      </c>
      <c r="FZ15" vm="2948">
        <f ca="1"/>
        <v>50.06</v>
      </c>
      <c r="GA15" vm="2806">
        <f ca="1"/>
        <v>49.7</v>
      </c>
      <c r="GB15" vm="2845">
        <f ca="1"/>
        <v>49.13</v>
      </c>
      <c r="GC15" vm="2949">
        <f ca="1"/>
        <v>48.5</v>
      </c>
      <c r="GD15" vm="2950">
        <f ca="1"/>
        <v>48.7</v>
      </c>
      <c r="GE15" vm="2951">
        <f ca="1"/>
        <v>48.79</v>
      </c>
      <c r="GF15" vm="2952">
        <f ca="1"/>
        <v>49.11</v>
      </c>
      <c r="GG15" vm="2953">
        <f ca="1"/>
        <v>49.61</v>
      </c>
      <c r="GH15" vm="2805">
        <f ca="1"/>
        <v>49.8</v>
      </c>
      <c r="GI15" vm="2954">
        <f ca="1"/>
        <v>51.03</v>
      </c>
      <c r="GJ15" vm="2955">
        <f ca="1"/>
        <v>50.61</v>
      </c>
      <c r="GK15" vm="2956">
        <f ca="1"/>
        <v>50.57</v>
      </c>
      <c r="GL15" vm="2957">
        <f ca="1"/>
        <v>51.44</v>
      </c>
      <c r="GM15" vm="2958">
        <f ca="1"/>
        <v>51.97</v>
      </c>
      <c r="GN15" vm="2959">
        <f ca="1"/>
        <v>52.19</v>
      </c>
      <c r="GO15" vm="2960">
        <f ca="1"/>
        <v>52.52</v>
      </c>
      <c r="GP15" vm="2961">
        <f ca="1"/>
        <v>52.65</v>
      </c>
      <c r="GQ15" vm="2962">
        <f ca="1"/>
        <v>52.85</v>
      </c>
      <c r="GR15" vm="2963">
        <f ca="1"/>
        <v>53.02</v>
      </c>
      <c r="GS15" vm="2964">
        <f ca="1"/>
        <v>53.22</v>
      </c>
      <c r="GT15" vm="2965">
        <f ca="1"/>
        <v>52.74</v>
      </c>
      <c r="GU15" vm="2966">
        <f ca="1"/>
        <v>52.62</v>
      </c>
      <c r="GV15" vm="2967">
        <f ca="1"/>
        <v>52.43</v>
      </c>
      <c r="GW15" vm="2968">
        <f ca="1"/>
        <v>52.75</v>
      </c>
      <c r="GX15" vm="2969">
        <f ca="1"/>
        <v>52.51</v>
      </c>
      <c r="GY15" vm="2970">
        <f ca="1"/>
        <v>52.73</v>
      </c>
      <c r="GZ15" vm="2971">
        <f ca="1"/>
        <v>53.56</v>
      </c>
      <c r="HA15" vm="2972">
        <f ca="1"/>
        <v>53.54</v>
      </c>
      <c r="HB15" vm="2973">
        <f ca="1"/>
        <v>54.25</v>
      </c>
      <c r="HC15" vm="2974">
        <f ca="1"/>
        <v>54.27</v>
      </c>
      <c r="HD15" vm="2975">
        <f ca="1"/>
        <v>54.08</v>
      </c>
      <c r="HE15" vm="2976">
        <f ca="1"/>
        <v>56.38</v>
      </c>
      <c r="HF15" vm="2977">
        <f ca="1"/>
        <v>56.4</v>
      </c>
      <c r="HG15" vm="2978">
        <f ca="1"/>
        <v>56.76</v>
      </c>
      <c r="HH15" vm="2979">
        <f ca="1"/>
        <v>56.59</v>
      </c>
      <c r="HI15" vm="2980">
        <f ca="1"/>
        <v>56.6</v>
      </c>
      <c r="HJ15" vm="2981">
        <f ca="1"/>
        <v>56.28</v>
      </c>
      <c r="HK15" vm="2982">
        <f ca="1"/>
        <v>55.96</v>
      </c>
      <c r="HL15" vm="2983">
        <f ca="1"/>
        <v>55.74</v>
      </c>
      <c r="HM15" vm="2984">
        <f ca="1"/>
        <v>55.28</v>
      </c>
      <c r="HN15" vm="2985">
        <f ca="1"/>
        <v>55.68</v>
      </c>
      <c r="HO15" vm="2986">
        <f ca="1"/>
        <v>55.59</v>
      </c>
      <c r="HP15" vm="2987">
        <f ca="1"/>
        <v>54.77</v>
      </c>
      <c r="HQ15" vm="2988">
        <f ca="1"/>
        <v>55.5</v>
      </c>
      <c r="HR15" vm="2989">
        <f ca="1"/>
        <v>55.83</v>
      </c>
      <c r="HS15" vm="2990">
        <f ca="1"/>
        <v>56.16</v>
      </c>
      <c r="HT15" vm="2991">
        <f ca="1"/>
        <v>57.87</v>
      </c>
      <c r="HU15" vm="2992">
        <f ca="1"/>
        <v>58.08</v>
      </c>
      <c r="HV15" vm="2993">
        <f ca="1"/>
        <v>58.06</v>
      </c>
      <c r="HW15" vm="2994">
        <f ca="1"/>
        <v>58.63</v>
      </c>
      <c r="HX15" vm="2995">
        <f ca="1"/>
        <v>58.71</v>
      </c>
      <c r="HY15" vm="2996">
        <f ca="1"/>
        <v>59.18</v>
      </c>
      <c r="HZ15" vm="2997">
        <f ca="1"/>
        <v>57.92</v>
      </c>
      <c r="IA15" vm="2998">
        <f ca="1"/>
        <v>57.46</v>
      </c>
      <c r="IB15" vm="2999">
        <f ca="1"/>
        <v>57.31</v>
      </c>
      <c r="IC15" vm="3000">
        <f ca="1"/>
        <v>57.01</v>
      </c>
      <c r="ID15" vm="3001">
        <f ca="1"/>
        <v>57.5</v>
      </c>
      <c r="IE15" vm="3002">
        <f ca="1"/>
        <v>57.56</v>
      </c>
      <c r="IF15" vm="3003">
        <f ca="1"/>
        <v>58.55</v>
      </c>
      <c r="IG15" vm="3004">
        <f ca="1"/>
        <v>58.74</v>
      </c>
      <c r="IH15" vm="3005">
        <f ca="1"/>
        <v>59.59</v>
      </c>
      <c r="II15" vm="3006">
        <f ca="1"/>
        <v>59.29</v>
      </c>
      <c r="IJ15" vm="3007">
        <f ca="1"/>
        <v>59.21</v>
      </c>
      <c r="IK15" vm="3008">
        <f ca="1"/>
        <v>59.43</v>
      </c>
      <c r="IL15" vm="3009">
        <f ca="1"/>
        <v>59.48</v>
      </c>
      <c r="IM15" vm="3010">
        <f ca="1"/>
        <v>59.62</v>
      </c>
      <c r="IN15" vm="3011">
        <f ca="1"/>
        <v>60.02</v>
      </c>
      <c r="IO15" vm="3012">
        <f ca="1"/>
        <v>59.89</v>
      </c>
      <c r="IP15" vm="3013">
        <f ca="1"/>
        <v>58.95</v>
      </c>
      <c r="IQ15" vm="3014">
        <f ca="1"/>
        <v>58.72</v>
      </c>
    </row>
    <row r="16" spans="1:251">
      <c r="A16" cm="1" vm="2843">
        <f t="array" aca="1" ref="A16:IQ16" ca="1">TRANSPOSE(_xlfn.STOCKHISTORY(Table3[[#This Row],[Stock Name ]],TODAY()-365,TODAY(),0,0,1))</f>
        <v>48.06</v>
      </c>
      <c r="B16" vm="3015">
        <f ca="1"/>
        <v>49.34</v>
      </c>
      <c r="C16" vm="2803">
        <f ca="1"/>
        <v>50.24</v>
      </c>
      <c r="D16" vm="3016">
        <f ca="1"/>
        <v>49.83</v>
      </c>
      <c r="E16" vm="3017">
        <f ca="1"/>
        <v>49.66</v>
      </c>
      <c r="F16" vm="3018">
        <f ca="1"/>
        <v>50.93</v>
      </c>
      <c r="G16" vm="2851">
        <f ca="1"/>
        <v>50.07</v>
      </c>
      <c r="H16" vm="3019">
        <f ca="1"/>
        <v>50.6</v>
      </c>
      <c r="I16" vm="3020">
        <f ca="1"/>
        <v>50.86</v>
      </c>
      <c r="J16" vm="3021">
        <f ca="1"/>
        <v>51.34</v>
      </c>
      <c r="K16" vm="3022">
        <f ca="1"/>
        <v>51.46</v>
      </c>
      <c r="L16" vm="3023">
        <f ca="1"/>
        <v>51.52</v>
      </c>
      <c r="M16" vm="2957">
        <f ca="1"/>
        <v>51.44</v>
      </c>
      <c r="N16" vm="3024">
        <f ca="1"/>
        <v>53.04</v>
      </c>
      <c r="O16" vm="3025">
        <f ca="1"/>
        <v>53.64</v>
      </c>
      <c r="P16" vm="3026">
        <f ca="1"/>
        <v>53.77</v>
      </c>
      <c r="Q16" vm="3027">
        <f ca="1"/>
        <v>54.33</v>
      </c>
      <c r="R16" vm="3028">
        <f ca="1"/>
        <v>54.01</v>
      </c>
      <c r="S16" vm="3029">
        <f ca="1"/>
        <v>53.48</v>
      </c>
      <c r="T16" vm="2963">
        <f ca="1"/>
        <v>53.02</v>
      </c>
      <c r="U16" vm="3030">
        <f ca="1"/>
        <v>52.08</v>
      </c>
      <c r="V16" vm="2966">
        <f ca="1"/>
        <v>52.62</v>
      </c>
      <c r="W16" vm="3031">
        <f ca="1"/>
        <v>51.87</v>
      </c>
      <c r="X16" vm="3032">
        <f ca="1"/>
        <v>51.36</v>
      </c>
      <c r="Y16" vm="3033">
        <f ca="1"/>
        <v>51.11</v>
      </c>
      <c r="Z16" vm="3023">
        <f ca="1"/>
        <v>51.52</v>
      </c>
      <c r="AA16" vm="3034">
        <f ca="1"/>
        <v>52.84</v>
      </c>
      <c r="AB16" vm="3035">
        <f ca="1"/>
        <v>53.3</v>
      </c>
      <c r="AC16" vm="3036">
        <f ca="1"/>
        <v>53.26</v>
      </c>
      <c r="AD16" vm="3037">
        <f ca="1"/>
        <v>53.73</v>
      </c>
      <c r="AE16" vm="3038">
        <f ca="1"/>
        <v>53.67</v>
      </c>
      <c r="AF16" vm="3039">
        <f ca="1"/>
        <v>54.11</v>
      </c>
      <c r="AG16" vm="3040">
        <f ca="1"/>
        <v>57.09</v>
      </c>
      <c r="AH16" vm="3041">
        <f ca="1"/>
        <v>56.17</v>
      </c>
      <c r="AI16" vm="3042">
        <f ca="1"/>
        <v>56.06</v>
      </c>
      <c r="AJ16" vm="3043">
        <f ca="1"/>
        <v>55.54</v>
      </c>
      <c r="AK16" vm="3044">
        <f ca="1"/>
        <v>54.5</v>
      </c>
      <c r="AL16" vm="3045">
        <f ca="1"/>
        <v>54.35</v>
      </c>
      <c r="AM16" vm="3046">
        <f ca="1"/>
        <v>54.54</v>
      </c>
      <c r="AN16" vm="3047">
        <f ca="1"/>
        <v>54.29</v>
      </c>
      <c r="AO16" vm="3048">
        <f ca="1"/>
        <v>53.99</v>
      </c>
      <c r="AP16" vm="3049">
        <f ca="1"/>
        <v>53.92</v>
      </c>
      <c r="AQ16" vm="3050">
        <f ca="1"/>
        <v>52.76</v>
      </c>
      <c r="AR16" vm="3051">
        <f ca="1"/>
        <v>53.98</v>
      </c>
      <c r="AS16" vm="3052">
        <f ca="1"/>
        <v>55.21</v>
      </c>
      <c r="AT16" vm="3053">
        <f ca="1"/>
        <v>54.85</v>
      </c>
      <c r="AU16" vm="3054">
        <f ca="1"/>
        <v>55.42</v>
      </c>
      <c r="AV16" vm="3055">
        <f ca="1"/>
        <v>55.33</v>
      </c>
      <c r="AW16" vm="3056">
        <f ca="1"/>
        <v>55.9</v>
      </c>
      <c r="AX16" vm="3057">
        <f ca="1"/>
        <v>55.93</v>
      </c>
      <c r="AY16" vm="3058">
        <f ca="1"/>
        <v>55.36</v>
      </c>
      <c r="AZ16" vm="3059">
        <f ca="1"/>
        <v>55.71</v>
      </c>
      <c r="BA16" vm="3060">
        <f ca="1"/>
        <v>55.05</v>
      </c>
      <c r="BB16" vm="3061">
        <f ca="1"/>
        <v>55.49</v>
      </c>
      <c r="BC16" vm="3062">
        <f ca="1"/>
        <v>55.6</v>
      </c>
      <c r="BD16" vm="3063">
        <f ca="1"/>
        <v>56.14</v>
      </c>
      <c r="BE16" vm="3064">
        <f ca="1"/>
        <v>56.26</v>
      </c>
      <c r="BF16" vm="3065">
        <f ca="1"/>
        <v>57.29</v>
      </c>
      <c r="BG16" vm="3066">
        <f ca="1"/>
        <v>57.72</v>
      </c>
      <c r="BH16" vm="3067">
        <f ca="1"/>
        <v>57.51</v>
      </c>
      <c r="BI16" vm="3068">
        <f ca="1"/>
        <v>57.41</v>
      </c>
      <c r="BJ16" vm="3069">
        <f ca="1"/>
        <v>57.45</v>
      </c>
      <c r="BK16" vm="3070">
        <f ca="1"/>
        <v>57.76</v>
      </c>
      <c r="BL16" vm="3040">
        <f ca="1"/>
        <v>57.09</v>
      </c>
      <c r="BM16" vm="3071">
        <f ca="1"/>
        <v>57.61</v>
      </c>
      <c r="BN16" vm="2994">
        <f ca="1"/>
        <v>58.63</v>
      </c>
      <c r="BO16" vm="3072">
        <f ca="1"/>
        <v>58.86</v>
      </c>
      <c r="BP16" vm="3073">
        <f ca="1"/>
        <v>60.13</v>
      </c>
      <c r="BQ16" vm="3074">
        <f ca="1"/>
        <v>61.33</v>
      </c>
      <c r="BR16" vm="3075">
        <f ca="1"/>
        <v>60.82</v>
      </c>
      <c r="BS16" vm="3076">
        <f ca="1"/>
        <v>60.95</v>
      </c>
      <c r="BT16" vm="3077">
        <f ca="1"/>
        <v>61.66</v>
      </c>
      <c r="BU16" vm="3078">
        <f ca="1"/>
        <v>62.75</v>
      </c>
      <c r="BV16" vm="3079">
        <f ca="1"/>
        <v>63.24</v>
      </c>
      <c r="BW16" vm="3080">
        <f ca="1"/>
        <v>63.46</v>
      </c>
      <c r="BX16" vm="3081">
        <f ca="1"/>
        <v>62.84</v>
      </c>
      <c r="BY16" vm="3082">
        <f ca="1"/>
        <v>61.69</v>
      </c>
      <c r="BZ16" vm="3083">
        <f ca="1"/>
        <v>60.91</v>
      </c>
      <c r="CA16" vm="3084">
        <f ca="1"/>
        <v>61.6</v>
      </c>
      <c r="CB16" vm="3085">
        <f ca="1"/>
        <v>61.73</v>
      </c>
      <c r="CC16" vm="3077">
        <f ca="1"/>
        <v>61.66</v>
      </c>
      <c r="CD16" vm="2526">
        <f ca="1"/>
        <v>60.18</v>
      </c>
      <c r="CE16" vm="3086">
        <f ca="1"/>
        <v>60.71</v>
      </c>
      <c r="CF16" vm="3087">
        <f ca="1"/>
        <v>59.68</v>
      </c>
      <c r="CG16" vm="3088">
        <f ca="1"/>
        <v>58.56</v>
      </c>
      <c r="CH16" vm="3089">
        <f ca="1"/>
        <v>57.02</v>
      </c>
      <c r="CI16" vm="3090">
        <f ca="1"/>
        <v>58.17</v>
      </c>
      <c r="CJ16" vm="3091">
        <f ca="1"/>
        <v>58.32</v>
      </c>
      <c r="CK16" vm="3092">
        <f ca="1"/>
        <v>59.14</v>
      </c>
      <c r="CL16" vm="3076">
        <f ca="1"/>
        <v>60.95</v>
      </c>
      <c r="CM16" vm="3093">
        <f ca="1"/>
        <v>62.67</v>
      </c>
      <c r="CN16" vm="3094">
        <f ca="1"/>
        <v>62.47</v>
      </c>
      <c r="CO16" vm="3095">
        <f ca="1"/>
        <v>61.79</v>
      </c>
      <c r="CP16" vm="3096">
        <f ca="1"/>
        <v>62.66</v>
      </c>
      <c r="CQ16" vm="3097">
        <f ca="1"/>
        <v>62.26</v>
      </c>
      <c r="CR16" vm="3074">
        <f ca="1"/>
        <v>61.33</v>
      </c>
      <c r="CS16" vm="3098">
        <f ca="1"/>
        <v>61.35</v>
      </c>
      <c r="CT16" vm="3099">
        <f ca="1"/>
        <v>61.54</v>
      </c>
      <c r="CU16" vm="3100">
        <f ca="1"/>
        <v>61.52</v>
      </c>
      <c r="CV16" vm="3101">
        <f ca="1"/>
        <v>62.81</v>
      </c>
      <c r="CW16" vm="3102">
        <f ca="1"/>
        <v>62</v>
      </c>
      <c r="CX16" vm="3078">
        <f ca="1"/>
        <v>62.75</v>
      </c>
      <c r="CY16" vm="3103">
        <f ca="1"/>
        <v>63.32</v>
      </c>
      <c r="CZ16" vm="3104">
        <f ca="1"/>
        <v>63.53</v>
      </c>
      <c r="DA16" vm="3105">
        <f ca="1"/>
        <v>63.4</v>
      </c>
      <c r="DB16" vm="3106">
        <f ca="1"/>
        <v>63.59</v>
      </c>
      <c r="DC16" vm="3107">
        <f ca="1"/>
        <v>64.239999999999995</v>
      </c>
      <c r="DD16" vm="3108">
        <f ca="1"/>
        <v>64.14</v>
      </c>
      <c r="DE16" vm="3109">
        <f ca="1"/>
        <v>64.069999999999993</v>
      </c>
      <c r="DF16" vm="3110">
        <f ca="1"/>
        <v>63.16</v>
      </c>
      <c r="DG16" vm="3111">
        <f ca="1"/>
        <v>64.739999999999995</v>
      </c>
      <c r="DH16" vm="3112">
        <f ca="1"/>
        <v>63.82</v>
      </c>
      <c r="DI16" vm="3113">
        <f ca="1"/>
        <v>63.02</v>
      </c>
      <c r="DJ16" vm="3114">
        <f ca="1"/>
        <v>63.58</v>
      </c>
      <c r="DK16" vm="3115">
        <f ca="1"/>
        <v>62.45</v>
      </c>
      <c r="DL16" vm="3116">
        <f ca="1"/>
        <v>62.01</v>
      </c>
      <c r="DM16" vm="3117">
        <f ca="1"/>
        <v>61.93</v>
      </c>
      <c r="DN16" vm="3118">
        <f ca="1"/>
        <v>62.31</v>
      </c>
      <c r="DO16" vm="3119">
        <f ca="1"/>
        <v>61.92</v>
      </c>
      <c r="DP16" vm="3120">
        <f ca="1"/>
        <v>61.03</v>
      </c>
      <c r="DQ16" vm="3121">
        <f ca="1"/>
        <v>61.77</v>
      </c>
      <c r="DR16" vm="3122">
        <f ca="1"/>
        <v>61.94</v>
      </c>
      <c r="DS16" vm="3123">
        <f ca="1"/>
        <v>61.78</v>
      </c>
      <c r="DT16" vm="3124">
        <f ca="1"/>
        <v>61.43</v>
      </c>
      <c r="DU16" vm="3092">
        <f ca="1"/>
        <v>59.14</v>
      </c>
      <c r="DV16" vm="3125">
        <f ca="1"/>
        <v>60.01</v>
      </c>
      <c r="DW16" vm="3126">
        <f ca="1"/>
        <v>60.23</v>
      </c>
      <c r="DX16" vm="3127">
        <f ca="1"/>
        <v>59.33</v>
      </c>
      <c r="DY16" vm="3128">
        <f ca="1"/>
        <v>60.06</v>
      </c>
      <c r="DZ16" vm="3129">
        <f ca="1"/>
        <v>60.78</v>
      </c>
      <c r="EA16" vm="3130">
        <f ca="1"/>
        <v>60.62</v>
      </c>
      <c r="EB16" vm="3131">
        <f ca="1"/>
        <v>59.99</v>
      </c>
      <c r="EC16" vm="3132">
        <f ca="1"/>
        <v>61.34</v>
      </c>
      <c r="ED16" vm="2525">
        <f ca="1"/>
        <v>61.58</v>
      </c>
      <c r="EE16" vm="3133">
        <f ca="1"/>
        <v>61.25</v>
      </c>
      <c r="EF16" vm="3134">
        <f ca="1"/>
        <v>61.55</v>
      </c>
      <c r="EG16" vm="3080">
        <f ca="1"/>
        <v>63.46</v>
      </c>
      <c r="EH16" vm="3135">
        <f ca="1"/>
        <v>63.43</v>
      </c>
      <c r="EI16" vm="2545">
        <f ca="1"/>
        <v>64.680000000000007</v>
      </c>
      <c r="EJ16" vm="3136">
        <f ca="1"/>
        <v>64.459999999999994</v>
      </c>
      <c r="EK16" vm="3137">
        <f ca="1"/>
        <v>64.03</v>
      </c>
      <c r="EL16" vm="3111">
        <f ca="1"/>
        <v>64.739999999999995</v>
      </c>
      <c r="EM16" vm="3138">
        <f ca="1"/>
        <v>66.55</v>
      </c>
      <c r="EN16" vm="3139">
        <f ca="1"/>
        <v>66.98</v>
      </c>
      <c r="EO16" vm="2567">
        <f ca="1"/>
        <v>65.709999999999994</v>
      </c>
      <c r="EP16" vm="3140">
        <f ca="1"/>
        <v>64.52</v>
      </c>
      <c r="EQ16" vm="3141">
        <f ca="1"/>
        <v>65.14</v>
      </c>
      <c r="ER16" vm="3142">
        <f ca="1"/>
        <v>67.27</v>
      </c>
      <c r="ES16" vm="3143">
        <f ca="1"/>
        <v>67.61</v>
      </c>
      <c r="ET16" vm="3144">
        <f ca="1"/>
        <v>64.89</v>
      </c>
      <c r="EU16" vm="3141">
        <f ca="1"/>
        <v>65.14</v>
      </c>
      <c r="EV16" vm="3145">
        <f ca="1"/>
        <v>64.5</v>
      </c>
      <c r="EW16" vm="3146">
        <f ca="1"/>
        <v>64.66</v>
      </c>
      <c r="EX16" vm="3147">
        <f ca="1"/>
        <v>63.66</v>
      </c>
      <c r="EY16" vm="3148">
        <f ca="1"/>
        <v>64.37</v>
      </c>
      <c r="EZ16" vm="3149">
        <f ca="1"/>
        <v>65.180000000000007</v>
      </c>
      <c r="FA16" vm="2491">
        <f ca="1"/>
        <v>64.3</v>
      </c>
      <c r="FB16" vm="2540">
        <f ca="1"/>
        <v>65.87</v>
      </c>
      <c r="FC16" vm="2541">
        <f ca="1"/>
        <v>64.88</v>
      </c>
      <c r="FD16" vm="3150">
        <f ca="1"/>
        <v>63.28</v>
      </c>
      <c r="FE16" vm="3151">
        <f ca="1"/>
        <v>58.76</v>
      </c>
      <c r="FF16" vm="3152">
        <f ca="1"/>
        <v>56.21</v>
      </c>
      <c r="FG16" vm="3153">
        <f ca="1"/>
        <v>56.56</v>
      </c>
      <c r="FH16" vm="3154">
        <f ca="1"/>
        <v>56.11</v>
      </c>
      <c r="FI16" vm="3155">
        <f ca="1"/>
        <v>58</v>
      </c>
      <c r="FJ16" vm="3156">
        <f ca="1"/>
        <v>57.84</v>
      </c>
      <c r="FK16" vm="3156">
        <f ca="1"/>
        <v>57.84</v>
      </c>
      <c r="FL16" vm="3157">
        <f ca="1"/>
        <v>58.15</v>
      </c>
      <c r="FM16" vm="3158">
        <f ca="1"/>
        <v>59.28</v>
      </c>
      <c r="FN16" vm="3159">
        <f ca="1"/>
        <v>60.52</v>
      </c>
      <c r="FO16" vm="3160">
        <f ca="1"/>
        <v>61.4</v>
      </c>
      <c r="FP16" vm="3161">
        <f ca="1"/>
        <v>62.03</v>
      </c>
      <c r="FQ16" vm="2549">
        <f ca="1"/>
        <v>61.31</v>
      </c>
      <c r="FR16" vm="3162">
        <f ca="1"/>
        <v>60.53</v>
      </c>
      <c r="FS16" vm="3163">
        <f ca="1"/>
        <v>60.42</v>
      </c>
      <c r="FT16" vm="2536">
        <f ca="1"/>
        <v>62.14</v>
      </c>
      <c r="FU16" vm="3095">
        <f ca="1"/>
        <v>61.79</v>
      </c>
      <c r="FV16" vm="3164">
        <f ca="1"/>
        <v>61.68</v>
      </c>
      <c r="FW16" vm="2525">
        <f ca="1"/>
        <v>61.58</v>
      </c>
      <c r="FX16" vm="2529">
        <f ca="1"/>
        <v>61.88</v>
      </c>
      <c r="FY16" vm="3165">
        <f ca="1"/>
        <v>62.64</v>
      </c>
      <c r="FZ16" vm="3166">
        <f ca="1"/>
        <v>61.46</v>
      </c>
      <c r="GA16" vm="3167">
        <f ca="1"/>
        <v>60.96</v>
      </c>
      <c r="GB16" vm="3168">
        <f ca="1"/>
        <v>60.63</v>
      </c>
      <c r="GC16" vm="3169">
        <f ca="1"/>
        <v>59.09</v>
      </c>
      <c r="GD16" vm="3170">
        <f ca="1"/>
        <v>59.54</v>
      </c>
      <c r="GE16" vm="3171">
        <f ca="1"/>
        <v>57.95</v>
      </c>
      <c r="GF16" vm="3172">
        <f ca="1"/>
        <v>57.3</v>
      </c>
      <c r="GG16" vm="3173">
        <f ca="1"/>
        <v>57.33</v>
      </c>
      <c r="GH16" vm="3174">
        <f ca="1"/>
        <v>57.67</v>
      </c>
      <c r="GI16" vm="3175">
        <f ca="1"/>
        <v>58.39</v>
      </c>
      <c r="GJ16" vm="3006">
        <f ca="1"/>
        <v>59.29</v>
      </c>
      <c r="GK16" vm="2530">
        <f ca="1"/>
        <v>59.9</v>
      </c>
      <c r="GL16" vm="3113">
        <f ca="1"/>
        <v>63.02</v>
      </c>
      <c r="GM16" vm="2536">
        <f ca="1"/>
        <v>62.14</v>
      </c>
      <c r="GN16" vm="3176">
        <f ca="1"/>
        <v>62.58</v>
      </c>
      <c r="GO16" vm="2550">
        <f ca="1"/>
        <v>61.37</v>
      </c>
      <c r="GP16" vm="2531">
        <f ca="1"/>
        <v>60.38</v>
      </c>
      <c r="GQ16" vm="2524">
        <f ca="1"/>
        <v>61.71</v>
      </c>
      <c r="GR16" vm="3177">
        <f ca="1"/>
        <v>61.87</v>
      </c>
      <c r="GS16" vm="3178">
        <f ca="1"/>
        <v>62.6</v>
      </c>
      <c r="GT16" vm="3179">
        <f ca="1"/>
        <v>61.81</v>
      </c>
      <c r="GU16" vm="3161">
        <f ca="1"/>
        <v>62.03</v>
      </c>
      <c r="GV16" vm="2549">
        <f ca="1"/>
        <v>61.31</v>
      </c>
      <c r="GW16" vm="3165">
        <f ca="1"/>
        <v>62.64</v>
      </c>
      <c r="GX16" vm="3178">
        <f ca="1"/>
        <v>62.6</v>
      </c>
      <c r="GY16" vm="3079">
        <f ca="1"/>
        <v>63.24</v>
      </c>
      <c r="GZ16" vm="3180">
        <f ca="1"/>
        <v>64.12</v>
      </c>
      <c r="HA16" vm="3181">
        <f ca="1"/>
        <v>63.48</v>
      </c>
      <c r="HB16" vm="3182">
        <f ca="1"/>
        <v>65.739999999999995</v>
      </c>
      <c r="HC16" vm="3183">
        <f ca="1"/>
        <v>66.010000000000005</v>
      </c>
      <c r="HD16" vm="3165">
        <f ca="1"/>
        <v>62.64</v>
      </c>
      <c r="HE16" vm="2492">
        <f ca="1"/>
        <v>64.25</v>
      </c>
      <c r="HF16" vm="3184">
        <f ca="1"/>
        <v>63.97</v>
      </c>
      <c r="HG16" vm="3185">
        <f ca="1"/>
        <v>62.85</v>
      </c>
      <c r="HH16" vm="3186">
        <f ca="1"/>
        <v>61.83</v>
      </c>
      <c r="HI16" vm="3187">
        <f ca="1"/>
        <v>63.56</v>
      </c>
      <c r="HJ16" vm="3188">
        <f ca="1"/>
        <v>63.1</v>
      </c>
      <c r="HK16" vm="3189">
        <f ca="1"/>
        <v>63</v>
      </c>
      <c r="HL16" vm="3190">
        <f ca="1"/>
        <v>61.76</v>
      </c>
      <c r="HM16" vm="2497">
        <f ca="1"/>
        <v>64.16</v>
      </c>
      <c r="HN16" vm="3191">
        <f ca="1"/>
        <v>64.69</v>
      </c>
      <c r="HO16" vm="3145">
        <f ca="1"/>
        <v>64.5</v>
      </c>
      <c r="HP16" vm="2547">
        <f ca="1"/>
        <v>64.17</v>
      </c>
      <c r="HQ16" vm="3192">
        <f ca="1"/>
        <v>63.71</v>
      </c>
      <c r="HR16" vm="3193">
        <f ca="1"/>
        <v>62.35</v>
      </c>
      <c r="HS16" vm="2552">
        <f ca="1"/>
        <v>63.67</v>
      </c>
      <c r="HT16" vm="3194">
        <f ca="1"/>
        <v>69.03</v>
      </c>
      <c r="HU16" vm="3195">
        <f ca="1"/>
        <v>68.11</v>
      </c>
      <c r="HV16" vm="2391">
        <f ca="1"/>
        <v>68.63</v>
      </c>
      <c r="HW16" vm="3196">
        <f ca="1"/>
        <v>69.8</v>
      </c>
      <c r="HX16" vm="3197">
        <f ca="1"/>
        <v>69.02</v>
      </c>
      <c r="HY16" vm="3198">
        <f ca="1"/>
        <v>68.89</v>
      </c>
      <c r="HZ16" vm="2392">
        <f ca="1"/>
        <v>68.150000000000006</v>
      </c>
      <c r="IA16" vm="3199">
        <f ca="1"/>
        <v>68.760000000000005</v>
      </c>
      <c r="IB16" vm="3200">
        <f ca="1"/>
        <v>69</v>
      </c>
      <c r="IC16" vm="3201">
        <f ca="1"/>
        <v>68.599999999999994</v>
      </c>
      <c r="ID16" vm="3202">
        <f ca="1"/>
        <v>68.28</v>
      </c>
      <c r="IE16" vm="3203">
        <f ca="1"/>
        <v>68.95</v>
      </c>
      <c r="IF16" vm="3204">
        <f ca="1"/>
        <v>69.84</v>
      </c>
      <c r="IG16" vm="3205">
        <f ca="1"/>
        <v>70.75</v>
      </c>
      <c r="IH16" vm="3206">
        <f ca="1"/>
        <v>69.75</v>
      </c>
      <c r="II16" vm="3207">
        <f ca="1"/>
        <v>70.16</v>
      </c>
      <c r="IJ16" vm="3208">
        <f ca="1"/>
        <v>70.87</v>
      </c>
      <c r="IK16" vm="2576">
        <f ca="1"/>
        <v>71.39</v>
      </c>
      <c r="IL16" vm="3209">
        <f ca="1"/>
        <v>71.42</v>
      </c>
      <c r="IM16" vm="3210">
        <f ca="1"/>
        <v>71.5</v>
      </c>
      <c r="IN16" vm="3211">
        <f ca="1"/>
        <v>72.23</v>
      </c>
      <c r="IO16" vm="2582">
        <f ca="1"/>
        <v>72.150000000000006</v>
      </c>
      <c r="IP16" vm="3212">
        <f ca="1"/>
        <v>71.86</v>
      </c>
      <c r="IQ16" vm="3213">
        <f ca="1"/>
        <v>72.5</v>
      </c>
    </row>
    <row r="17" spans="1:251">
      <c r="A17" cm="1" vm="3214">
        <f t="array" aca="1" ref="A17:IQ17" ca="1">TRANSPOSE(_xlfn.STOCKHISTORY(Table3[[#This Row],[Stock Name ]],TODAY()-365,TODAY(),0,0,1))</f>
        <v>629.5</v>
      </c>
      <c r="B17" vm="3215">
        <f ca="1"/>
        <v>642</v>
      </c>
      <c r="C17" vm="3216">
        <f ca="1"/>
        <v>630.78</v>
      </c>
      <c r="D17" vm="3217">
        <f ca="1"/>
        <v>658.82</v>
      </c>
      <c r="E17" vm="3218">
        <f ca="1"/>
        <v>681.24</v>
      </c>
      <c r="F17" vm="3219">
        <f ca="1"/>
        <v>677.74</v>
      </c>
      <c r="G17" vm="3220">
        <f ca="1"/>
        <v>661</v>
      </c>
      <c r="H17" vm="3221">
        <f ca="1"/>
        <v>665.16</v>
      </c>
      <c r="I17" vm="3222">
        <f ca="1"/>
        <v>671.6</v>
      </c>
      <c r="J17" vm="3223">
        <f ca="1"/>
        <v>674.62</v>
      </c>
      <c r="K17" vm="3224">
        <f ca="1"/>
        <v>666.8</v>
      </c>
      <c r="L17" vm="3225">
        <f ca="1"/>
        <v>663.1</v>
      </c>
      <c r="M17" vm="3226">
        <f ca="1"/>
        <v>660.08</v>
      </c>
      <c r="N17" vm="3227">
        <f ca="1"/>
        <v>650.65</v>
      </c>
      <c r="O17" vm="3228">
        <f ca="1"/>
        <v>644.69000000000005</v>
      </c>
      <c r="P17" vm="3229">
        <f ca="1"/>
        <v>648.35</v>
      </c>
      <c r="Q17" vm="3230">
        <f ca="1"/>
        <v>656.01</v>
      </c>
      <c r="R17" vm="3231">
        <f ca="1"/>
        <v>661.69</v>
      </c>
      <c r="S17" vm="3232">
        <f ca="1"/>
        <v>667.18</v>
      </c>
      <c r="T17" vm="3233">
        <f ca="1"/>
        <v>672.76</v>
      </c>
      <c r="U17" vm="3234">
        <f ca="1"/>
        <v>673.58</v>
      </c>
      <c r="V17" vm="3235">
        <f ca="1"/>
        <v>683.24</v>
      </c>
      <c r="W17" vm="3236">
        <f ca="1"/>
        <v>681.49</v>
      </c>
      <c r="X17" vm="3237">
        <f ca="1"/>
        <v>684.19</v>
      </c>
      <c r="Y17" vm="3238">
        <f ca="1"/>
        <v>687.31</v>
      </c>
      <c r="Z17" vm="3239">
        <f ca="1"/>
        <v>694.97</v>
      </c>
      <c r="AA17" vm="3240">
        <f ca="1"/>
        <v>692.51</v>
      </c>
      <c r="AB17" vm="3241">
        <f ca="1"/>
        <v>687.59</v>
      </c>
      <c r="AC17" vm="3242">
        <f ca="1"/>
        <v>686.51</v>
      </c>
      <c r="AD17" vm="3243">
        <f ca="1"/>
        <v>679.9</v>
      </c>
      <c r="AE17" vm="3244">
        <f ca="1"/>
        <v>686.88</v>
      </c>
      <c r="AF17" vm="3245">
        <f ca="1"/>
        <v>694.01</v>
      </c>
      <c r="AG17" vm="3246">
        <f ca="1"/>
        <v>700.74</v>
      </c>
      <c r="AH17" vm="3247">
        <f ca="1"/>
        <v>694.88</v>
      </c>
      <c r="AI17" vm="3248">
        <f ca="1"/>
        <v>704.48</v>
      </c>
      <c r="AJ17" vm="3249">
        <f ca="1"/>
        <v>709.48</v>
      </c>
      <c r="AK17" vm="3250">
        <f ca="1"/>
        <v>711.16</v>
      </c>
      <c r="AL17" vm="3251">
        <f ca="1"/>
        <v>710.79</v>
      </c>
      <c r="AM17" vm="3252">
        <f ca="1"/>
        <v>719.78</v>
      </c>
      <c r="AN17" vm="3253">
        <f ca="1"/>
        <v>724.16</v>
      </c>
      <c r="AO17" vm="3254">
        <f ca="1"/>
        <v>723.4</v>
      </c>
      <c r="AP17" vm="3255">
        <f ca="1"/>
        <v>722.41</v>
      </c>
      <c r="AQ17" vm="3256">
        <f ca="1"/>
        <v>714.25</v>
      </c>
      <c r="AR17" vm="3257">
        <f ca="1"/>
        <v>722.18</v>
      </c>
      <c r="AS17" vm="3258">
        <f ca="1"/>
        <v>724.51</v>
      </c>
      <c r="AT17" vm="3259">
        <f ca="1"/>
        <v>723.99</v>
      </c>
      <c r="AU17" vm="3260">
        <f ca="1"/>
        <v>725.69</v>
      </c>
      <c r="AV17" vm="3261">
        <f ca="1"/>
        <v>723.02</v>
      </c>
      <c r="AW17" vm="3262">
        <f ca="1"/>
        <v>734.4</v>
      </c>
      <c r="AX17" vm="3263">
        <f ca="1"/>
        <v>737.93</v>
      </c>
      <c r="AY17" vm="3264">
        <f ca="1"/>
        <v>745.35</v>
      </c>
      <c r="AZ17" vm="3265">
        <f ca="1"/>
        <v>744.71</v>
      </c>
      <c r="BA17" vm="3266">
        <f ca="1"/>
        <v>747.96</v>
      </c>
      <c r="BB17" vm="3267">
        <f ca="1"/>
        <v>743.89</v>
      </c>
      <c r="BC17" vm="3268">
        <f ca="1"/>
        <v>749.44</v>
      </c>
      <c r="BD17" vm="3269">
        <f ca="1"/>
        <v>759.18</v>
      </c>
      <c r="BE17" vm="3270">
        <f ca="1"/>
        <v>759.95</v>
      </c>
      <c r="BF17" vm="3271">
        <f ca="1"/>
        <v>773.24</v>
      </c>
      <c r="BG17" vm="3272">
        <f ca="1"/>
        <v>785.59</v>
      </c>
      <c r="BH17" vm="3273">
        <f ca="1"/>
        <v>725.56</v>
      </c>
      <c r="BI17" vm="3274">
        <f ca="1"/>
        <v>714.08</v>
      </c>
      <c r="BJ17" vm="3275">
        <f ca="1"/>
        <v>736.88</v>
      </c>
      <c r="BK17" vm="3276">
        <f ca="1"/>
        <v>734.2</v>
      </c>
      <c r="BL17" vm="3277">
        <f ca="1"/>
        <v>731.95</v>
      </c>
      <c r="BM17" vm="3278">
        <f ca="1"/>
        <v>725.63</v>
      </c>
      <c r="BN17" vm="3279">
        <f ca="1"/>
        <v>731.54</v>
      </c>
      <c r="BO17" vm="3280">
        <f ca="1"/>
        <v>732.17</v>
      </c>
      <c r="BP17" vm="3281">
        <f ca="1"/>
        <v>740.72</v>
      </c>
      <c r="BQ17" vm="3282">
        <f ca="1"/>
        <v>742.56</v>
      </c>
      <c r="BR17" vm="3283">
        <f ca="1"/>
        <v>734.8</v>
      </c>
      <c r="BS17" vm="3284">
        <f ca="1"/>
        <v>730.96</v>
      </c>
      <c r="BT17" vm="3285">
        <f ca="1"/>
        <v>730.98</v>
      </c>
      <c r="BU17" vm="3286">
        <f ca="1"/>
        <v>732.08</v>
      </c>
      <c r="BV17" vm="3287">
        <f ca="1"/>
        <v>732.63</v>
      </c>
      <c r="BW17" vm="3288">
        <f ca="1"/>
        <v>721.24</v>
      </c>
      <c r="BX17" vm="3289">
        <f ca="1"/>
        <v>711.3</v>
      </c>
      <c r="BY17" vm="3290">
        <f ca="1"/>
        <v>705.69</v>
      </c>
      <c r="BZ17" vm="3291">
        <f ca="1"/>
        <v>704.88</v>
      </c>
      <c r="CA17" vm="3292">
        <f ca="1"/>
        <v>713.72</v>
      </c>
      <c r="CB17" vm="3293">
        <f ca="1"/>
        <v>711.81</v>
      </c>
      <c r="CC17" vm="3294">
        <f ca="1"/>
        <v>718.59</v>
      </c>
      <c r="CD17" vm="3295">
        <f ca="1"/>
        <v>722.58</v>
      </c>
      <c r="CE17" vm="3296">
        <f ca="1"/>
        <v>732.35</v>
      </c>
      <c r="CF17" vm="3297">
        <f ca="1"/>
        <v>731.31</v>
      </c>
      <c r="CG17" vm="3298">
        <f ca="1"/>
        <v>718.28</v>
      </c>
      <c r="CH17" vm="3299">
        <f ca="1"/>
        <v>715.97</v>
      </c>
      <c r="CI17" vm="3300">
        <f ca="1"/>
        <v>715.19</v>
      </c>
      <c r="CJ17" vm="3301">
        <f ca="1"/>
        <v>711.25</v>
      </c>
      <c r="CK17" vm="3302">
        <f ca="1"/>
        <v>709.51</v>
      </c>
      <c r="CL17" vm="3303">
        <f ca="1"/>
        <v>715.46</v>
      </c>
      <c r="CM17" vm="3304">
        <f ca="1"/>
        <v>722.68</v>
      </c>
      <c r="CN17" vm="3305">
        <f ca="1"/>
        <v>723.89</v>
      </c>
      <c r="CO17" vm="3306">
        <f ca="1"/>
        <v>721.86</v>
      </c>
      <c r="CP17" vm="3307">
        <f ca="1"/>
        <v>729.18</v>
      </c>
      <c r="CQ17" vm="3308">
        <f ca="1"/>
        <v>726.33</v>
      </c>
      <c r="CR17" vm="3309">
        <f ca="1"/>
        <v>722.9</v>
      </c>
      <c r="CS17" vm="3310">
        <f ca="1"/>
        <v>722.22</v>
      </c>
      <c r="CT17" vm="3311">
        <f ca="1"/>
        <v>732.44</v>
      </c>
      <c r="CU17" vm="3312">
        <f ca="1"/>
        <v>743.9</v>
      </c>
      <c r="CV17" vm="3313">
        <f ca="1"/>
        <v>756.45</v>
      </c>
      <c r="CW17" vm="3314">
        <f ca="1"/>
        <v>771.31</v>
      </c>
      <c r="CX17" vm="3315">
        <f ca="1"/>
        <v>763.41</v>
      </c>
      <c r="CY17" vm="3316">
        <f ca="1"/>
        <v>779.04</v>
      </c>
      <c r="CZ17" vm="3317">
        <f ca="1"/>
        <v>787.19</v>
      </c>
      <c r="DA17" vm="3318">
        <f ca="1"/>
        <v>775.15</v>
      </c>
      <c r="DB17" vm="3319">
        <f ca="1"/>
        <v>777.9</v>
      </c>
      <c r="DC17" vm="3320">
        <f ca="1"/>
        <v>787.04</v>
      </c>
      <c r="DD17" vm="3321">
        <f ca="1"/>
        <v>793.07</v>
      </c>
      <c r="DE17" vm="3322">
        <f ca="1"/>
        <v>795.81</v>
      </c>
      <c r="DF17" vm="3323">
        <f ca="1"/>
        <v>793</v>
      </c>
      <c r="DG17" vm="3324">
        <f ca="1"/>
        <v>800.93</v>
      </c>
      <c r="DH17" vm="3325">
        <f ca="1"/>
        <v>801.86</v>
      </c>
      <c r="DI17" vm="3326">
        <f ca="1"/>
        <v>796.34</v>
      </c>
      <c r="DJ17" vm="3327">
        <f ca="1"/>
        <v>809.73</v>
      </c>
      <c r="DK17" vm="3328">
        <f ca="1"/>
        <v>813.17</v>
      </c>
      <c r="DL17" vm="3329">
        <f ca="1"/>
        <v>806.52</v>
      </c>
      <c r="DM17" vm="3330">
        <f ca="1"/>
        <v>815.34</v>
      </c>
      <c r="DN17" vm="3331">
        <f ca="1"/>
        <v>809.89</v>
      </c>
      <c r="DO17" vm="3332">
        <f ca="1"/>
        <v>815.39</v>
      </c>
      <c r="DP17" vm="3333">
        <f ca="1"/>
        <v>827.39</v>
      </c>
      <c r="DQ17" vm="3334">
        <f ca="1"/>
        <v>834.3</v>
      </c>
      <c r="DR17" vm="3335">
        <f ca="1"/>
        <v>842.64</v>
      </c>
      <c r="DS17" vm="3336">
        <f ca="1"/>
        <v>845.58</v>
      </c>
      <c r="DT17" vm="3337">
        <f ca="1"/>
        <v>848.34</v>
      </c>
      <c r="DU17" vm="3338">
        <f ca="1"/>
        <v>849.31</v>
      </c>
      <c r="DV17" vm="3339">
        <f ca="1"/>
        <v>847.81</v>
      </c>
      <c r="DW17" vm="3340">
        <f ca="1"/>
        <v>845.96</v>
      </c>
      <c r="DX17" vm="3341">
        <f ca="1"/>
        <v>855.67</v>
      </c>
      <c r="DY17" vm="3342">
        <f ca="1"/>
        <v>867.91</v>
      </c>
      <c r="DZ17" vm="3343">
        <f ca="1"/>
        <v>870.75</v>
      </c>
      <c r="EA17" vm="3344">
        <f ca="1"/>
        <v>862.44</v>
      </c>
      <c r="EB17" vm="3345">
        <f ca="1"/>
        <v>848.31</v>
      </c>
      <c r="EC17" vm="3346">
        <f ca="1"/>
        <v>848.16</v>
      </c>
      <c r="ED17" vm="3347">
        <f ca="1"/>
        <v>855.51</v>
      </c>
      <c r="EE17" vm="3348">
        <f ca="1"/>
        <v>856.84</v>
      </c>
      <c r="EF17" vm="3349">
        <f ca="1"/>
        <v>850.62</v>
      </c>
      <c r="EG17" vm="3350">
        <f ca="1"/>
        <v>849.99</v>
      </c>
      <c r="EH17" vm="3351">
        <f ca="1"/>
        <v>845.67</v>
      </c>
      <c r="EI17" vm="3352">
        <f ca="1"/>
        <v>859.36</v>
      </c>
      <c r="EJ17" vm="3353">
        <f ca="1"/>
        <v>862.66</v>
      </c>
      <c r="EK17" vm="3354">
        <f ca="1"/>
        <v>885.67</v>
      </c>
      <c r="EL17" vm="3355">
        <f ca="1"/>
        <v>880.84</v>
      </c>
      <c r="EM17" vm="3356">
        <f ca="1"/>
        <v>886.85</v>
      </c>
      <c r="EN17" vm="3357">
        <f ca="1"/>
        <v>884.31</v>
      </c>
      <c r="EO17" vm="3358">
        <f ca="1"/>
        <v>846.59</v>
      </c>
      <c r="EP17" vm="3359">
        <f ca="1"/>
        <v>842.9</v>
      </c>
      <c r="EQ17" vm="3360">
        <f ca="1"/>
        <v>848.73</v>
      </c>
      <c r="ER17" vm="3361">
        <f ca="1"/>
        <v>850.77</v>
      </c>
      <c r="ES17" vm="3362">
        <f ca="1"/>
        <v>846.28</v>
      </c>
      <c r="ET17" vm="3363">
        <f ca="1"/>
        <v>839.37</v>
      </c>
      <c r="EU17" vm="3364">
        <f ca="1"/>
        <v>838.13</v>
      </c>
      <c r="EV17" vm="3365">
        <f ca="1"/>
        <v>847.42</v>
      </c>
      <c r="EW17" vm="3366">
        <f ca="1"/>
        <v>852.11</v>
      </c>
      <c r="EX17" vm="3367">
        <f ca="1"/>
        <v>830.82</v>
      </c>
      <c r="EY17" vm="3368">
        <f ca="1"/>
        <v>815.95</v>
      </c>
      <c r="EZ17" vm="3369">
        <f ca="1"/>
        <v>817.6</v>
      </c>
      <c r="FA17" vm="3370">
        <f ca="1"/>
        <v>815.56</v>
      </c>
      <c r="FB17" vm="3371">
        <f ca="1"/>
        <v>810.03</v>
      </c>
      <c r="FC17" vm="3372">
        <f ca="1"/>
        <v>822</v>
      </c>
      <c r="FD17" vm="3373">
        <f ca="1"/>
        <v>816.89</v>
      </c>
      <c r="FE17" vm="3374">
        <f ca="1"/>
        <v>822.08</v>
      </c>
      <c r="FF17" vm="3375">
        <f ca="1"/>
        <v>801.83</v>
      </c>
      <c r="FG17" vm="3376">
        <f ca="1"/>
        <v>816.88</v>
      </c>
      <c r="FH17" vm="3377">
        <f ca="1"/>
        <v>810.3</v>
      </c>
      <c r="FI17" vm="3378">
        <f ca="1"/>
        <v>839.43</v>
      </c>
      <c r="FJ17" vm="3379">
        <f ca="1"/>
        <v>854.93</v>
      </c>
      <c r="FK17" vm="3380">
        <f ca="1"/>
        <v>863.57</v>
      </c>
      <c r="FL17" vm="3381">
        <f ca="1"/>
        <v>864.82</v>
      </c>
      <c r="FM17" vm="3382">
        <f ca="1"/>
        <v>862.71</v>
      </c>
      <c r="FN17" vm="3383">
        <f ca="1"/>
        <v>877.35</v>
      </c>
      <c r="FO17" vm="3384">
        <f ca="1"/>
        <v>870.59</v>
      </c>
      <c r="FP17" vm="3385">
        <f ca="1"/>
        <v>872.35</v>
      </c>
      <c r="FQ17" vm="3386">
        <f ca="1"/>
        <v>876.2</v>
      </c>
      <c r="FR17" vm="3387">
        <f ca="1"/>
        <v>881.42</v>
      </c>
      <c r="FS17" vm="3388">
        <f ca="1"/>
        <v>877.56</v>
      </c>
      <c r="FT17" vm="3389">
        <f ca="1"/>
        <v>879.21</v>
      </c>
      <c r="FU17" vm="3390">
        <f ca="1"/>
        <v>892.51</v>
      </c>
      <c r="FV17" vm="3391">
        <f ca="1"/>
        <v>908.9</v>
      </c>
      <c r="FW17" vm="3392">
        <f ca="1"/>
        <v>888.05</v>
      </c>
      <c r="FX17" vm="3393">
        <f ca="1"/>
        <v>886.63</v>
      </c>
      <c r="FY17" vm="3394">
        <f ca="1"/>
        <v>892.38</v>
      </c>
      <c r="FZ17" vm="3395">
        <f ca="1"/>
        <v>878.57</v>
      </c>
      <c r="GA17" vm="3396">
        <f ca="1"/>
        <v>890.02</v>
      </c>
      <c r="GB17" vm="3397">
        <f ca="1"/>
        <v>885.98</v>
      </c>
      <c r="GC17" vm="3398">
        <f ca="1"/>
        <v>876.68</v>
      </c>
      <c r="GD17" vm="3399">
        <f ca="1"/>
        <v>896.49</v>
      </c>
      <c r="GE17" vm="3400">
        <f ca="1"/>
        <v>894.29</v>
      </c>
      <c r="GF17" vm="3401">
        <f ca="1"/>
        <v>900.4</v>
      </c>
      <c r="GG17" vm="3402">
        <f ca="1"/>
        <v>915.03</v>
      </c>
      <c r="GH17" vm="3403">
        <f ca="1"/>
        <v>916</v>
      </c>
      <c r="GI17" vm="3404">
        <f ca="1"/>
        <v>907.87</v>
      </c>
      <c r="GJ17" vm="3405">
        <f ca="1"/>
        <v>897.27</v>
      </c>
      <c r="GK17" vm="3406">
        <f ca="1"/>
        <v>892.52</v>
      </c>
      <c r="GL17" vm="3407">
        <f ca="1"/>
        <v>900.74</v>
      </c>
      <c r="GM17" vm="3408">
        <f ca="1"/>
        <v>906.98</v>
      </c>
      <c r="GN17" vm="3409">
        <f ca="1"/>
        <v>917.08</v>
      </c>
      <c r="GO17" vm="3410">
        <f ca="1"/>
        <v>901.54</v>
      </c>
      <c r="GP17" vm="3411">
        <f ca="1"/>
        <v>908.42</v>
      </c>
      <c r="GQ17" vm="3412">
        <f ca="1"/>
        <v>901.44</v>
      </c>
      <c r="GR17" vm="3413">
        <f ca="1"/>
        <v>885.62</v>
      </c>
      <c r="GS17" vm="3414">
        <f ca="1"/>
        <v>886.52</v>
      </c>
      <c r="GT17" vm="3415">
        <f ca="1"/>
        <v>877.38</v>
      </c>
      <c r="GU17" vm="3416">
        <f ca="1"/>
        <v>878.53</v>
      </c>
      <c r="GV17" vm="3417">
        <f ca="1"/>
        <v>875.67</v>
      </c>
      <c r="GW17" vm="3418">
        <f ca="1"/>
        <v>883.11</v>
      </c>
      <c r="GX17" vm="3419">
        <f ca="1"/>
        <v>873.59</v>
      </c>
      <c r="GY17" vm="3420">
        <f ca="1"/>
        <v>890.42</v>
      </c>
      <c r="GZ17" vm="3421">
        <f ca="1"/>
        <v>909.1</v>
      </c>
      <c r="HA17" vm="3422">
        <f ca="1"/>
        <v>893.63</v>
      </c>
      <c r="HB17" vm="3423">
        <f ca="1"/>
        <v>889.03</v>
      </c>
      <c r="HC17" vm="3424">
        <f ca="1"/>
        <v>889.76</v>
      </c>
      <c r="HD17" vm="3425">
        <f ca="1"/>
        <v>894.61</v>
      </c>
      <c r="HE17" vm="3426">
        <f ca="1"/>
        <v>887.38</v>
      </c>
      <c r="HF17" vm="3427">
        <f ca="1"/>
        <v>885.29</v>
      </c>
      <c r="HG17" vm="3428">
        <f ca="1"/>
        <v>889.56</v>
      </c>
      <c r="HH17" vm="3429">
        <f ca="1"/>
        <v>886.77</v>
      </c>
      <c r="HI17" vm="3430">
        <f ca="1"/>
        <v>893.49</v>
      </c>
      <c r="HJ17" vm="3431">
        <f ca="1"/>
        <v>899.17</v>
      </c>
      <c r="HK17" vm="3432">
        <f ca="1"/>
        <v>893.42</v>
      </c>
      <c r="HL17" vm="3433">
        <f ca="1"/>
        <v>891.22</v>
      </c>
      <c r="HM17" vm="3434">
        <f ca="1"/>
        <v>890.96</v>
      </c>
      <c r="HN17" vm="3435">
        <f ca="1"/>
        <v>886.99</v>
      </c>
      <c r="HO17" vm="3436">
        <f ca="1"/>
        <v>879.09</v>
      </c>
      <c r="HP17" vm="3437">
        <f ca="1"/>
        <v>874.18</v>
      </c>
      <c r="HQ17" vm="3438">
        <f ca="1"/>
        <v>877.31</v>
      </c>
      <c r="HR17" vm="3439">
        <f ca="1"/>
        <v>886.07</v>
      </c>
      <c r="HS17" vm="3440">
        <f ca="1"/>
        <v>890.17</v>
      </c>
      <c r="HT17" vm="3441">
        <f ca="1"/>
        <v>899.25</v>
      </c>
      <c r="HU17" vm="3442">
        <f ca="1"/>
        <v>913.93</v>
      </c>
      <c r="HV17" vm="3443">
        <f ca="1"/>
        <v>943.8</v>
      </c>
      <c r="HW17" vm="3444">
        <f ca="1"/>
        <v>932.88</v>
      </c>
      <c r="HX17" vm="3445">
        <f ca="1"/>
        <v>932.38</v>
      </c>
      <c r="HY17" vm="3446">
        <f ca="1"/>
        <v>933.73</v>
      </c>
      <c r="HZ17" vm="3447">
        <f ca="1"/>
        <v>923.89</v>
      </c>
      <c r="IA17" vm="3448">
        <f ca="1"/>
        <v>907.07</v>
      </c>
      <c r="IB17" vm="3449">
        <f ca="1"/>
        <v>919.51</v>
      </c>
      <c r="IC17" vm="3450">
        <f ca="1"/>
        <v>930.15</v>
      </c>
      <c r="ID17" vm="3451">
        <f ca="1"/>
        <v>928.08</v>
      </c>
      <c r="IE17" vm="3452">
        <f ca="1"/>
        <v>955.65</v>
      </c>
      <c r="IF17" vm="3453">
        <f ca="1"/>
        <v>964.01</v>
      </c>
      <c r="IG17" vm="3454">
        <f ca="1"/>
        <v>960.89</v>
      </c>
      <c r="IH17" vm="3455">
        <f ca="1"/>
        <v>971.5</v>
      </c>
      <c r="II17" vm="3456">
        <f ca="1"/>
        <v>961.55</v>
      </c>
      <c r="IJ17" vm="3457">
        <f ca="1"/>
        <v>971.88</v>
      </c>
      <c r="IK17" vm="3458">
        <f ca="1"/>
        <v>975</v>
      </c>
      <c r="IL17" vm="3459">
        <f ca="1"/>
        <v>982.15</v>
      </c>
      <c r="IM17" vm="3460">
        <f ca="1"/>
        <v>990.92</v>
      </c>
      <c r="IN17" vm="3461">
        <f ca="1"/>
        <v>982.26</v>
      </c>
      <c r="IO17" vm="3462">
        <f ca="1"/>
        <v>992.61</v>
      </c>
      <c r="IP17" vm="3463">
        <f ca="1"/>
        <v>987.86</v>
      </c>
      <c r="IQ17" vm="3464">
        <f ca="1"/>
        <v>993.4</v>
      </c>
    </row>
    <row r="18" spans="1:251">
      <c r="A18" cm="1" vm="3465">
        <f t="array" aca="1" ref="A18:IQ18" ca="1">TRANSPOSE(_xlfn.STOCKHISTORY(Table3[[#This Row],[Stock Name ]],TODAY()-365,TODAY(),0,0,1))</f>
        <v>98.05</v>
      </c>
      <c r="B18" vm="2604">
        <f ca="1"/>
        <v>98.92</v>
      </c>
      <c r="C18" vm="3466">
        <f ca="1"/>
        <v>101.58</v>
      </c>
      <c r="D18" vm="3467">
        <f ca="1"/>
        <v>100.9</v>
      </c>
      <c r="E18" vm="3468">
        <f ca="1"/>
        <v>101.65</v>
      </c>
      <c r="F18" vm="3469">
        <f ca="1"/>
        <v>102.99</v>
      </c>
      <c r="G18" vm="3470">
        <f ca="1"/>
        <v>101.27</v>
      </c>
      <c r="H18" vm="3471">
        <f ca="1"/>
        <v>101.73</v>
      </c>
      <c r="I18" vm="3472">
        <f ca="1"/>
        <v>101.91</v>
      </c>
      <c r="J18" vm="3473">
        <f ca="1"/>
        <v>102.14</v>
      </c>
      <c r="K18" vm="3474">
        <f ca="1"/>
        <v>101.66</v>
      </c>
      <c r="L18" vm="3475">
        <f ca="1"/>
        <v>100.19</v>
      </c>
      <c r="M18" vm="3476">
        <f ca="1"/>
        <v>99.98</v>
      </c>
      <c r="N18" vm="3477">
        <f ca="1"/>
        <v>102.36</v>
      </c>
      <c r="O18" vm="3478">
        <f ca="1"/>
        <v>103.22</v>
      </c>
      <c r="P18" vm="3479">
        <f ca="1"/>
        <v>102.32</v>
      </c>
      <c r="Q18" vm="3480">
        <f ca="1"/>
        <v>102.63</v>
      </c>
      <c r="R18" vm="3481">
        <f ca="1"/>
        <v>100.92</v>
      </c>
      <c r="S18" vm="3482">
        <f ca="1"/>
        <v>99.67</v>
      </c>
      <c r="T18" vm="3483">
        <f ca="1"/>
        <v>98.69</v>
      </c>
      <c r="U18" vm="3484">
        <f ca="1"/>
        <v>98.67</v>
      </c>
      <c r="V18" vm="3485">
        <f ca="1"/>
        <v>99.95</v>
      </c>
      <c r="W18" vm="3486">
        <f ca="1"/>
        <v>97.69</v>
      </c>
      <c r="X18" vm="3487">
        <f ca="1"/>
        <v>96.98</v>
      </c>
      <c r="Y18" vm="3488">
        <f ca="1"/>
        <v>96.8</v>
      </c>
      <c r="Z18" vm="3489">
        <f ca="1"/>
        <v>96.95</v>
      </c>
      <c r="AA18" vm="3490">
        <f ca="1"/>
        <v>96.82</v>
      </c>
      <c r="AB18" vm="3491">
        <f ca="1"/>
        <v>97.91</v>
      </c>
      <c r="AC18" vm="3492">
        <f ca="1"/>
        <v>99.6</v>
      </c>
      <c r="AD18" vm="3493">
        <f ca="1"/>
        <v>102.13</v>
      </c>
      <c r="AE18" vm="3494">
        <f ca="1"/>
        <v>103</v>
      </c>
      <c r="AF18" vm="3495">
        <f ca="1"/>
        <v>103.13</v>
      </c>
      <c r="AG18" vm="3496">
        <f ca="1"/>
        <v>104.85</v>
      </c>
      <c r="AH18" vm="3497">
        <f ca="1"/>
        <v>102.81</v>
      </c>
      <c r="AI18" vm="3498">
        <f ca="1"/>
        <v>102.39</v>
      </c>
      <c r="AJ18" vm="3499">
        <f ca="1"/>
        <v>101.97</v>
      </c>
      <c r="AK18" vm="3500">
        <f ca="1"/>
        <v>101.55</v>
      </c>
      <c r="AL18" vm="3501">
        <f ca="1"/>
        <v>102.25</v>
      </c>
      <c r="AM18" vm="3502">
        <f ca="1"/>
        <v>102.22</v>
      </c>
      <c r="AN18" vm="3503">
        <f ca="1"/>
        <v>103.97</v>
      </c>
      <c r="AO18" vm="3504">
        <f ca="1"/>
        <v>101.77</v>
      </c>
      <c r="AP18" vm="3505">
        <f ca="1"/>
        <v>103.17</v>
      </c>
      <c r="AQ18" vm="3506">
        <f ca="1"/>
        <v>101.34</v>
      </c>
      <c r="AR18" vm="3507">
        <f ca="1"/>
        <v>100.84</v>
      </c>
      <c r="AS18" vm="3508">
        <f ca="1"/>
        <v>103.73</v>
      </c>
      <c r="AT18" vm="3508">
        <f ca="1"/>
        <v>103.73</v>
      </c>
      <c r="AU18" vm="3509">
        <f ca="1"/>
        <v>102.75</v>
      </c>
      <c r="AV18" vm="3496">
        <f ca="1"/>
        <v>104.85</v>
      </c>
      <c r="AW18" vm="3510">
        <f ca="1"/>
        <v>104.76</v>
      </c>
      <c r="AX18" vm="3511">
        <f ca="1"/>
        <v>103.84</v>
      </c>
      <c r="AY18" vm="3512">
        <f ca="1"/>
        <v>104.25</v>
      </c>
      <c r="AZ18" vm="3513">
        <f ca="1"/>
        <v>104.03</v>
      </c>
      <c r="BA18" vm="3514">
        <f ca="1"/>
        <v>104.32</v>
      </c>
      <c r="BB18" vm="3515">
        <f ca="1"/>
        <v>104.52</v>
      </c>
      <c r="BC18" vm="3516">
        <f ca="1"/>
        <v>105.84</v>
      </c>
      <c r="BD18" vm="3517">
        <f ca="1"/>
        <v>104.36</v>
      </c>
      <c r="BE18" vm="3518">
        <f ca="1"/>
        <v>105.64</v>
      </c>
      <c r="BF18" vm="3519">
        <f ca="1"/>
        <v>106.77</v>
      </c>
      <c r="BG18" vm="3520">
        <f ca="1"/>
        <v>107.37</v>
      </c>
      <c r="BH18" vm="3521">
        <f ca="1"/>
        <v>108.38</v>
      </c>
      <c r="BI18" vm="3522">
        <f ca="1"/>
        <v>109.02</v>
      </c>
      <c r="BJ18" vm="3523">
        <f ca="1"/>
        <v>108.32</v>
      </c>
      <c r="BK18" vm="3524">
        <f ca="1"/>
        <v>109.53</v>
      </c>
      <c r="BL18" vm="3525">
        <f ca="1"/>
        <v>111.47</v>
      </c>
      <c r="BM18" vm="3526">
        <f ca="1"/>
        <v>111.27</v>
      </c>
      <c r="BN18" vm="3527">
        <f ca="1"/>
        <v>112.3</v>
      </c>
      <c r="BO18" vm="3528">
        <f ca="1"/>
        <v>113.09</v>
      </c>
      <c r="BP18" vm="3529">
        <f ca="1"/>
        <v>112.99</v>
      </c>
      <c r="BQ18" vm="3530">
        <f ca="1"/>
        <v>113.49</v>
      </c>
      <c r="BR18" vm="3530">
        <f ca="1"/>
        <v>113.49</v>
      </c>
      <c r="BS18" vm="3531">
        <f ca="1"/>
        <v>114.65</v>
      </c>
      <c r="BT18" vm="3532">
        <f ca="1"/>
        <v>113.79</v>
      </c>
      <c r="BU18" vm="3533">
        <f ca="1"/>
        <v>114.97</v>
      </c>
      <c r="BV18" vm="3534">
        <f ca="1"/>
        <v>116.24</v>
      </c>
      <c r="BW18" vm="3535">
        <f ca="1"/>
        <v>116.99</v>
      </c>
      <c r="BX18" vm="3536">
        <f ca="1"/>
        <v>119.28</v>
      </c>
      <c r="BY18" vm="3537">
        <f ca="1"/>
        <v>119.3</v>
      </c>
      <c r="BZ18" vm="3538">
        <f ca="1"/>
        <v>119.72</v>
      </c>
      <c r="CA18" vm="3539">
        <f ca="1"/>
        <v>121.37</v>
      </c>
      <c r="CB18" vm="3540">
        <f ca="1"/>
        <v>120.55</v>
      </c>
      <c r="CC18" vm="3541">
        <f ca="1"/>
        <v>121.18</v>
      </c>
      <c r="CD18" vm="3542">
        <f ca="1"/>
        <v>122.2</v>
      </c>
      <c r="CE18" vm="3543">
        <f ca="1"/>
        <v>121.79</v>
      </c>
      <c r="CF18" vm="3544">
        <f ca="1"/>
        <v>120.37</v>
      </c>
      <c r="CG18" vm="3545">
        <f ca="1"/>
        <v>119.68</v>
      </c>
      <c r="CH18" vm="3546">
        <f ca="1"/>
        <v>118.69</v>
      </c>
      <c r="CI18" vm="3547">
        <f ca="1"/>
        <v>118.63</v>
      </c>
      <c r="CJ18" vm="3548">
        <f ca="1"/>
        <v>118.52</v>
      </c>
      <c r="CK18" vm="3549">
        <f ca="1"/>
        <v>119.88</v>
      </c>
      <c r="CL18" vm="3550">
        <f ca="1"/>
        <v>120.56</v>
      </c>
      <c r="CM18" vm="3551">
        <f ca="1"/>
        <v>121.03</v>
      </c>
      <c r="CN18" vm="3552">
        <f ca="1"/>
        <v>121.05</v>
      </c>
      <c r="CO18" vm="3553">
        <f ca="1"/>
        <v>121.33</v>
      </c>
      <c r="CP18" vm="3554">
        <f ca="1"/>
        <v>117.96</v>
      </c>
      <c r="CQ18" vm="3555">
        <f ca="1"/>
        <v>119.64</v>
      </c>
      <c r="CR18" vm="3556">
        <f ca="1"/>
        <v>118.27</v>
      </c>
      <c r="CS18" vm="3557">
        <f ca="1"/>
        <v>116.03</v>
      </c>
      <c r="CT18" vm="3534">
        <f ca="1"/>
        <v>116.24</v>
      </c>
      <c r="CU18" vm="3558">
        <f ca="1"/>
        <v>116</v>
      </c>
      <c r="CV18" vm="3559">
        <f ca="1"/>
        <v>116.75</v>
      </c>
      <c r="CW18" vm="3560">
        <f ca="1"/>
        <v>116.17</v>
      </c>
      <c r="CX18" vm="3561">
        <f ca="1"/>
        <v>116.15</v>
      </c>
      <c r="CY18" vm="3562">
        <f ca="1"/>
        <v>118.44</v>
      </c>
      <c r="CZ18" vm="3554">
        <f ca="1"/>
        <v>117.96</v>
      </c>
      <c r="DA18" vm="3563">
        <f ca="1"/>
        <v>117.91</v>
      </c>
      <c r="DB18" vm="3564">
        <f ca="1"/>
        <v>117.67</v>
      </c>
      <c r="DC18" vm="3565">
        <f ca="1"/>
        <v>118.58</v>
      </c>
      <c r="DD18" vm="3566">
        <f ca="1"/>
        <v>117.87</v>
      </c>
      <c r="DE18" vm="3555">
        <f ca="1"/>
        <v>119.64</v>
      </c>
      <c r="DF18" vm="3567">
        <f ca="1"/>
        <v>118.67</v>
      </c>
      <c r="DG18" vm="3568">
        <f ca="1"/>
        <v>117.85</v>
      </c>
      <c r="DH18" vm="3569">
        <f ca="1"/>
        <v>115.48</v>
      </c>
      <c r="DI18" vm="3570">
        <f ca="1"/>
        <v>113.51</v>
      </c>
      <c r="DJ18" vm="3571">
        <f ca="1"/>
        <v>113.42</v>
      </c>
      <c r="DK18" vm="3572">
        <f ca="1"/>
        <v>114.86</v>
      </c>
      <c r="DL18" vm="3573">
        <f ca="1"/>
        <v>113.63</v>
      </c>
      <c r="DM18" vm="3574">
        <f ca="1"/>
        <v>113.99</v>
      </c>
      <c r="DN18" vm="3575">
        <f ca="1"/>
        <v>117.26</v>
      </c>
      <c r="DO18" vm="3576">
        <f ca="1"/>
        <v>114.45</v>
      </c>
      <c r="DP18" vm="3577">
        <f ca="1"/>
        <v>112.67</v>
      </c>
      <c r="DQ18" vm="3578">
        <f ca="1"/>
        <v>113.12</v>
      </c>
      <c r="DR18" vm="3579">
        <f ca="1"/>
        <v>113.97</v>
      </c>
      <c r="DS18" vm="3580">
        <f ca="1"/>
        <v>112.75</v>
      </c>
      <c r="DT18" vm="3581">
        <f ca="1"/>
        <v>113.08</v>
      </c>
      <c r="DU18" vm="3582">
        <f ca="1"/>
        <v>112.17</v>
      </c>
      <c r="DV18" vm="3583">
        <f ca="1"/>
        <v>110.93</v>
      </c>
      <c r="DW18" vm="3584">
        <f ca="1"/>
        <v>110.04</v>
      </c>
      <c r="DX18" vm="3585">
        <f ca="1"/>
        <v>109.11</v>
      </c>
      <c r="DY18" vm="3586">
        <f ca="1"/>
        <v>108.36</v>
      </c>
      <c r="DZ18" vm="3587">
        <f ca="1"/>
        <v>109.38</v>
      </c>
      <c r="EA18" vm="3588">
        <f ca="1"/>
        <v>111.74</v>
      </c>
      <c r="EB18" vm="3589">
        <f ca="1"/>
        <v>110.76</v>
      </c>
      <c r="EC18" vm="3590">
        <f ca="1"/>
        <v>114.05</v>
      </c>
      <c r="ED18" vm="3591">
        <f ca="1"/>
        <v>114.37</v>
      </c>
      <c r="EE18" vm="3592">
        <f ca="1"/>
        <v>114.41</v>
      </c>
      <c r="EF18" vm="3593">
        <f ca="1"/>
        <v>114.9</v>
      </c>
      <c r="EG18" vm="3594">
        <f ca="1"/>
        <v>115.12</v>
      </c>
      <c r="EH18" vm="3595">
        <f ca="1"/>
        <v>114.96</v>
      </c>
      <c r="EI18" vm="3596">
        <f ca="1"/>
        <v>114.18</v>
      </c>
      <c r="EJ18" vm="3597">
        <f ca="1"/>
        <v>114.76</v>
      </c>
      <c r="EK18" vm="3598">
        <f ca="1"/>
        <v>113.37</v>
      </c>
      <c r="EL18" vm="3599">
        <f ca="1"/>
        <v>112.18</v>
      </c>
      <c r="EM18" vm="3600">
        <f ca="1"/>
        <v>110.94</v>
      </c>
      <c r="EN18" vm="3601">
        <f ca="1"/>
        <v>111.92</v>
      </c>
      <c r="EO18" vm="3602">
        <f ca="1"/>
        <v>113.25</v>
      </c>
      <c r="EP18" vm="3603">
        <f ca="1"/>
        <v>113.27</v>
      </c>
      <c r="EQ18" vm="3604">
        <f ca="1"/>
        <v>115.21</v>
      </c>
      <c r="ER18" vm="3605">
        <f ca="1"/>
        <v>116.04</v>
      </c>
      <c r="ES18" vm="3606">
        <f ca="1"/>
        <v>117.64</v>
      </c>
      <c r="ET18" vm="3607">
        <f ca="1"/>
        <v>118.8</v>
      </c>
      <c r="EU18" vm="3608">
        <f ca="1"/>
        <v>116.07</v>
      </c>
      <c r="EV18" vm="3609">
        <f ca="1"/>
        <v>115.27</v>
      </c>
      <c r="EW18" vm="3610">
        <f ca="1"/>
        <v>113.41</v>
      </c>
      <c r="EX18" vm="3611">
        <f ca="1"/>
        <v>115.01</v>
      </c>
      <c r="EY18" vm="3612">
        <f ca="1"/>
        <v>117.43</v>
      </c>
      <c r="EZ18" vm="3613">
        <f ca="1"/>
        <v>117.33</v>
      </c>
      <c r="FA18" vm="3614">
        <f ca="1"/>
        <v>116.1</v>
      </c>
      <c r="FB18" vm="3615">
        <f ca="1"/>
        <v>118.17</v>
      </c>
      <c r="FC18" vm="3616">
        <f ca="1"/>
        <v>118.59</v>
      </c>
      <c r="FD18" vm="3617">
        <f ca="1"/>
        <v>116.95</v>
      </c>
      <c r="FE18" vm="3618">
        <f ca="1"/>
        <v>116.88</v>
      </c>
      <c r="FF18" vm="3619">
        <f ca="1"/>
        <v>114.77</v>
      </c>
      <c r="FG18" vm="3620">
        <f ca="1"/>
        <v>114.16</v>
      </c>
      <c r="FH18" vm="3621">
        <f ca="1"/>
        <v>115.68</v>
      </c>
      <c r="FI18" vm="3622">
        <f ca="1"/>
        <v>117.89</v>
      </c>
      <c r="FJ18" vm="3623">
        <f ca="1"/>
        <v>118.85</v>
      </c>
      <c r="FK18" vm="3624">
        <f ca="1"/>
        <v>119</v>
      </c>
      <c r="FL18" vm="3625">
        <f ca="1"/>
        <v>117.86</v>
      </c>
      <c r="FM18" vm="3626">
        <f ca="1"/>
        <v>118.95</v>
      </c>
      <c r="FN18" vm="3627">
        <f ca="1"/>
        <v>118.73</v>
      </c>
      <c r="FO18" vm="3615">
        <f ca="1"/>
        <v>118.17</v>
      </c>
      <c r="FP18" vm="3628">
        <f ca="1"/>
        <v>118.53</v>
      </c>
      <c r="FQ18" vm="3629">
        <f ca="1"/>
        <v>114.58</v>
      </c>
      <c r="FR18" vm="3630">
        <f ca="1"/>
        <v>113.85</v>
      </c>
      <c r="FS18" vm="3631">
        <f ca="1"/>
        <v>114.73</v>
      </c>
      <c r="FT18" vm="3632">
        <f ca="1"/>
        <v>116.32</v>
      </c>
      <c r="FU18" vm="3633">
        <f ca="1"/>
        <v>118.81</v>
      </c>
      <c r="FV18" vm="3634">
        <f ca="1"/>
        <v>117.68</v>
      </c>
      <c r="FW18" vm="3635">
        <f ca="1"/>
        <v>116.52</v>
      </c>
      <c r="FX18" vm="3636">
        <f ca="1"/>
        <v>118.13</v>
      </c>
      <c r="FY18" vm="3637">
        <f ca="1"/>
        <v>117.94</v>
      </c>
      <c r="FZ18" vm="3638">
        <f ca="1"/>
        <v>115.47</v>
      </c>
      <c r="GA18" vm="3639">
        <f ca="1"/>
        <v>114.06</v>
      </c>
      <c r="GB18" vm="3640">
        <f ca="1"/>
        <v>113.17</v>
      </c>
      <c r="GC18" vm="3641">
        <f ca="1"/>
        <v>112.64</v>
      </c>
      <c r="GD18" vm="3611">
        <f ca="1"/>
        <v>115.01</v>
      </c>
      <c r="GE18" vm="3642">
        <f ca="1"/>
        <v>110.82</v>
      </c>
      <c r="GF18" vm="3643">
        <f ca="1"/>
        <v>109.72</v>
      </c>
      <c r="GG18" vm="3644">
        <f ca="1"/>
        <v>111.23</v>
      </c>
      <c r="GH18" vm="3645">
        <f ca="1"/>
        <v>111.15</v>
      </c>
      <c r="GI18" vm="3646">
        <f ca="1"/>
        <v>112.71</v>
      </c>
      <c r="GJ18" vm="3596">
        <f ca="1"/>
        <v>114.18</v>
      </c>
      <c r="GK18" vm="3629">
        <f ca="1"/>
        <v>114.58</v>
      </c>
      <c r="GL18" vm="3558">
        <f ca="1"/>
        <v>116</v>
      </c>
      <c r="GM18" vm="3609">
        <f ca="1"/>
        <v>115.27</v>
      </c>
      <c r="GN18" vm="3647">
        <f ca="1"/>
        <v>117.36</v>
      </c>
      <c r="GO18" vm="3648">
        <f ca="1"/>
        <v>117.05</v>
      </c>
      <c r="GP18" vm="3619">
        <f ca="1"/>
        <v>114.77</v>
      </c>
      <c r="GQ18" vm="3649">
        <f ca="1"/>
        <v>112.8</v>
      </c>
      <c r="GR18" vm="3650">
        <f ca="1"/>
        <v>115.82</v>
      </c>
      <c r="GS18" vm="3651">
        <f ca="1"/>
        <v>117.22</v>
      </c>
      <c r="GT18" vm="3652">
        <f ca="1"/>
        <v>119.93</v>
      </c>
      <c r="GU18" vm="3653">
        <f ca="1"/>
        <v>121.52</v>
      </c>
      <c r="GV18" vm="3654">
        <f ca="1"/>
        <v>122.58</v>
      </c>
      <c r="GW18" vm="3655">
        <f ca="1"/>
        <v>124.83</v>
      </c>
      <c r="GX18" vm="3656">
        <f ca="1"/>
        <v>125.37</v>
      </c>
      <c r="GY18" vm="3657">
        <f ca="1"/>
        <v>122.04</v>
      </c>
      <c r="GZ18" vm="3658">
        <f ca="1"/>
        <v>122.09</v>
      </c>
      <c r="HA18" vm="3659">
        <f ca="1"/>
        <v>123.14</v>
      </c>
      <c r="HB18" vm="3660">
        <f ca="1"/>
        <v>123.61</v>
      </c>
      <c r="HC18" vm="3661">
        <f ca="1"/>
        <v>124.08</v>
      </c>
      <c r="HD18" vm="3662">
        <f ca="1"/>
        <v>120.35</v>
      </c>
      <c r="HE18" vm="3663">
        <f ca="1"/>
        <v>120.66</v>
      </c>
      <c r="HF18" vm="3662">
        <f ca="1"/>
        <v>120.35</v>
      </c>
      <c r="HG18" vm="3664">
        <f ca="1"/>
        <v>120.01</v>
      </c>
      <c r="HH18" vm="3665">
        <f ca="1"/>
        <v>120.08</v>
      </c>
      <c r="HI18" vm="3666">
        <f ca="1"/>
        <v>120.7</v>
      </c>
      <c r="HJ18" vm="3667">
        <f ca="1"/>
        <v>120.27</v>
      </c>
      <c r="HK18" vm="3668">
        <f ca="1"/>
        <v>119.59</v>
      </c>
      <c r="HL18" vm="3669">
        <f ca="1"/>
        <v>119.49</v>
      </c>
      <c r="HM18" vm="3670">
        <f ca="1"/>
        <v>118.9</v>
      </c>
      <c r="HN18" vm="3671">
        <f ca="1"/>
        <v>117.28</v>
      </c>
      <c r="HO18" vm="3672">
        <f ca="1"/>
        <v>116.69</v>
      </c>
      <c r="HP18" vm="3673">
        <f ca="1"/>
        <v>116.78</v>
      </c>
      <c r="HQ18" vm="3674">
        <f ca="1"/>
        <v>114.95</v>
      </c>
      <c r="HR18" vm="3675">
        <f ca="1"/>
        <v>118.61</v>
      </c>
      <c r="HS18" vm="3676">
        <f ca="1"/>
        <v>118.96</v>
      </c>
      <c r="HT18" vm="3677">
        <f ca="1"/>
        <v>121</v>
      </c>
      <c r="HU18" vm="3678">
        <f ca="1"/>
        <v>121.15</v>
      </c>
      <c r="HV18" vm="3679">
        <f ca="1"/>
        <v>121.11</v>
      </c>
      <c r="HW18" vm="3680">
        <f ca="1"/>
        <v>120.47</v>
      </c>
      <c r="HX18" vm="3662">
        <f ca="1"/>
        <v>120.35</v>
      </c>
      <c r="HY18" vm="3681">
        <f ca="1"/>
        <v>121.47</v>
      </c>
      <c r="HZ18" vm="3550">
        <f ca="1"/>
        <v>120.56</v>
      </c>
      <c r="IA18" vm="3682">
        <f ca="1"/>
        <v>119.31</v>
      </c>
      <c r="IB18" vm="3683">
        <f ca="1"/>
        <v>120.31</v>
      </c>
      <c r="IC18" vm="3547">
        <f ca="1"/>
        <v>118.63</v>
      </c>
      <c r="ID18" vm="3684">
        <f ca="1"/>
        <v>120.32</v>
      </c>
      <c r="IE18" vm="3685">
        <f ca="1"/>
        <v>121.93</v>
      </c>
      <c r="IF18" vm="3543">
        <f ca="1"/>
        <v>121.79</v>
      </c>
      <c r="IG18" vm="3686">
        <f ca="1"/>
        <v>119.97</v>
      </c>
      <c r="IH18" vm="3687">
        <f ca="1"/>
        <v>117.97</v>
      </c>
      <c r="II18" vm="3688">
        <f ca="1"/>
        <v>117.66</v>
      </c>
      <c r="IJ18" vm="3554">
        <f ca="1"/>
        <v>117.96</v>
      </c>
      <c r="IK18" vm="3568">
        <f ca="1"/>
        <v>117.85</v>
      </c>
      <c r="IL18" vm="3564">
        <f ca="1"/>
        <v>117.67</v>
      </c>
      <c r="IM18" vm="3689">
        <f ca="1"/>
        <v>114.28</v>
      </c>
      <c r="IN18" vm="3690">
        <f ca="1"/>
        <v>114.78</v>
      </c>
      <c r="IO18" vm="3691">
        <f ca="1"/>
        <v>113.57</v>
      </c>
      <c r="IP18" vm="3692">
        <f ca="1"/>
        <v>112.9</v>
      </c>
      <c r="IQ18" vm="3577">
        <f ca="1"/>
        <v>112.67</v>
      </c>
    </row>
    <row r="19" spans="1:251">
      <c r="A19" cm="1" vm="3693">
        <f t="array" aca="1" ref="A19:IQ19" ca="1">TRANSPOSE(_xlfn.STOCKHISTORY(Table3[[#This Row],[Stock Name ]],TODAY()-365,TODAY(),0,0,1))</f>
        <v>44.04</v>
      </c>
      <c r="B19" vm="3694">
        <f ca="1"/>
        <v>44.57</v>
      </c>
      <c r="C19" vm="3695">
        <f ca="1"/>
        <v>45.18</v>
      </c>
      <c r="D19" vm="3696">
        <f ca="1"/>
        <v>46.16</v>
      </c>
      <c r="E19" vm="2908">
        <f ca="1"/>
        <v>45.69</v>
      </c>
      <c r="F19" vm="2930">
        <f ca="1"/>
        <v>46.66</v>
      </c>
      <c r="G19" vm="3697">
        <f ca="1"/>
        <v>45.76</v>
      </c>
      <c r="H19" vm="3698">
        <f ca="1"/>
        <v>47.08</v>
      </c>
      <c r="I19" vm="2885">
        <f ca="1"/>
        <v>48</v>
      </c>
      <c r="J19" vm="3699">
        <f ca="1"/>
        <v>50.5</v>
      </c>
      <c r="K19" vm="3700">
        <f ca="1"/>
        <v>50.76</v>
      </c>
      <c r="L19" vm="2946">
        <f ca="1"/>
        <v>50.39</v>
      </c>
      <c r="M19" vm="3701">
        <f ca="1"/>
        <v>50.25</v>
      </c>
      <c r="N19" vm="3702">
        <f ca="1"/>
        <v>47.8</v>
      </c>
      <c r="O19" vm="3703">
        <f ca="1"/>
        <v>47.05</v>
      </c>
      <c r="P19" vm="3704">
        <f ca="1"/>
        <v>46.87</v>
      </c>
      <c r="Q19" vm="3705">
        <f ca="1"/>
        <v>46.89</v>
      </c>
      <c r="R19" vm="2928">
        <f ca="1"/>
        <v>48.45</v>
      </c>
      <c r="S19" vm="3706">
        <f ca="1"/>
        <v>48.05</v>
      </c>
      <c r="T19" vm="3707">
        <f ca="1"/>
        <v>47.47</v>
      </c>
      <c r="U19" vm="3708">
        <f ca="1"/>
        <v>47.64</v>
      </c>
      <c r="V19" vm="2882">
        <f ca="1"/>
        <v>47.12</v>
      </c>
      <c r="W19" vm="3709">
        <f ca="1"/>
        <v>47.06</v>
      </c>
      <c r="X19" vm="2118">
        <f ca="1"/>
        <v>46.06</v>
      </c>
      <c r="Y19" vm="3710">
        <f ca="1"/>
        <v>46.74</v>
      </c>
      <c r="Z19" vm="3711">
        <f ca="1"/>
        <v>48.15</v>
      </c>
      <c r="AA19" vm="3712">
        <f ca="1"/>
        <v>48.22</v>
      </c>
      <c r="AB19" vm="3713">
        <f ca="1"/>
        <v>48.89</v>
      </c>
      <c r="AC19" vm="3714">
        <f ca="1"/>
        <v>49.09</v>
      </c>
      <c r="AD19" vm="2857">
        <f ca="1"/>
        <v>49.55</v>
      </c>
      <c r="AE19" vm="3715">
        <f ca="1"/>
        <v>43.65</v>
      </c>
      <c r="AF19" vm="3716">
        <f ca="1"/>
        <v>43.84</v>
      </c>
      <c r="AG19" vm="3717">
        <f ca="1"/>
        <v>42.92</v>
      </c>
      <c r="AH19" vm="3718">
        <f ca="1"/>
        <v>43.08</v>
      </c>
      <c r="AI19" vm="3719">
        <f ca="1"/>
        <v>43.36</v>
      </c>
      <c r="AJ19" vm="2097">
        <f ca="1"/>
        <v>42.6</v>
      </c>
      <c r="AK19" vm="3720">
        <f ca="1"/>
        <v>42.77</v>
      </c>
      <c r="AL19" vm="3721">
        <f ca="1"/>
        <v>42.74</v>
      </c>
      <c r="AM19" vm="3722">
        <f ca="1"/>
        <v>42.78</v>
      </c>
      <c r="AN19" vm="3723">
        <f ca="1"/>
        <v>42.5</v>
      </c>
      <c r="AO19" vm="3724">
        <f ca="1"/>
        <v>43.31</v>
      </c>
      <c r="AP19" vm="3725">
        <f ca="1"/>
        <v>44.03</v>
      </c>
      <c r="AQ19" vm="3726">
        <f ca="1"/>
        <v>43.16</v>
      </c>
      <c r="AR19" vm="3727">
        <f ca="1"/>
        <v>44.19</v>
      </c>
      <c r="AS19" vm="3728">
        <f ca="1"/>
        <v>44.05</v>
      </c>
      <c r="AT19" vm="3729">
        <f ca="1"/>
        <v>43.51</v>
      </c>
      <c r="AU19" vm="3730">
        <f ca="1"/>
        <v>44.52</v>
      </c>
      <c r="AV19" vm="3731">
        <f ca="1"/>
        <v>43.47</v>
      </c>
      <c r="AW19" vm="3732">
        <f ca="1"/>
        <v>42.98</v>
      </c>
      <c r="AX19" vm="3733">
        <f ca="1"/>
        <v>42.99</v>
      </c>
      <c r="AY19" vm="3733">
        <f ca="1"/>
        <v>42.99</v>
      </c>
      <c r="AZ19" vm="3734">
        <f ca="1"/>
        <v>42.73</v>
      </c>
      <c r="BA19" vm="3735">
        <f ca="1"/>
        <v>41.99</v>
      </c>
      <c r="BB19" vm="3736">
        <f ca="1"/>
        <v>43.05</v>
      </c>
      <c r="BC19" vm="3737">
        <f ca="1"/>
        <v>43.82</v>
      </c>
      <c r="BD19" vm="3738">
        <f ca="1"/>
        <v>45.61</v>
      </c>
      <c r="BE19" vm="3726">
        <f ca="1"/>
        <v>43.16</v>
      </c>
      <c r="BF19" vm="3739">
        <f ca="1"/>
        <v>44.51</v>
      </c>
      <c r="BG19" vm="3740">
        <f ca="1"/>
        <v>46.15</v>
      </c>
      <c r="BH19" vm="3741">
        <f ca="1"/>
        <v>44</v>
      </c>
      <c r="BI19" vm="2936">
        <f ca="1"/>
        <v>44.86</v>
      </c>
      <c r="BJ19" vm="3742">
        <f ca="1"/>
        <v>45.24</v>
      </c>
      <c r="BK19" vm="3743">
        <f ca="1"/>
        <v>43.23</v>
      </c>
      <c r="BL19" vm="3744">
        <f ca="1"/>
        <v>42.75</v>
      </c>
      <c r="BM19" vm="3745">
        <f ca="1"/>
        <v>42.64</v>
      </c>
      <c r="BN19" vm="3746">
        <f ca="1"/>
        <v>42.71</v>
      </c>
      <c r="BO19" vm="3747">
        <f ca="1"/>
        <v>42.05</v>
      </c>
      <c r="BP19" vm="3748">
        <f ca="1"/>
        <v>42.2</v>
      </c>
      <c r="BQ19" vm="3749">
        <f ca="1"/>
        <v>42.42</v>
      </c>
      <c r="BR19" vm="3750">
        <f ca="1"/>
        <v>42.57</v>
      </c>
      <c r="BS19" vm="3751">
        <f ca="1"/>
        <v>41.83</v>
      </c>
      <c r="BT19" vm="3735">
        <f ca="1"/>
        <v>41.99</v>
      </c>
      <c r="BU19" vm="3752">
        <f ca="1"/>
        <v>43.77</v>
      </c>
      <c r="BV19" vm="3753">
        <f ca="1"/>
        <v>44.17</v>
      </c>
      <c r="BW19" vm="3730">
        <f ca="1"/>
        <v>44.52</v>
      </c>
      <c r="BX19" vm="3754">
        <f ca="1"/>
        <v>43.94</v>
      </c>
      <c r="BY19" vm="3755">
        <f ca="1"/>
        <v>40.33</v>
      </c>
      <c r="BZ19" vm="3756">
        <f ca="1"/>
        <v>39.729999999999997</v>
      </c>
      <c r="CA19" vm="3757">
        <f ca="1"/>
        <v>38.71</v>
      </c>
      <c r="CB19" vm="3758">
        <f ca="1"/>
        <v>37.979999999999997</v>
      </c>
      <c r="CC19" vm="3759">
        <f ca="1"/>
        <v>38.33</v>
      </c>
      <c r="CD19" vm="3760">
        <f ca="1"/>
        <v>37.200000000000003</v>
      </c>
      <c r="CE19" vm="3761">
        <f ca="1"/>
        <v>37.630000000000003</v>
      </c>
      <c r="CF19" vm="1966">
        <f ca="1"/>
        <v>35.69</v>
      </c>
      <c r="CG19" vm="3762">
        <f ca="1"/>
        <v>36.31</v>
      </c>
      <c r="CH19" vm="3763">
        <f ca="1"/>
        <v>36.26</v>
      </c>
      <c r="CI19" vm="3764">
        <f ca="1"/>
        <v>35.68</v>
      </c>
      <c r="CJ19" vm="3765">
        <f ca="1"/>
        <v>35.04</v>
      </c>
      <c r="CK19" vm="3766">
        <f ca="1"/>
        <v>34.200000000000003</v>
      </c>
      <c r="CL19" vm="3767">
        <f ca="1"/>
        <v>34.409999999999997</v>
      </c>
      <c r="CM19" vm="1954">
        <f ca="1"/>
        <v>34.28</v>
      </c>
      <c r="CN19" vm="3768">
        <f ca="1"/>
        <v>34.5</v>
      </c>
      <c r="CO19" vm="3769">
        <f ca="1"/>
        <v>35.11</v>
      </c>
      <c r="CP19" vm="3770">
        <f ca="1"/>
        <v>31.88</v>
      </c>
      <c r="CQ19" vm="3771">
        <f ca="1"/>
        <v>31.36</v>
      </c>
      <c r="CR19" vm="3772">
        <f ca="1"/>
        <v>30.47</v>
      </c>
      <c r="CS19" vm="3773">
        <f ca="1"/>
        <v>30.37</v>
      </c>
      <c r="CT19" vm="3774">
        <f ca="1"/>
        <v>30.51</v>
      </c>
      <c r="CU19" vm="3775">
        <f ca="1"/>
        <v>30.9</v>
      </c>
      <c r="CV19" vm="3776">
        <f ca="1"/>
        <v>30.97</v>
      </c>
      <c r="CW19" vm="3777">
        <f ca="1"/>
        <v>30.68</v>
      </c>
      <c r="CX19" vm="3778">
        <f ca="1"/>
        <v>30</v>
      </c>
      <c r="CY19" vm="3779">
        <f ca="1"/>
        <v>30.09</v>
      </c>
      <c r="CZ19" vm="3780">
        <f ca="1"/>
        <v>29.85</v>
      </c>
      <c r="DA19" vm="3774">
        <f ca="1"/>
        <v>30.51</v>
      </c>
      <c r="DB19" vm="3781">
        <f ca="1"/>
        <v>31.05</v>
      </c>
      <c r="DC19" vm="3782">
        <f ca="1"/>
        <v>31.27</v>
      </c>
      <c r="DD19" vm="3783">
        <f ca="1"/>
        <v>32.03</v>
      </c>
      <c r="DE19" vm="3784">
        <f ca="1"/>
        <v>31.83</v>
      </c>
      <c r="DF19" vm="3785">
        <f ca="1"/>
        <v>32.1</v>
      </c>
      <c r="DG19" vm="3786">
        <f ca="1"/>
        <v>31.74</v>
      </c>
      <c r="DH19" vm="3787">
        <f ca="1"/>
        <v>31.42</v>
      </c>
      <c r="DI19" vm="3788">
        <f ca="1"/>
        <v>30.08</v>
      </c>
      <c r="DJ19" vm="3789">
        <f ca="1"/>
        <v>30.72</v>
      </c>
      <c r="DK19" vm="3790">
        <f ca="1"/>
        <v>31.06</v>
      </c>
      <c r="DL19" vm="3791">
        <f ca="1"/>
        <v>30.13</v>
      </c>
      <c r="DM19" vm="3792">
        <f ca="1"/>
        <v>30.19</v>
      </c>
      <c r="DN19" vm="3793">
        <f ca="1"/>
        <v>30.85</v>
      </c>
      <c r="DO19" vm="3794">
        <f ca="1"/>
        <v>30.29</v>
      </c>
      <c r="DP19" vm="3795">
        <f ca="1"/>
        <v>30.03</v>
      </c>
      <c r="DQ19" vm="3796">
        <f ca="1"/>
        <v>30.78</v>
      </c>
      <c r="DR19" vm="3797">
        <f ca="1"/>
        <v>30.42</v>
      </c>
      <c r="DS19" vm="1909">
        <f ca="1"/>
        <v>30.74</v>
      </c>
      <c r="DT19" vm="3798">
        <f ca="1"/>
        <v>30.91</v>
      </c>
      <c r="DU19" vm="3799">
        <f ca="1"/>
        <v>30.92</v>
      </c>
      <c r="DV19" vm="3800">
        <f ca="1"/>
        <v>30.76</v>
      </c>
      <c r="DW19" vm="3801">
        <f ca="1"/>
        <v>30.46</v>
      </c>
      <c r="DX19" vm="3802">
        <f ca="1"/>
        <v>30.45</v>
      </c>
      <c r="DY19" vm="3803">
        <f ca="1"/>
        <v>30.98</v>
      </c>
      <c r="DZ19" vm="3804">
        <f ca="1"/>
        <v>30.63</v>
      </c>
      <c r="EA19" vm="3805">
        <f ca="1"/>
        <v>30.62</v>
      </c>
      <c r="EB19" vm="3806">
        <f ca="1"/>
        <v>31.09</v>
      </c>
      <c r="EC19" vm="3807">
        <f ca="1"/>
        <v>30.57</v>
      </c>
      <c r="ED19" vm="1909">
        <f ca="1"/>
        <v>30.74</v>
      </c>
      <c r="EE19" vm="3808">
        <f ca="1"/>
        <v>30.54</v>
      </c>
      <c r="EF19" vm="3809">
        <f ca="1"/>
        <v>30.59</v>
      </c>
      <c r="EG19" vm="3776">
        <f ca="1"/>
        <v>30.97</v>
      </c>
      <c r="EH19" vm="3810">
        <f ca="1"/>
        <v>30.84</v>
      </c>
      <c r="EI19" vm="3811">
        <f ca="1"/>
        <v>31.07</v>
      </c>
      <c r="EJ19" vm="3812">
        <f ca="1"/>
        <v>31.23</v>
      </c>
      <c r="EK19" vm="3813">
        <f ca="1"/>
        <v>32.020000000000003</v>
      </c>
      <c r="EL19" vm="3814">
        <f ca="1"/>
        <v>33.99</v>
      </c>
      <c r="EM19" vm="3815">
        <f ca="1"/>
        <v>34.590000000000003</v>
      </c>
      <c r="EN19" vm="3816">
        <f ca="1"/>
        <v>34.869999999999997</v>
      </c>
      <c r="EO19" vm="3817">
        <f ca="1"/>
        <v>33.5</v>
      </c>
      <c r="EP19" vm="3818">
        <f ca="1"/>
        <v>34.49</v>
      </c>
      <c r="EQ19" vm="3819">
        <f ca="1"/>
        <v>34.46</v>
      </c>
      <c r="ER19" vm="3820">
        <f ca="1"/>
        <v>34.340000000000003</v>
      </c>
      <c r="ES19" vm="3819">
        <f ca="1"/>
        <v>34.46</v>
      </c>
      <c r="ET19" vm="3816">
        <f ca="1"/>
        <v>34.869999999999997</v>
      </c>
      <c r="EU19" vm="1915">
        <f ca="1"/>
        <v>32.979999999999997</v>
      </c>
      <c r="EV19" vm="3821">
        <f ca="1"/>
        <v>33.369999999999997</v>
      </c>
      <c r="EW19" vm="3822">
        <f ca="1"/>
        <v>32.950000000000003</v>
      </c>
      <c r="EX19" vm="3823">
        <f ca="1"/>
        <v>31.7</v>
      </c>
      <c r="EY19" vm="3824">
        <f ca="1"/>
        <v>31.1</v>
      </c>
      <c r="EZ19" vm="3825">
        <f ca="1"/>
        <v>31.35</v>
      </c>
      <c r="FA19" vm="3826">
        <f ca="1"/>
        <v>30.83</v>
      </c>
      <c r="FB19" vm="3791">
        <f ca="1"/>
        <v>30.13</v>
      </c>
      <c r="FC19" vm="1909">
        <f ca="1"/>
        <v>30.74</v>
      </c>
      <c r="FD19" vm="3827">
        <f ca="1"/>
        <v>29.05</v>
      </c>
      <c r="FE19" vm="3828">
        <f ca="1"/>
        <v>21.48</v>
      </c>
      <c r="FF19" vm="3829">
        <f ca="1"/>
        <v>20.11</v>
      </c>
      <c r="FG19" vm="3830">
        <f ca="1"/>
        <v>19.829999999999998</v>
      </c>
      <c r="FH19" vm="3831">
        <f ca="1"/>
        <v>18.989999999999998</v>
      </c>
      <c r="FI19" vm="3832">
        <f ca="1"/>
        <v>20.49</v>
      </c>
      <c r="FJ19" vm="3833">
        <f ca="1"/>
        <v>19.71</v>
      </c>
      <c r="FK19" vm="3834">
        <f ca="1"/>
        <v>19.36</v>
      </c>
      <c r="FL19" vm="3835">
        <f ca="1"/>
        <v>20.47</v>
      </c>
      <c r="FM19" vm="3836">
        <f ca="1"/>
        <v>19.920000000000002</v>
      </c>
      <c r="FN19" vm="3837">
        <f ca="1"/>
        <v>20.69</v>
      </c>
      <c r="FO19" vm="3838">
        <f ca="1"/>
        <v>20.87</v>
      </c>
      <c r="FP19" vm="3839">
        <f ca="1"/>
        <v>21.52</v>
      </c>
      <c r="FQ19" vm="3840">
        <f ca="1"/>
        <v>20.99</v>
      </c>
      <c r="FR19" vm="3841">
        <f ca="1"/>
        <v>21.41</v>
      </c>
      <c r="FS19" vm="3842">
        <f ca="1"/>
        <v>20.100000000000001</v>
      </c>
      <c r="FT19" vm="3843">
        <f ca="1"/>
        <v>20.54</v>
      </c>
      <c r="FU19" vm="3844">
        <f ca="1"/>
        <v>20.13</v>
      </c>
      <c r="FV19" vm="3845">
        <f ca="1"/>
        <v>20.07</v>
      </c>
      <c r="FW19" vm="3846">
        <f ca="1"/>
        <v>19.61</v>
      </c>
      <c r="FX19" vm="3844">
        <f ca="1"/>
        <v>20.13</v>
      </c>
      <c r="FY19" vm="1886">
        <f ca="1"/>
        <v>22.04</v>
      </c>
      <c r="FZ19" vm="3842">
        <f ca="1"/>
        <v>20.100000000000001</v>
      </c>
      <c r="GA19" vm="1833">
        <f ca="1"/>
        <v>19.43</v>
      </c>
      <c r="GB19" vm="1831">
        <f ca="1"/>
        <v>19.399999999999999</v>
      </c>
      <c r="GC19" vm="3847">
        <f ca="1"/>
        <v>18.89</v>
      </c>
      <c r="GD19" vm="3848">
        <f ca="1"/>
        <v>19.07</v>
      </c>
      <c r="GE19" vm="1809">
        <f ca="1"/>
        <v>18.98</v>
      </c>
      <c r="GF19" vm="3849">
        <f ca="1"/>
        <v>19.64</v>
      </c>
      <c r="GG19" vm="3834">
        <f ca="1"/>
        <v>19.36</v>
      </c>
      <c r="GH19" vm="3850">
        <f ca="1"/>
        <v>19.66</v>
      </c>
      <c r="GI19" vm="3851">
        <f ca="1"/>
        <v>20.91</v>
      </c>
      <c r="GJ19" vm="3852">
        <f ca="1"/>
        <v>21.47</v>
      </c>
      <c r="GK19" vm="3853">
        <f ca="1"/>
        <v>20.77</v>
      </c>
      <c r="GL19" vm="3854">
        <f ca="1"/>
        <v>21.14</v>
      </c>
      <c r="GM19" vm="3855">
        <f ca="1"/>
        <v>21.84</v>
      </c>
      <c r="GN19" vm="3856">
        <f ca="1"/>
        <v>22.56</v>
      </c>
      <c r="GO19" vm="3857">
        <f ca="1"/>
        <v>22.81</v>
      </c>
      <c r="GP19" vm="3858">
        <f ca="1"/>
        <v>23.54</v>
      </c>
      <c r="GQ19" vm="3859">
        <f ca="1"/>
        <v>23.92</v>
      </c>
      <c r="GR19" vm="3860">
        <f ca="1"/>
        <v>23.91</v>
      </c>
      <c r="GS19" vm="3861">
        <f ca="1"/>
        <v>23.46</v>
      </c>
      <c r="GT19" vm="3862">
        <f ca="1"/>
        <v>22.69</v>
      </c>
      <c r="GU19" vm="3863">
        <f ca="1"/>
        <v>22.39</v>
      </c>
      <c r="GV19" vm="3864">
        <f ca="1"/>
        <v>22.26</v>
      </c>
      <c r="GW19" vm="3865">
        <f ca="1"/>
        <v>22.59</v>
      </c>
      <c r="GX19" vm="3866">
        <f ca="1"/>
        <v>22.38</v>
      </c>
      <c r="GY19" vm="3867">
        <f ca="1"/>
        <v>23.32</v>
      </c>
      <c r="GZ19" vm="3861">
        <f ca="1"/>
        <v>23.46</v>
      </c>
      <c r="HA19" vm="3868">
        <f ca="1"/>
        <v>23.22</v>
      </c>
      <c r="HB19" vm="3869">
        <f ca="1"/>
        <v>23.56</v>
      </c>
      <c r="HC19" vm="3870">
        <f ca="1"/>
        <v>23.44</v>
      </c>
      <c r="HD19" vm="3871">
        <f ca="1"/>
        <v>22.66</v>
      </c>
      <c r="HE19" vm="1888">
        <f ca="1"/>
        <v>22.31</v>
      </c>
      <c r="HF19" vm="3872">
        <f ca="1"/>
        <v>22.44</v>
      </c>
      <c r="HG19" vm="3873">
        <f ca="1"/>
        <v>22.77</v>
      </c>
      <c r="HH19" vm="3874">
        <f ca="1"/>
        <v>22.84</v>
      </c>
      <c r="HI19" vm="3875">
        <f ca="1"/>
        <v>22.4</v>
      </c>
      <c r="HJ19" vm="3876">
        <f ca="1"/>
        <v>21.98</v>
      </c>
      <c r="HK19" vm="1887">
        <f ca="1"/>
        <v>22.34</v>
      </c>
      <c r="HL19" vm="1892">
        <f ca="1"/>
        <v>22.68</v>
      </c>
      <c r="HM19" vm="3877">
        <f ca="1"/>
        <v>22.92</v>
      </c>
      <c r="HN19" vm="3878">
        <f ca="1"/>
        <v>22.9</v>
      </c>
      <c r="HO19" vm="1890">
        <f ca="1"/>
        <v>22.3</v>
      </c>
      <c r="HP19" vm="3839">
        <f ca="1"/>
        <v>21.52</v>
      </c>
      <c r="HQ19" vm="3879">
        <f ca="1"/>
        <v>23.2</v>
      </c>
      <c r="HR19" vm="3880">
        <f ca="1"/>
        <v>22.52</v>
      </c>
      <c r="HS19" vm="3867">
        <f ca="1"/>
        <v>23.32</v>
      </c>
      <c r="HT19" vm="3881">
        <f ca="1"/>
        <v>25.05</v>
      </c>
      <c r="HU19" vm="3882">
        <f ca="1"/>
        <v>26.23</v>
      </c>
      <c r="HV19" vm="3883">
        <f ca="1"/>
        <v>26.2</v>
      </c>
      <c r="HW19" vm="3881">
        <f ca="1"/>
        <v>25.05</v>
      </c>
      <c r="HX19" vm="3884">
        <f ca="1"/>
        <v>24.16</v>
      </c>
      <c r="HY19" vm="3885">
        <f ca="1"/>
        <v>24.92</v>
      </c>
      <c r="HZ19" vm="3886">
        <f ca="1"/>
        <v>25.03</v>
      </c>
      <c r="IA19" vm="3887">
        <f ca="1"/>
        <v>24.35</v>
      </c>
      <c r="IB19" vm="3888">
        <f ca="1"/>
        <v>24.84</v>
      </c>
      <c r="IC19" vm="3889">
        <f ca="1"/>
        <v>24.2</v>
      </c>
      <c r="ID19" vm="3890">
        <f ca="1"/>
        <v>24.01</v>
      </c>
      <c r="IE19" vm="3891">
        <f ca="1"/>
        <v>24.44</v>
      </c>
      <c r="IF19" vm="3892">
        <f ca="1"/>
        <v>24.5</v>
      </c>
      <c r="IG19" vm="3893">
        <f ca="1"/>
        <v>24.87</v>
      </c>
      <c r="IH19" vm="3894">
        <f ca="1"/>
        <v>24.05</v>
      </c>
      <c r="II19" vm="3895">
        <f ca="1"/>
        <v>23.65</v>
      </c>
      <c r="IJ19" vm="3894">
        <f ca="1"/>
        <v>24.05</v>
      </c>
      <c r="IK19" vm="3896">
        <f ca="1"/>
        <v>23.93</v>
      </c>
      <c r="IL19" vm="3897">
        <f ca="1"/>
        <v>22.47</v>
      </c>
      <c r="IM19" vm="3898">
        <f ca="1"/>
        <v>21.96</v>
      </c>
      <c r="IN19" vm="3899">
        <f ca="1"/>
        <v>20.8</v>
      </c>
      <c r="IO19" vm="3900">
        <f ca="1"/>
        <v>20.92</v>
      </c>
      <c r="IP19" vm="3901">
        <f ca="1"/>
        <v>20.81</v>
      </c>
      <c r="IQ19" vm="3902">
        <f ca="1"/>
        <v>20.16</v>
      </c>
    </row>
    <row r="20" spans="1:251">
      <c r="A20" cm="1" vm="3903">
        <f t="array" aca="1" ref="A20:IQ20" ca="1">TRANSPOSE(_xlfn.STOCKHISTORY(Table3[[#This Row],[Stock Name ]],TODAY()-365,TODAY(),0,0,1))</f>
        <v>164.71</v>
      </c>
      <c r="B20" vm="3904">
        <f ca="1"/>
        <v>163.62</v>
      </c>
      <c r="C20" vm="3905">
        <f ca="1"/>
        <v>162.91</v>
      </c>
      <c r="D20" vm="3906">
        <f ca="1"/>
        <v>162.22999999999999</v>
      </c>
      <c r="E20" vm="3907">
        <f ca="1"/>
        <v>162.74</v>
      </c>
      <c r="F20" vm="3908">
        <f ca="1"/>
        <v>161.56</v>
      </c>
      <c r="G20" vm="3909">
        <f ca="1"/>
        <v>160.05000000000001</v>
      </c>
      <c r="H20" vm="3910">
        <f ca="1"/>
        <v>160.78</v>
      </c>
      <c r="I20" vm="1206">
        <f ca="1"/>
        <v>162.13999999999999</v>
      </c>
      <c r="J20" vm="3911">
        <f ca="1"/>
        <v>163.21</v>
      </c>
      <c r="K20" vm="631">
        <f ca="1"/>
        <v>163.46</v>
      </c>
      <c r="L20" vm="3912">
        <f ca="1"/>
        <v>163.75</v>
      </c>
      <c r="M20" vm="664">
        <f ca="1"/>
        <v>163.55000000000001</v>
      </c>
      <c r="N20" vm="3913">
        <f ca="1"/>
        <v>161.5</v>
      </c>
      <c r="O20" vm="3914">
        <f ca="1"/>
        <v>160.1</v>
      </c>
      <c r="P20" vm="3915">
        <f ca="1"/>
        <v>160.86000000000001</v>
      </c>
      <c r="Q20" vm="3916">
        <f ca="1"/>
        <v>159.16</v>
      </c>
      <c r="R20" vm="2694">
        <f ca="1"/>
        <v>161.13999999999999</v>
      </c>
      <c r="S20" vm="3917">
        <f ca="1"/>
        <v>160.08000000000001</v>
      </c>
      <c r="T20" vm="677">
        <f ca="1"/>
        <v>161.22999999999999</v>
      </c>
      <c r="U20" vm="3918">
        <f ca="1"/>
        <v>162.16</v>
      </c>
      <c r="V20" vm="996">
        <f ca="1"/>
        <v>165.8</v>
      </c>
      <c r="W20" vm="3919">
        <f ca="1"/>
        <v>166.96</v>
      </c>
      <c r="X20" vm="3920">
        <f ca="1"/>
        <v>166.08</v>
      </c>
      <c r="Y20" vm="3921">
        <f ca="1"/>
        <v>166.84</v>
      </c>
      <c r="Z20" vm="1540">
        <f ca="1"/>
        <v>171.48</v>
      </c>
      <c r="AA20" vm="3922">
        <f ca="1"/>
        <v>172.83</v>
      </c>
      <c r="AB20" vm="3923">
        <f ca="1"/>
        <v>173.94</v>
      </c>
      <c r="AC20" vm="3924">
        <f ca="1"/>
        <v>173.93</v>
      </c>
      <c r="AD20" vm="3925">
        <f ca="1"/>
        <v>190.43</v>
      </c>
      <c r="AE20" vm="3926">
        <f ca="1"/>
        <v>187.42</v>
      </c>
      <c r="AF20" vm="3927">
        <f ca="1"/>
        <v>187.14</v>
      </c>
      <c r="AG20" vm="3928">
        <f ca="1"/>
        <v>187.87</v>
      </c>
      <c r="AH20" vm="1360">
        <f ca="1"/>
        <v>183.66</v>
      </c>
      <c r="AI20" vm="3929">
        <f ca="1"/>
        <v>186.9</v>
      </c>
      <c r="AJ20" vm="3930">
        <f ca="1"/>
        <v>185.79</v>
      </c>
      <c r="AK20" vm="922">
        <f ca="1"/>
        <v>183.42</v>
      </c>
      <c r="AL20" vm="3931">
        <f ca="1"/>
        <v>183.41</v>
      </c>
      <c r="AM20" vm="3932">
        <f ca="1"/>
        <v>183.74</v>
      </c>
      <c r="AN20" vm="3933">
        <f ca="1"/>
        <v>184.36</v>
      </c>
      <c r="AO20" vm="1365">
        <f ca="1"/>
        <v>186.34</v>
      </c>
      <c r="AP20" vm="3934">
        <f ca="1"/>
        <v>186.16</v>
      </c>
      <c r="AQ20" vm="3935">
        <f ca="1"/>
        <v>183.7</v>
      </c>
      <c r="AR20" vm="3936">
        <f ca="1"/>
        <v>183.57</v>
      </c>
      <c r="AS20" vm="3937">
        <f ca="1"/>
        <v>186.87</v>
      </c>
      <c r="AT20" vm="3938">
        <f ca="1"/>
        <v>187.64</v>
      </c>
      <c r="AU20" vm="3939">
        <f ca="1"/>
        <v>183.44</v>
      </c>
      <c r="AV20" vm="3940">
        <f ca="1"/>
        <v>179.7</v>
      </c>
      <c r="AW20" vm="3941">
        <f ca="1"/>
        <v>184.21</v>
      </c>
      <c r="AX20" vm="3942">
        <f ca="1"/>
        <v>185.72</v>
      </c>
      <c r="AY20" vm="3943">
        <f ca="1"/>
        <v>184.13</v>
      </c>
      <c r="AZ20" vm="3944">
        <f ca="1"/>
        <v>184.87</v>
      </c>
      <c r="BA20" vm="3945">
        <f ca="1"/>
        <v>185.3</v>
      </c>
      <c r="BB20" vm="3946">
        <f ca="1"/>
        <v>185.03</v>
      </c>
      <c r="BC20" vm="3947">
        <f ca="1"/>
        <v>188.2</v>
      </c>
      <c r="BD20" vm="3948">
        <f ca="1"/>
        <v>193.06</v>
      </c>
      <c r="BE20" vm="3949">
        <f ca="1"/>
        <v>191.95</v>
      </c>
      <c r="BF20" vm="3950">
        <f ca="1"/>
        <v>196.16</v>
      </c>
      <c r="BG20" vm="3951">
        <f ca="1"/>
        <v>196.54</v>
      </c>
      <c r="BH20" vm="3952">
        <f ca="1"/>
        <v>195.95</v>
      </c>
      <c r="BI20" vm="1503">
        <f ca="1"/>
        <v>191.73</v>
      </c>
      <c r="BJ20" vm="3953">
        <f ca="1"/>
        <v>197.78</v>
      </c>
      <c r="BK20" vm="3954">
        <f ca="1"/>
        <v>196.7</v>
      </c>
      <c r="BL20" vm="3955">
        <f ca="1"/>
        <v>193.43</v>
      </c>
      <c r="BM20" vm="3956">
        <f ca="1"/>
        <v>191.07</v>
      </c>
      <c r="BN20" vm="3957">
        <f ca="1"/>
        <v>191.69</v>
      </c>
      <c r="BO20" vm="3958">
        <f ca="1"/>
        <v>193.34</v>
      </c>
      <c r="BP20" vm="1422">
        <f ca="1"/>
        <v>193.96</v>
      </c>
      <c r="BQ20" vm="3959">
        <f ca="1"/>
        <v>191.9</v>
      </c>
      <c r="BR20" vm="3960">
        <f ca="1"/>
        <v>190.84</v>
      </c>
      <c r="BS20" vm="3961">
        <f ca="1"/>
        <v>188.79</v>
      </c>
      <c r="BT20" vm="3962">
        <f ca="1"/>
        <v>188.5</v>
      </c>
      <c r="BU20" vm="3963">
        <f ca="1"/>
        <v>190.8</v>
      </c>
      <c r="BV20" vm="3964">
        <f ca="1"/>
        <v>190.96</v>
      </c>
      <c r="BW20" vm="3965">
        <f ca="1"/>
        <v>189.83</v>
      </c>
      <c r="BX20" vm="3966">
        <f ca="1"/>
        <v>188.88</v>
      </c>
      <c r="BY20" vm="1572">
        <f ca="1"/>
        <v>190.9</v>
      </c>
      <c r="BZ20" vm="3967">
        <f ca="1"/>
        <v>187.94</v>
      </c>
      <c r="CA20" vm="3968">
        <f ca="1"/>
        <v>189.14</v>
      </c>
      <c r="CB20" vm="3969">
        <f ca="1"/>
        <v>189.82</v>
      </c>
      <c r="CC20" vm="3970">
        <f ca="1"/>
        <v>189.31</v>
      </c>
      <c r="CD20" vm="3971">
        <f ca="1"/>
        <v>186.04</v>
      </c>
      <c r="CE20" vm="3972">
        <f ca="1"/>
        <v>185.9</v>
      </c>
      <c r="CF20" vm="3973">
        <f ca="1"/>
        <v>182.27</v>
      </c>
      <c r="CG20" vm="3974">
        <f ca="1"/>
        <v>181.25</v>
      </c>
      <c r="CH20" vm="1380">
        <f ca="1"/>
        <v>183.75</v>
      </c>
      <c r="CI20" vm="3975">
        <f ca="1"/>
        <v>183.1</v>
      </c>
      <c r="CJ20" vm="3976">
        <f ca="1"/>
        <v>181.47</v>
      </c>
      <c r="CK20" vm="3977">
        <f ca="1"/>
        <v>181.58</v>
      </c>
      <c r="CL20" vm="3978">
        <f ca="1"/>
        <v>181.9</v>
      </c>
      <c r="CM20" vm="3979">
        <f ca="1"/>
        <v>182.19</v>
      </c>
      <c r="CN20" vm="3980">
        <f ca="1"/>
        <v>184.1</v>
      </c>
      <c r="CO20" vm="3981">
        <f ca="1"/>
        <v>168.91</v>
      </c>
      <c r="CP20" vm="3982">
        <f ca="1"/>
        <v>167.13</v>
      </c>
      <c r="CQ20" vm="960">
        <f ca="1"/>
        <v>167.43</v>
      </c>
      <c r="CR20" vm="3983">
        <f ca="1"/>
        <v>166.2</v>
      </c>
      <c r="CS20" vm="3984">
        <f ca="1"/>
        <v>164.43</v>
      </c>
      <c r="CT20" vm="3985">
        <f ca="1"/>
        <v>164.69</v>
      </c>
      <c r="CU20" vm="3986">
        <f ca="1"/>
        <v>165.71</v>
      </c>
      <c r="CV20" vm="3987">
        <f ca="1"/>
        <v>168.61</v>
      </c>
      <c r="CW20" vm="3988">
        <f ca="1"/>
        <v>168.38</v>
      </c>
      <c r="CX20" vm="625">
        <f ca="1"/>
        <v>169.9</v>
      </c>
      <c r="CY20" vm="3989">
        <f ca="1"/>
        <v>166.27</v>
      </c>
      <c r="CZ20" vm="3990">
        <f ca="1"/>
        <v>167.15</v>
      </c>
      <c r="DA20" vm="3991">
        <f ca="1"/>
        <v>167.56</v>
      </c>
      <c r="DB20" vm="3992">
        <f ca="1"/>
        <v>167.36</v>
      </c>
      <c r="DC20" vm="3993">
        <f ca="1"/>
        <v>168.26</v>
      </c>
      <c r="DD20" vm="3994">
        <f ca="1"/>
        <v>168.97</v>
      </c>
      <c r="DE20" vm="3995">
        <f ca="1"/>
        <v>169.03</v>
      </c>
      <c r="DF20" vm="3996">
        <f ca="1"/>
        <v>169.92</v>
      </c>
      <c r="DG20" vm="3997">
        <f ca="1"/>
        <v>173.47</v>
      </c>
      <c r="DH20" vm="881">
        <f ca="1"/>
        <v>173.69</v>
      </c>
      <c r="DI20" vm="3998">
        <f ca="1"/>
        <v>170.67</v>
      </c>
      <c r="DJ20" vm="3999">
        <f ca="1"/>
        <v>170.89</v>
      </c>
      <c r="DK20" vm="4000">
        <f ca="1"/>
        <v>169.66</v>
      </c>
      <c r="DL20" vm="4001">
        <f ca="1"/>
        <v>167.05</v>
      </c>
      <c r="DM20" vm="4002">
        <f ca="1"/>
        <v>165.63</v>
      </c>
      <c r="DN20" vm="4003">
        <f ca="1"/>
        <v>166.85</v>
      </c>
      <c r="DO20" vm="2684">
        <f ca="1"/>
        <v>165.28</v>
      </c>
      <c r="DP20" vm="4004">
        <f ca="1"/>
        <v>165.81</v>
      </c>
      <c r="DQ20" vm="4005">
        <f ca="1"/>
        <v>167.38</v>
      </c>
      <c r="DR20" vm="4006">
        <f ca="1"/>
        <v>168.2</v>
      </c>
      <c r="DS20" vm="4007">
        <f ca="1"/>
        <v>170.01</v>
      </c>
      <c r="DT20" vm="4008">
        <f ca="1"/>
        <v>170.38</v>
      </c>
      <c r="DU20" vm="4009">
        <f ca="1"/>
        <v>169.32</v>
      </c>
      <c r="DV20" vm="1526">
        <f ca="1"/>
        <v>169</v>
      </c>
      <c r="DW20" vm="1241">
        <f ca="1"/>
        <v>169.12</v>
      </c>
      <c r="DX20" vm="4010">
        <f ca="1"/>
        <v>169.21</v>
      </c>
      <c r="DY20" vm="4011">
        <f ca="1"/>
        <v>169.5</v>
      </c>
      <c r="DZ20" vm="4012">
        <f ca="1"/>
        <v>170.55</v>
      </c>
      <c r="EA20" vm="4013">
        <f ca="1"/>
        <v>173.92</v>
      </c>
      <c r="EB20" vm="4014">
        <f ca="1"/>
        <v>172.46</v>
      </c>
      <c r="EC20" vm="1145">
        <f ca="1"/>
        <v>175.01</v>
      </c>
      <c r="ED20" vm="4015">
        <f ca="1"/>
        <v>172.6</v>
      </c>
      <c r="EE20" vm="4016">
        <f ca="1"/>
        <v>171.87</v>
      </c>
      <c r="EF20" vm="1537">
        <f ca="1"/>
        <v>170.85</v>
      </c>
      <c r="EG20" vm="4017">
        <f ca="1"/>
        <v>172.95</v>
      </c>
      <c r="EH20" vm="1524">
        <f ca="1"/>
        <v>175.1</v>
      </c>
      <c r="EI20" vm="4018">
        <f ca="1"/>
        <v>177.3</v>
      </c>
      <c r="EJ20" vm="4019">
        <f ca="1"/>
        <v>175.73</v>
      </c>
      <c r="EK20" vm="4020">
        <f ca="1"/>
        <v>176.02</v>
      </c>
      <c r="EL20" vm="4021">
        <f ca="1"/>
        <v>177.64</v>
      </c>
      <c r="EM20" vm="4022">
        <f ca="1"/>
        <v>176.48</v>
      </c>
      <c r="EN20" vm="4023">
        <f ca="1"/>
        <v>177.84</v>
      </c>
      <c r="EO20" vm="4024">
        <f ca="1"/>
        <v>178.31</v>
      </c>
      <c r="EP20" vm="4025">
        <f ca="1"/>
        <v>182.83</v>
      </c>
      <c r="EQ20" vm="4026">
        <f ca="1"/>
        <v>182.88</v>
      </c>
      <c r="ER20" vm="4027">
        <f ca="1"/>
        <v>185.81</v>
      </c>
      <c r="ES20" vm="4028">
        <f ca="1"/>
        <v>187.45</v>
      </c>
      <c r="ET20" vm="4029">
        <f ca="1"/>
        <v>185.22</v>
      </c>
      <c r="EU20" vm="4030">
        <f ca="1"/>
        <v>183.25</v>
      </c>
      <c r="EV20" vm="1514">
        <f ca="1"/>
        <v>184.15</v>
      </c>
      <c r="EW20" vm="3980">
        <f ca="1"/>
        <v>184.1</v>
      </c>
      <c r="EX20" vm="4031">
        <f ca="1"/>
        <v>184.02</v>
      </c>
      <c r="EY20" vm="4032">
        <f ca="1"/>
        <v>191.98</v>
      </c>
      <c r="EZ20" vm="4033">
        <f ca="1"/>
        <v>191.75</v>
      </c>
      <c r="FA20" vm="4034">
        <f ca="1"/>
        <v>191.5</v>
      </c>
      <c r="FB20" vm="1570">
        <f ca="1"/>
        <v>191.04</v>
      </c>
      <c r="FC20" vm="4035">
        <f ca="1"/>
        <v>192.14</v>
      </c>
      <c r="FD20" vm="4036">
        <f ca="1"/>
        <v>189.66</v>
      </c>
      <c r="FE20" vm="4037">
        <f ca="1"/>
        <v>189.12</v>
      </c>
      <c r="FF20" vm="4038">
        <f ca="1"/>
        <v>183.31</v>
      </c>
      <c r="FG20" vm="4039">
        <f ca="1"/>
        <v>186.8</v>
      </c>
      <c r="FH20" vm="4039">
        <f ca="1"/>
        <v>186.8</v>
      </c>
      <c r="FI20" vm="4040">
        <f ca="1"/>
        <v>192.61</v>
      </c>
      <c r="FJ20" vm="4041">
        <f ca="1"/>
        <v>191.45</v>
      </c>
      <c r="FK20" vm="4042">
        <f ca="1"/>
        <v>189.48</v>
      </c>
      <c r="FL20" vm="4043">
        <f ca="1"/>
        <v>190.99</v>
      </c>
      <c r="FM20" vm="4044">
        <f ca="1"/>
        <v>192.32</v>
      </c>
      <c r="FN20" vm="4045">
        <f ca="1"/>
        <v>193.95</v>
      </c>
      <c r="FO20" vm="4046">
        <f ca="1"/>
        <v>193.78</v>
      </c>
      <c r="FP20" vm="4047">
        <f ca="1"/>
        <v>194.73</v>
      </c>
      <c r="FQ20" vm="4048">
        <f ca="1"/>
        <v>196.03</v>
      </c>
      <c r="FR20" vm="4049">
        <f ca="1"/>
        <v>197.21</v>
      </c>
      <c r="FS20" vm="4050">
        <f ca="1"/>
        <v>195.96</v>
      </c>
      <c r="FT20" vm="4051">
        <f ca="1"/>
        <v>196.1</v>
      </c>
      <c r="FU20" vm="4052">
        <f ca="1"/>
        <v>197.98</v>
      </c>
      <c r="FV20" vm="4053">
        <f ca="1"/>
        <v>198.73</v>
      </c>
      <c r="FW20" vm="4054">
        <f ca="1"/>
        <v>198.46</v>
      </c>
      <c r="FX20" vm="4055">
        <f ca="1"/>
        <v>198.9</v>
      </c>
      <c r="FY20" vm="4056">
        <f ca="1"/>
        <v>202.13</v>
      </c>
      <c r="FZ20" vm="4057">
        <f ca="1"/>
        <v>201.28</v>
      </c>
      <c r="GA20" vm="4058">
        <f ca="1"/>
        <v>204.11</v>
      </c>
      <c r="GB20" vm="4059">
        <f ca="1"/>
        <v>202.59</v>
      </c>
      <c r="GC20" vm="4060">
        <f ca="1"/>
        <v>200.74</v>
      </c>
      <c r="GD20" vm="4061">
        <f ca="1"/>
        <v>203.53</v>
      </c>
      <c r="GE20" vm="4062">
        <f ca="1"/>
        <v>205.32</v>
      </c>
      <c r="GF20" vm="4063">
        <f ca="1"/>
        <v>209.89</v>
      </c>
      <c r="GG20" vm="4064">
        <f ca="1"/>
        <v>211.61</v>
      </c>
      <c r="GH20" vm="4065">
        <f ca="1"/>
        <v>214.79</v>
      </c>
      <c r="GI20" vm="4066">
        <f ca="1"/>
        <v>217.16</v>
      </c>
      <c r="GJ20" vm="4067">
        <f ca="1"/>
        <v>214.13</v>
      </c>
      <c r="GK20" vm="4068">
        <f ca="1"/>
        <v>214.94</v>
      </c>
      <c r="GL20" vm="4069">
        <f ca="1"/>
        <v>213.89</v>
      </c>
      <c r="GM20" vm="4070">
        <f ca="1"/>
        <v>217.7</v>
      </c>
      <c r="GN20" vm="4071">
        <f ca="1"/>
        <v>220.5</v>
      </c>
      <c r="GO20" vm="4072">
        <f ca="1"/>
        <v>220.97</v>
      </c>
      <c r="GP20" vm="4073">
        <f ca="1"/>
        <v>221.23</v>
      </c>
      <c r="GQ20" vm="4074">
        <f ca="1"/>
        <v>223.43</v>
      </c>
      <c r="GR20" vm="4075">
        <f ca="1"/>
        <v>220.84</v>
      </c>
      <c r="GS20" vm="4076">
        <f ca="1"/>
        <v>221.08</v>
      </c>
      <c r="GT20" vm="4077">
        <f ca="1"/>
        <v>219.35</v>
      </c>
      <c r="GU20" vm="4078">
        <f ca="1"/>
        <v>219.73</v>
      </c>
      <c r="GV20" vm="1685">
        <f ca="1"/>
        <v>222.72</v>
      </c>
      <c r="GW20" vm="4079">
        <f ca="1"/>
        <v>226</v>
      </c>
      <c r="GX20" vm="4080">
        <f ca="1"/>
        <v>227.12</v>
      </c>
      <c r="GY20" vm="4081">
        <f ca="1"/>
        <v>228.62</v>
      </c>
      <c r="GZ20" vm="4082">
        <f ca="1"/>
        <v>234.3</v>
      </c>
      <c r="HA20" vm="4083">
        <f ca="1"/>
        <v>233.02</v>
      </c>
      <c r="HB20" vm="4084">
        <f ca="1"/>
        <v>233.26</v>
      </c>
      <c r="HC20" vm="4085">
        <f ca="1"/>
        <v>235.26</v>
      </c>
      <c r="HD20" vm="4086">
        <f ca="1"/>
        <v>232.96</v>
      </c>
      <c r="HE20" vm="1679">
        <f ca="1"/>
        <v>233.67</v>
      </c>
      <c r="HF20" vm="4087">
        <f ca="1"/>
        <v>232.88</v>
      </c>
      <c r="HG20" vm="4088">
        <f ca="1"/>
        <v>232.2</v>
      </c>
      <c r="HH20" vm="4089">
        <f ca="1"/>
        <v>231.75</v>
      </c>
      <c r="HI20" vm="4090">
        <f ca="1"/>
        <v>232.25</v>
      </c>
      <c r="HJ20" vm="4091">
        <f ca="1"/>
        <v>232.75</v>
      </c>
      <c r="HK20" vm="4092">
        <f ca="1"/>
        <v>218.39</v>
      </c>
      <c r="HL20" vm="4093">
        <f ca="1"/>
        <v>214.67</v>
      </c>
      <c r="HM20" vm="4094">
        <f ca="1"/>
        <v>212.91</v>
      </c>
      <c r="HN20" vm="4095">
        <f ca="1"/>
        <v>210.43</v>
      </c>
      <c r="HO20" vm="4096">
        <f ca="1"/>
        <v>204.9</v>
      </c>
      <c r="HP20" vm="4097">
        <f ca="1"/>
        <v>206.72</v>
      </c>
      <c r="HQ20" vm="4098">
        <f ca="1"/>
        <v>208.25</v>
      </c>
      <c r="HR20" vm="4099">
        <f ca="1"/>
        <v>206.32</v>
      </c>
      <c r="HS20" vm="4100">
        <f ca="1"/>
        <v>207.57</v>
      </c>
      <c r="HT20" vm="4101">
        <f ca="1"/>
        <v>213.6</v>
      </c>
      <c r="HU20" vm="4102">
        <f ca="1"/>
        <v>213.69</v>
      </c>
      <c r="HV20" vm="4103">
        <f ca="1"/>
        <v>213.72</v>
      </c>
      <c r="HW20" vm="4104">
        <f ca="1"/>
        <v>213.57</v>
      </c>
      <c r="HX20" vm="4105">
        <f ca="1"/>
        <v>210.86</v>
      </c>
      <c r="HY20" vm="4106">
        <f ca="1"/>
        <v>210.92</v>
      </c>
      <c r="HZ20" vm="4107">
        <f ca="1"/>
        <v>208.99</v>
      </c>
      <c r="IA20" vm="4108">
        <f ca="1"/>
        <v>204.99</v>
      </c>
      <c r="IB20" vm="4109">
        <f ca="1"/>
        <v>208.09</v>
      </c>
      <c r="IC20" vm="4110">
        <f ca="1"/>
        <v>210.25</v>
      </c>
      <c r="ID20" vm="4111">
        <f ca="1"/>
        <v>214.6</v>
      </c>
      <c r="IE20" vm="4112">
        <f ca="1"/>
        <v>222.4</v>
      </c>
      <c r="IF20" vm="4113">
        <f ca="1"/>
        <v>222.97</v>
      </c>
      <c r="IG20" vm="4114">
        <f ca="1"/>
        <v>226.13</v>
      </c>
      <c r="IH20" vm="4115">
        <f ca="1"/>
        <v>228.83</v>
      </c>
      <c r="II20" vm="4116">
        <f ca="1"/>
        <v>226.92</v>
      </c>
      <c r="IJ20" vm="4117">
        <f ca="1"/>
        <v>227.41</v>
      </c>
      <c r="IK20" vm="4118">
        <f ca="1"/>
        <v>227.39</v>
      </c>
      <c r="IL20" vm="1639">
        <f ca="1"/>
        <v>229</v>
      </c>
      <c r="IM20" vm="4119">
        <f ca="1"/>
        <v>233.49</v>
      </c>
      <c r="IN20" vm="4120">
        <f ca="1"/>
        <v>234.75</v>
      </c>
      <c r="IO20" vm="4121">
        <f ca="1"/>
        <v>238.04</v>
      </c>
      <c r="IP20" vm="4122">
        <f ca="1"/>
        <v>230</v>
      </c>
      <c r="IQ20" vm="4123">
        <f ca="1"/>
        <v>231.72</v>
      </c>
    </row>
    <row r="21" spans="1:251">
      <c r="A21" cm="1" vm="2724">
        <f t="array" aca="1" ref="A21:IQ21" ca="1">TRANSPOSE(_xlfn.STOCKHISTORY(Table3[[#This Row],[Stock Name ]],TODAY()-365,TODAY(),0,0,1))</f>
        <v>155.07</v>
      </c>
      <c r="B21" vm="4124">
        <f ca="1"/>
        <v>155.79</v>
      </c>
      <c r="C21" vm="1275">
        <f ca="1"/>
        <v>156.87</v>
      </c>
      <c r="D21" vm="4125">
        <f ca="1"/>
        <v>155.16</v>
      </c>
      <c r="E21" vm="2647">
        <f ca="1"/>
        <v>155.44</v>
      </c>
      <c r="F21" vm="4126">
        <f ca="1"/>
        <v>156.46</v>
      </c>
      <c r="G21" vm="4127">
        <f ca="1"/>
        <v>153.27000000000001</v>
      </c>
      <c r="H21" vm="825">
        <f ca="1"/>
        <v>154.84</v>
      </c>
      <c r="I21" vm="4128">
        <f ca="1"/>
        <v>155.46</v>
      </c>
      <c r="J21" vm="869">
        <f ca="1"/>
        <v>156.13999999999999</v>
      </c>
      <c r="K21" vm="2670">
        <f ca="1"/>
        <v>156.35</v>
      </c>
      <c r="L21" vm="4129">
        <f ca="1"/>
        <v>156.58000000000001</v>
      </c>
      <c r="M21" vm="737">
        <f ca="1"/>
        <v>156.74</v>
      </c>
      <c r="N21" vm="2695">
        <f ca="1"/>
        <v>159.97</v>
      </c>
      <c r="O21" vm="4130">
        <f ca="1"/>
        <v>160.97</v>
      </c>
      <c r="P21" vm="4131">
        <f ca="1"/>
        <v>160.63</v>
      </c>
      <c r="Q21" vm="4132">
        <f ca="1"/>
        <v>161.13</v>
      </c>
      <c r="R21" vm="4133">
        <f ca="1"/>
        <v>161.53</v>
      </c>
      <c r="S21" vm="2790">
        <f ca="1"/>
        <v>161.63</v>
      </c>
      <c r="T21" vm="4134">
        <f ca="1"/>
        <v>161.87</v>
      </c>
      <c r="U21" vm="4135">
        <f ca="1"/>
        <v>161.15</v>
      </c>
      <c r="V21" vm="4136">
        <f ca="1"/>
        <v>162.38999999999999</v>
      </c>
      <c r="W21" vm="4137">
        <f ca="1"/>
        <v>160.52000000000001</v>
      </c>
      <c r="X21" vm="658">
        <f ca="1"/>
        <v>160.43</v>
      </c>
      <c r="Y21" vm="4138">
        <f ca="1"/>
        <v>161.21</v>
      </c>
      <c r="Z21" vm="4139">
        <f ca="1"/>
        <v>161.68</v>
      </c>
      <c r="AA21" vm="4140">
        <f ca="1"/>
        <v>162.47</v>
      </c>
      <c r="AB21" vm="1205">
        <f ca="1"/>
        <v>159.81</v>
      </c>
      <c r="AC21" vm="670">
        <f ca="1"/>
        <v>158.96</v>
      </c>
      <c r="AD21" vm="4141">
        <f ca="1"/>
        <v>159.56</v>
      </c>
      <c r="AE21" vm="4142">
        <f ca="1"/>
        <v>159.5</v>
      </c>
      <c r="AF21" vm="4143">
        <f ca="1"/>
        <v>159.36000000000001</v>
      </c>
      <c r="AG21" vm="4144">
        <f ca="1"/>
        <v>158.77000000000001</v>
      </c>
      <c r="AH21" vm="4145">
        <f ca="1"/>
        <v>158.9</v>
      </c>
      <c r="AI21" vm="4146">
        <f ca="1"/>
        <v>158.36000000000001</v>
      </c>
      <c r="AJ21" vm="4147">
        <f ca="1"/>
        <v>156.61000000000001</v>
      </c>
      <c r="AK21" vm="4148">
        <f ca="1"/>
        <v>155.80000000000001</v>
      </c>
      <c r="AL21" vm="1203">
        <f ca="1"/>
        <v>158.06</v>
      </c>
      <c r="AM21" vm="4149">
        <f ca="1"/>
        <v>157.97999999999999</v>
      </c>
      <c r="AN21" vm="717">
        <f ca="1"/>
        <v>156.4</v>
      </c>
      <c r="AO21" vm="4150">
        <f ca="1"/>
        <v>156.76</v>
      </c>
      <c r="AP21" vm="4151">
        <f ca="1"/>
        <v>157.85</v>
      </c>
      <c r="AQ21" vm="2668">
        <f ca="1"/>
        <v>156.47</v>
      </c>
      <c r="AR21" vm="4152">
        <f ca="1"/>
        <v>155.74</v>
      </c>
      <c r="AS21" vm="4153">
        <f ca="1"/>
        <v>157.91999999999999</v>
      </c>
      <c r="AT21" vm="4154">
        <f ca="1"/>
        <v>156.55000000000001</v>
      </c>
      <c r="AU21" vm="4155">
        <f ca="1"/>
        <v>157.86000000000001</v>
      </c>
      <c r="AV21" vm="4156">
        <f ca="1"/>
        <v>158.68</v>
      </c>
      <c r="AW21" vm="4157">
        <f ca="1"/>
        <v>160.44999999999999</v>
      </c>
      <c r="AX21" vm="4158">
        <f ca="1"/>
        <v>161.84</v>
      </c>
      <c r="AY21" vm="872">
        <f ca="1"/>
        <v>160.79</v>
      </c>
      <c r="AZ21" vm="4159">
        <f ca="1"/>
        <v>160.97999999999999</v>
      </c>
      <c r="BA21" vm="4160">
        <f ca="1"/>
        <v>161.55000000000001</v>
      </c>
      <c r="BB21" vm="4161">
        <f ca="1"/>
        <v>161.38</v>
      </c>
      <c r="BC21" vm="4162">
        <f ca="1"/>
        <v>162.12</v>
      </c>
      <c r="BD21" vm="4163">
        <f ca="1"/>
        <v>159.84</v>
      </c>
      <c r="BE21" vm="2695">
        <f ca="1"/>
        <v>159.97</v>
      </c>
      <c r="BF21" vm="4164">
        <f ca="1"/>
        <v>159.34</v>
      </c>
      <c r="BG21" vm="4165">
        <f ca="1"/>
        <v>158.87</v>
      </c>
      <c r="BH21" vm="4166">
        <f ca="1"/>
        <v>159.52000000000001</v>
      </c>
      <c r="BI21" vm="677">
        <f ca="1"/>
        <v>161.22999999999999</v>
      </c>
      <c r="BJ21" vm="3907">
        <f ca="1"/>
        <v>162.74</v>
      </c>
      <c r="BK21" vm="880">
        <f ca="1"/>
        <v>161.1</v>
      </c>
      <c r="BL21" vm="4167">
        <f ca="1"/>
        <v>159.21</v>
      </c>
      <c r="BM21" vm="4168">
        <f ca="1"/>
        <v>158.18</v>
      </c>
      <c r="BN21" vm="4150">
        <f ca="1"/>
        <v>156.76</v>
      </c>
      <c r="BO21" vm="4169">
        <f ca="1"/>
        <v>156.21</v>
      </c>
      <c r="BP21" vm="4170">
        <f ca="1"/>
        <v>155.76</v>
      </c>
      <c r="BQ21" vm="4171">
        <f ca="1"/>
        <v>155.75</v>
      </c>
      <c r="BR21" vm="4172">
        <f ca="1"/>
        <v>155.22999999999999</v>
      </c>
      <c r="BS21" vm="4173">
        <f ca="1"/>
        <v>155.22</v>
      </c>
      <c r="BT21" vm="694">
        <f ca="1"/>
        <v>155.77000000000001</v>
      </c>
      <c r="BU21" vm="4174">
        <f ca="1"/>
        <v>157.96</v>
      </c>
      <c r="BV21" vm="4175">
        <f ca="1"/>
        <v>158.19</v>
      </c>
      <c r="BW21" vm="4176">
        <f ca="1"/>
        <v>157.78</v>
      </c>
      <c r="BX21" vm="1107">
        <f ca="1"/>
        <v>157.72999999999999</v>
      </c>
      <c r="BY21" vm="4177">
        <f ca="1"/>
        <v>154.26</v>
      </c>
      <c r="BZ21" vm="1103">
        <f ca="1"/>
        <v>152.5</v>
      </c>
      <c r="CA21" vm="648">
        <f ca="1"/>
        <v>152.38999999999999</v>
      </c>
      <c r="CB21" vm="4178">
        <f ca="1"/>
        <v>151.59</v>
      </c>
      <c r="CC21" vm="4179">
        <f ca="1"/>
        <v>152.29</v>
      </c>
      <c r="CD21" vm="4180">
        <f ca="1"/>
        <v>150.19999999999999</v>
      </c>
      <c r="CE21" vm="4181">
        <f ca="1"/>
        <v>148.79</v>
      </c>
      <c r="CF21" vm="4182">
        <f ca="1"/>
        <v>147.52000000000001</v>
      </c>
      <c r="CG21" vm="4183">
        <f ca="1"/>
        <v>147.59</v>
      </c>
      <c r="CH21" vm="4184">
        <f ca="1"/>
        <v>144.44999999999999</v>
      </c>
      <c r="CI21" vm="4185">
        <f ca="1"/>
        <v>144.77000000000001</v>
      </c>
      <c r="CJ21" vm="4186">
        <f ca="1"/>
        <v>145.74</v>
      </c>
      <c r="CK21" vm="4187">
        <f ca="1"/>
        <v>147.91</v>
      </c>
      <c r="CL21" vm="4188">
        <f ca="1"/>
        <v>149.12</v>
      </c>
      <c r="CM21" vm="4189">
        <f ca="1"/>
        <v>149.56</v>
      </c>
      <c r="CN21" vm="4190">
        <f ca="1"/>
        <v>148.53</v>
      </c>
      <c r="CO21" vm="4191">
        <f ca="1"/>
        <v>146.82</v>
      </c>
      <c r="CP21" vm="4192">
        <f ca="1"/>
        <v>146.13999999999999</v>
      </c>
      <c r="CQ21" vm="4191">
        <f ca="1"/>
        <v>146.82</v>
      </c>
      <c r="CR21" vm="4193">
        <f ca="1"/>
        <v>144.59</v>
      </c>
      <c r="CS21" vm="4194">
        <f ca="1"/>
        <v>151.18</v>
      </c>
      <c r="CT21" vm="4195">
        <f ca="1"/>
        <v>149.91999999999999</v>
      </c>
      <c r="CU21" vm="4196">
        <f ca="1"/>
        <v>149.27000000000001</v>
      </c>
      <c r="CV21" vm="4197">
        <f ca="1"/>
        <v>148.58000000000001</v>
      </c>
      <c r="CW21" vm="4198">
        <f ca="1"/>
        <v>148.72</v>
      </c>
      <c r="CX21" vm="4199">
        <f ca="1"/>
        <v>148.94999999999999</v>
      </c>
      <c r="CY21" vm="4200">
        <f ca="1"/>
        <v>149.85</v>
      </c>
      <c r="CZ21" vm="4201">
        <f ca="1"/>
        <v>149.91</v>
      </c>
      <c r="DA21" vm="4202">
        <f ca="1"/>
        <v>151.22</v>
      </c>
      <c r="DB21" vm="4203">
        <f ca="1"/>
        <v>151.38</v>
      </c>
      <c r="DC21" vm="4204">
        <f ca="1"/>
        <v>152.66999999999999</v>
      </c>
      <c r="DD21" vm="4205">
        <f ca="1"/>
        <v>154.28</v>
      </c>
      <c r="DE21" vm="4206">
        <f ca="1"/>
        <v>154.63999999999999</v>
      </c>
      <c r="DF21" vm="4207">
        <f ca="1"/>
        <v>151.27000000000001</v>
      </c>
      <c r="DG21" vm="4208">
        <f ca="1"/>
        <v>151.24</v>
      </c>
      <c r="DH21" vm="1271">
        <f ca="1"/>
        <v>153.5</v>
      </c>
      <c r="DI21" vm="2757">
        <f ca="1"/>
        <v>149.69999999999999</v>
      </c>
      <c r="DJ21" vm="4209">
        <f ca="1"/>
        <v>146.97</v>
      </c>
      <c r="DK21" vm="4210">
        <f ca="1"/>
        <v>144.38</v>
      </c>
      <c r="DL21" vm="4211">
        <f ca="1"/>
        <v>144.44</v>
      </c>
      <c r="DM21" vm="2627">
        <f ca="1"/>
        <v>145.28</v>
      </c>
      <c r="DN21" vm="4212">
        <f ca="1"/>
        <v>146.66999999999999</v>
      </c>
      <c r="DO21" vm="4213">
        <f ca="1"/>
        <v>147.74</v>
      </c>
      <c r="DP21" vm="4214">
        <f ca="1"/>
        <v>147.80000000000001</v>
      </c>
      <c r="DQ21" vm="4215">
        <f ca="1"/>
        <v>145.97</v>
      </c>
      <c r="DR21" vm="4216">
        <f ca="1"/>
        <v>146.41999999999999</v>
      </c>
      <c r="DS21" vm="4217">
        <f ca="1"/>
        <v>147.08000000000001</v>
      </c>
      <c r="DT21" vm="4218">
        <f ca="1"/>
        <v>147.13</v>
      </c>
      <c r="DU21" vm="4219">
        <f ca="1"/>
        <v>146.76</v>
      </c>
      <c r="DV21" vm="830">
        <f ca="1"/>
        <v>145.41</v>
      </c>
      <c r="DW21" vm="4220">
        <f ca="1"/>
        <v>145.44999999999999</v>
      </c>
      <c r="DX21" vm="1065">
        <f ca="1"/>
        <v>145.54</v>
      </c>
      <c r="DY21" vm="4221">
        <f ca="1"/>
        <v>145.94999999999999</v>
      </c>
      <c r="DZ21" vm="4222">
        <f ca="1"/>
        <v>145.65</v>
      </c>
      <c r="EA21" vm="4223">
        <f ca="1"/>
        <v>147.78</v>
      </c>
      <c r="EB21" vm="2762">
        <f ca="1"/>
        <v>148.75</v>
      </c>
      <c r="EC21" vm="4188">
        <f ca="1"/>
        <v>149.12</v>
      </c>
      <c r="ED21" vm="4224">
        <f ca="1"/>
        <v>147.19</v>
      </c>
      <c r="EE21" vm="4191">
        <f ca="1"/>
        <v>146.82</v>
      </c>
      <c r="EF21" vm="4225">
        <f ca="1"/>
        <v>145.80000000000001</v>
      </c>
      <c r="EG21" vm="643">
        <f ca="1"/>
        <v>146.16</v>
      </c>
      <c r="EH21" vm="4226">
        <f ca="1"/>
        <v>146.44</v>
      </c>
      <c r="EI21" vm="4227">
        <f ca="1"/>
        <v>146.03</v>
      </c>
      <c r="EJ21" vm="4228">
        <f ca="1"/>
        <v>145.69</v>
      </c>
      <c r="EK21" vm="4229">
        <f ca="1"/>
        <v>146.47999999999999</v>
      </c>
      <c r="EL21" vm="4230">
        <f ca="1"/>
        <v>145.47999999999999</v>
      </c>
      <c r="EM21" vm="4231">
        <f ca="1"/>
        <v>147.05000000000001</v>
      </c>
      <c r="EN21" vm="4232">
        <f ca="1"/>
        <v>149.43</v>
      </c>
      <c r="EO21" vm="2757">
        <f ca="1"/>
        <v>149.69999999999999</v>
      </c>
      <c r="EP21" vm="2659">
        <f ca="1"/>
        <v>149.88</v>
      </c>
      <c r="EQ21" vm="4233">
        <f ca="1"/>
        <v>149.24</v>
      </c>
      <c r="ER21" vm="2645">
        <f ca="1"/>
        <v>151.01</v>
      </c>
      <c r="ES21" vm="4129">
        <f ca="1"/>
        <v>156.58000000000001</v>
      </c>
      <c r="ET21" vm="4234">
        <f ca="1"/>
        <v>155.41999999999999</v>
      </c>
      <c r="EU21" vm="1202">
        <f ca="1"/>
        <v>154.69</v>
      </c>
      <c r="EV21" vm="4235">
        <f ca="1"/>
        <v>154.24</v>
      </c>
      <c r="EW21" vm="2642">
        <f ca="1"/>
        <v>152.35</v>
      </c>
      <c r="EX21" vm="1112">
        <f ca="1"/>
        <v>156.28</v>
      </c>
      <c r="EY21" vm="4236">
        <f ca="1"/>
        <v>159.63999999999999</v>
      </c>
      <c r="EZ21" vm="947">
        <f ca="1"/>
        <v>160.63999999999999</v>
      </c>
      <c r="FA21" vm="4237">
        <f ca="1"/>
        <v>158.56</v>
      </c>
      <c r="FB21" vm="2789">
        <f ca="1"/>
        <v>161.33000000000001</v>
      </c>
      <c r="FC21" vm="4151">
        <f ca="1"/>
        <v>157.85</v>
      </c>
      <c r="FD21" vm="2787">
        <f ca="1"/>
        <v>160.76</v>
      </c>
      <c r="FE21" vm="4238">
        <f ca="1"/>
        <v>164.14</v>
      </c>
      <c r="FF21" vm="4239">
        <f ca="1"/>
        <v>161.25</v>
      </c>
      <c r="FG21" vm="4240">
        <f ca="1"/>
        <v>158.97</v>
      </c>
      <c r="FH21" vm="4145">
        <f ca="1"/>
        <v>158.9</v>
      </c>
      <c r="FI21" vm="4241">
        <f ca="1"/>
        <v>160.22</v>
      </c>
      <c r="FJ21" vm="4242">
        <f ca="1"/>
        <v>160.62</v>
      </c>
      <c r="FK21" vm="4243">
        <f ca="1"/>
        <v>159.88</v>
      </c>
      <c r="FL21" vm="4244">
        <f ca="1"/>
        <v>158.38999999999999</v>
      </c>
      <c r="FM21" vm="4245">
        <f ca="1"/>
        <v>158.47999999999999</v>
      </c>
      <c r="FN21" vm="4246">
        <f ca="1"/>
        <v>159.09</v>
      </c>
      <c r="FO21" vm="4247">
        <f ca="1"/>
        <v>159.38999999999999</v>
      </c>
      <c r="FP21" vm="673">
        <f ca="1"/>
        <v>159.63</v>
      </c>
      <c r="FQ21" vm="4248">
        <f ca="1"/>
        <v>160.16</v>
      </c>
      <c r="FR21" vm="4249">
        <f ca="1"/>
        <v>161.43</v>
      </c>
      <c r="FS21" vm="4250">
        <f ca="1"/>
        <v>162.35</v>
      </c>
      <c r="FT21" vm="4251">
        <f ca="1"/>
        <v>164.13</v>
      </c>
      <c r="FU21" vm="4252">
        <f ca="1"/>
        <v>164.61</v>
      </c>
      <c r="FV21" vm="4253">
        <f ca="1"/>
        <v>162.94999999999999</v>
      </c>
      <c r="FW21" vm="4254">
        <f ca="1"/>
        <v>163.92</v>
      </c>
      <c r="FX21" vm="4255">
        <f ca="1"/>
        <v>164.23</v>
      </c>
      <c r="FY21" vm="1211">
        <f ca="1"/>
        <v>165.86</v>
      </c>
      <c r="FZ21" vm="4256">
        <f ca="1"/>
        <v>167.16</v>
      </c>
      <c r="GA21" vm="3992">
        <f ca="1"/>
        <v>167.36</v>
      </c>
      <c r="GB21" vm="4257">
        <f ca="1"/>
        <v>164.99</v>
      </c>
      <c r="GC21" vm="1214">
        <f ca="1"/>
        <v>164.38</v>
      </c>
      <c r="GD21" vm="4258">
        <f ca="1"/>
        <v>166.61</v>
      </c>
      <c r="GE21" vm="4005">
        <f ca="1"/>
        <v>167.38</v>
      </c>
      <c r="GF21" vm="4259">
        <f ca="1"/>
        <v>164.82</v>
      </c>
      <c r="GG21" vm="883">
        <f ca="1"/>
        <v>164.64</v>
      </c>
      <c r="GH21" vm="657">
        <f ca="1"/>
        <v>165.52</v>
      </c>
      <c r="GI21" vm="1000">
        <f ca="1"/>
        <v>166.99</v>
      </c>
      <c r="GJ21" vm="4260">
        <f ca="1"/>
        <v>167.07</v>
      </c>
      <c r="GK21" vm="1116">
        <f ca="1"/>
        <v>166.15</v>
      </c>
      <c r="GL21" vm="4259">
        <f ca="1"/>
        <v>164.82</v>
      </c>
      <c r="GM21" vm="1183">
        <f ca="1"/>
        <v>164.16</v>
      </c>
      <c r="GN21" vm="4261">
        <f ca="1"/>
        <v>163.22</v>
      </c>
      <c r="GO21" vm="1117">
        <f ca="1"/>
        <v>162.78</v>
      </c>
      <c r="GP21" vm="4262">
        <f ca="1"/>
        <v>160.6</v>
      </c>
      <c r="GQ21" vm="4263">
        <f ca="1"/>
        <v>161.38999999999999</v>
      </c>
      <c r="GR21" vm="4264">
        <f ca="1"/>
        <v>161.4</v>
      </c>
      <c r="GS21" vm="4265">
        <f ca="1"/>
        <v>162.06</v>
      </c>
      <c r="GT21" vm="4266">
        <f ca="1"/>
        <v>161.99</v>
      </c>
      <c r="GU21" vm="4267">
        <f ca="1"/>
        <v>161.16999999999999</v>
      </c>
      <c r="GV21" vm="4268">
        <f ca="1"/>
        <v>160.5</v>
      </c>
      <c r="GW21" vm="4269">
        <f ca="1"/>
        <v>160.29</v>
      </c>
      <c r="GX21" vm="4270">
        <f ca="1"/>
        <v>159.53</v>
      </c>
      <c r="GY21" vm="4271">
        <f ca="1"/>
        <v>159.69</v>
      </c>
      <c r="GZ21" vm="4272">
        <f ca="1"/>
        <v>160.65</v>
      </c>
      <c r="HA21" vm="4273">
        <f ca="1"/>
        <v>160.51</v>
      </c>
      <c r="HB21" vm="4274">
        <f ca="1"/>
        <v>161.46</v>
      </c>
      <c r="HC21" vm="2675">
        <f ca="1"/>
        <v>161.6</v>
      </c>
      <c r="HD21" vm="4275">
        <f ca="1"/>
        <v>164.1</v>
      </c>
      <c r="HE21" vm="4276">
        <f ca="1"/>
        <v>164.28</v>
      </c>
      <c r="HF21" vm="654">
        <f ca="1"/>
        <v>164.47</v>
      </c>
      <c r="HG21" vm="4277">
        <f ca="1"/>
        <v>165.12</v>
      </c>
      <c r="HH21" vm="4278">
        <f ca="1"/>
        <v>162.83000000000001</v>
      </c>
      <c r="HI21" vm="4279">
        <f ca="1"/>
        <v>163.44999999999999</v>
      </c>
      <c r="HJ21" vm="1211">
        <f ca="1"/>
        <v>165.86</v>
      </c>
      <c r="HK21" vm="1181">
        <f ca="1"/>
        <v>163.66999999999999</v>
      </c>
      <c r="HL21" vm="4280">
        <f ca="1"/>
        <v>160.88</v>
      </c>
      <c r="HM21" vm="2675">
        <f ca="1"/>
        <v>161.6</v>
      </c>
      <c r="HN21" vm="4281">
        <f ca="1"/>
        <v>160.09</v>
      </c>
      <c r="HO21" vm="4282">
        <f ca="1"/>
        <v>160.61000000000001</v>
      </c>
      <c r="HP21" vm="4283">
        <f ca="1"/>
        <v>159.86000000000001</v>
      </c>
      <c r="HQ21" vm="4284">
        <f ca="1"/>
        <v>160.13</v>
      </c>
      <c r="HR21" vm="4285">
        <f ca="1"/>
        <v>158.24</v>
      </c>
      <c r="HS21" vm="4286">
        <f ca="1"/>
        <v>158.35</v>
      </c>
      <c r="HT21" vm="4287">
        <f ca="1"/>
        <v>157.88</v>
      </c>
      <c r="HU21" vm="4288">
        <f ca="1"/>
        <v>156.72999999999999</v>
      </c>
      <c r="HV21" vm="1110">
        <f ca="1"/>
        <v>155.47</v>
      </c>
      <c r="HW21" vm="4289">
        <f ca="1"/>
        <v>155.04</v>
      </c>
      <c r="HX21" vm="4290">
        <f ca="1"/>
        <v>152.63999999999999</v>
      </c>
      <c r="HY21" vm="4291">
        <f ca="1"/>
        <v>153.24</v>
      </c>
      <c r="HZ21" vm="1057">
        <f ca="1"/>
        <v>151.87</v>
      </c>
      <c r="IA21" vm="697">
        <f ca="1"/>
        <v>154</v>
      </c>
      <c r="IB21" vm="4292">
        <f ca="1"/>
        <v>154.77000000000001</v>
      </c>
      <c r="IC21" vm="4293">
        <f ca="1"/>
        <v>153</v>
      </c>
      <c r="ID21" vm="4294">
        <f ca="1"/>
        <v>153.11000000000001</v>
      </c>
      <c r="IE21" vm="4295">
        <f ca="1"/>
        <v>155.5</v>
      </c>
      <c r="IF21" vm="4296">
        <f ca="1"/>
        <v>155.16999999999999</v>
      </c>
      <c r="IG21" vm="645">
        <f ca="1"/>
        <v>155.78</v>
      </c>
      <c r="IH21" vm="4297">
        <f ca="1"/>
        <v>154.52000000000001</v>
      </c>
      <c r="II21" vm="4298">
        <f ca="1"/>
        <v>155.4</v>
      </c>
      <c r="IJ21" vm="4299">
        <f ca="1"/>
        <v>155.01</v>
      </c>
      <c r="IK21" vm="4300">
        <f ca="1"/>
        <v>154.80000000000001</v>
      </c>
      <c r="IL21" vm="4301">
        <f ca="1"/>
        <v>152.36000000000001</v>
      </c>
      <c r="IM21" vm="4302">
        <f ca="1"/>
        <v>150.47</v>
      </c>
      <c r="IN21" vm="4303">
        <f ca="1"/>
        <v>149.52000000000001</v>
      </c>
      <c r="IO21" vm="4304">
        <f ca="1"/>
        <v>149.31</v>
      </c>
      <c r="IP21" vm="4305">
        <f ca="1"/>
        <v>149.6</v>
      </c>
      <c r="IQ21" vm="4306">
        <f ca="1"/>
        <v>149.22999999999999</v>
      </c>
    </row>
    <row r="22" spans="1:251">
      <c r="A22" cm="1" vm="4137">
        <f t="array" aca="1" ref="A22:IQ22" ca="1">TRANSPOSE(_xlfn.STOCKHISTORY(Table3[[#This Row],[Stock Name ]],TODAY()-365,TODAY(),0,0,1))</f>
        <v>160.52000000000001</v>
      </c>
      <c r="B22" vm="4307">
        <f ca="1"/>
        <v>161.06</v>
      </c>
      <c r="C22" vm="4308">
        <f ca="1"/>
        <v>163.99</v>
      </c>
      <c r="D22" vm="4309">
        <f ca="1"/>
        <v>165.23</v>
      </c>
      <c r="E22" vm="4310">
        <f ca="1"/>
        <v>166.23</v>
      </c>
      <c r="F22" vm="1546">
        <f ca="1"/>
        <v>168.45</v>
      </c>
      <c r="G22" vm="4311">
        <f ca="1"/>
        <v>166.55</v>
      </c>
      <c r="H22" vm="4312">
        <f ca="1"/>
        <v>167.5</v>
      </c>
      <c r="I22" vm="4313">
        <f ca="1"/>
        <v>167.4</v>
      </c>
      <c r="J22" vm="4314">
        <f ca="1"/>
        <v>168.39</v>
      </c>
      <c r="K22" vm="4315">
        <f ca="1"/>
        <v>169.4</v>
      </c>
      <c r="L22" vm="4316">
        <f ca="1"/>
        <v>170.3</v>
      </c>
      <c r="M22" vm="1396">
        <f ca="1"/>
        <v>170.1</v>
      </c>
      <c r="N22" vm="4317">
        <f ca="1"/>
        <v>172.08</v>
      </c>
      <c r="O22" vm="4318">
        <f ca="1"/>
        <v>171.33</v>
      </c>
      <c r="P22" vm="1007">
        <f ca="1"/>
        <v>171.41</v>
      </c>
      <c r="Q22" vm="4319">
        <f ca="1"/>
        <v>172.27</v>
      </c>
      <c r="R22" vm="4320">
        <f ca="1"/>
        <v>172.02</v>
      </c>
      <c r="S22" vm="4321">
        <f ca="1"/>
        <v>170.66</v>
      </c>
      <c r="T22" vm="751">
        <f ca="1"/>
        <v>171.02</v>
      </c>
      <c r="U22" vm="4316">
        <f ca="1"/>
        <v>170.3</v>
      </c>
      <c r="V22" vm="4322">
        <f ca="1"/>
        <v>169.05</v>
      </c>
      <c r="W22" vm="4323">
        <f ca="1"/>
        <v>167.99</v>
      </c>
      <c r="X22" vm="4324">
        <f ca="1"/>
        <v>167.09</v>
      </c>
      <c r="Y22" vm="4325">
        <f ca="1"/>
        <v>167.42</v>
      </c>
      <c r="Z22" vm="1283">
        <f ca="1"/>
        <v>170.31</v>
      </c>
      <c r="AA22" vm="4326">
        <f ca="1"/>
        <v>170.11</v>
      </c>
      <c r="AB22" vm="886">
        <f ca="1"/>
        <v>168.99</v>
      </c>
      <c r="AC22" vm="628">
        <f ca="1"/>
        <v>170.5</v>
      </c>
      <c r="AD22" vm="4327">
        <f ca="1"/>
        <v>172.94</v>
      </c>
      <c r="AE22" vm="1536">
        <f ca="1"/>
        <v>172.28</v>
      </c>
      <c r="AF22" vm="4328">
        <f ca="1"/>
        <v>172.73</v>
      </c>
      <c r="AG22" vm="4329">
        <f ca="1"/>
        <v>176.27</v>
      </c>
      <c r="AH22" vm="4330">
        <f ca="1"/>
        <v>174.36</v>
      </c>
      <c r="AI22" vm="4331">
        <f ca="1"/>
        <v>173.73</v>
      </c>
      <c r="AJ22" vm="1296">
        <f ca="1"/>
        <v>174.73</v>
      </c>
      <c r="AK22" vm="4332">
        <f ca="1"/>
        <v>174.5</v>
      </c>
      <c r="AL22" vm="1524">
        <f ca="1"/>
        <v>175.1</v>
      </c>
      <c r="AM22" vm="894">
        <f ca="1"/>
        <v>175.43</v>
      </c>
      <c r="AN22" vm="4333">
        <f ca="1"/>
        <v>174.8</v>
      </c>
      <c r="AO22" vm="1145">
        <f ca="1"/>
        <v>175.01</v>
      </c>
      <c r="AP22" vm="4334">
        <f ca="1"/>
        <v>175.79</v>
      </c>
      <c r="AQ22" vm="4335">
        <f ca="1"/>
        <v>174.26</v>
      </c>
      <c r="AR22" vm="4336">
        <f ca="1"/>
        <v>176.03</v>
      </c>
      <c r="AS22" vm="4337">
        <f ca="1"/>
        <v>179.87</v>
      </c>
      <c r="AT22" vm="4338">
        <f ca="1"/>
        <v>179.03</v>
      </c>
      <c r="AU22" vm="614">
        <f ca="1"/>
        <v>179.73</v>
      </c>
      <c r="AV22" vm="4339">
        <f ca="1"/>
        <v>180.9</v>
      </c>
      <c r="AW22" vm="4340">
        <f ca="1"/>
        <v>183.07</v>
      </c>
      <c r="AX22" vm="4341">
        <f ca="1"/>
        <v>183.99</v>
      </c>
      <c r="AY22" vm="4342">
        <f ca="1"/>
        <v>183.36</v>
      </c>
      <c r="AZ22" vm="4343">
        <f ca="1"/>
        <v>183.45</v>
      </c>
      <c r="BA22" vm="4344">
        <f ca="1"/>
        <v>184.38</v>
      </c>
      <c r="BB22" vm="4345">
        <f ca="1"/>
        <v>186.06</v>
      </c>
      <c r="BC22" vm="4346">
        <f ca="1"/>
        <v>185.29</v>
      </c>
      <c r="BD22" vm="4347">
        <f ca="1"/>
        <v>186.68</v>
      </c>
      <c r="BE22" vm="4348">
        <f ca="1"/>
        <v>188.55</v>
      </c>
      <c r="BF22" vm="4349">
        <f ca="1"/>
        <v>189.53</v>
      </c>
      <c r="BG22" vm="3928">
        <f ca="1"/>
        <v>187.87</v>
      </c>
      <c r="BH22" vm="4350">
        <f ca="1"/>
        <v>188.22</v>
      </c>
      <c r="BI22" vm="4351">
        <f ca="1"/>
        <v>188.29</v>
      </c>
      <c r="BJ22" vm="1569">
        <f ca="1"/>
        <v>189.84</v>
      </c>
      <c r="BK22" vm="4352">
        <f ca="1"/>
        <v>191.38</v>
      </c>
      <c r="BL22" vm="1424">
        <f ca="1"/>
        <v>187.97</v>
      </c>
      <c r="BM22" vm="4353">
        <f ca="1"/>
        <v>190.3</v>
      </c>
      <c r="BN22" vm="929">
        <f ca="1"/>
        <v>192.66</v>
      </c>
      <c r="BO22" vm="4354">
        <f ca="1"/>
        <v>193.79</v>
      </c>
      <c r="BP22" vm="4355">
        <f ca="1"/>
        <v>196.33</v>
      </c>
      <c r="BQ22" vm="4356">
        <f ca="1"/>
        <v>199.06</v>
      </c>
      <c r="BR22" vm="4357">
        <f ca="1"/>
        <v>196.62</v>
      </c>
      <c r="BS22" vm="4358">
        <f ca="1"/>
        <v>194.82</v>
      </c>
      <c r="BT22" vm="4359">
        <f ca="1"/>
        <v>195.73</v>
      </c>
      <c r="BU22" vm="4360">
        <f ca="1"/>
        <v>199.52</v>
      </c>
      <c r="BV22" vm="4361">
        <f ca="1"/>
        <v>200.3</v>
      </c>
      <c r="BW22" vm="4362">
        <f ca="1"/>
        <v>198.94</v>
      </c>
      <c r="BX22" vm="4363">
        <f ca="1"/>
        <v>198.86</v>
      </c>
      <c r="BY22" vm="4364">
        <f ca="1"/>
        <v>198.3</v>
      </c>
      <c r="BZ22" vm="4365">
        <f ca="1"/>
        <v>195.65</v>
      </c>
      <c r="CA22" vm="4366">
        <f ca="1"/>
        <v>197.45</v>
      </c>
      <c r="CB22" vm="4367">
        <f ca="1"/>
        <v>198.48</v>
      </c>
      <c r="CC22" vm="4368">
        <f ca="1"/>
        <v>197.15</v>
      </c>
      <c r="CD22" vm="4369">
        <f ca="1"/>
        <v>195.47</v>
      </c>
      <c r="CE22" vm="4370">
        <f ca="1"/>
        <v>195.43</v>
      </c>
      <c r="CF22" vm="4371">
        <f ca="1"/>
        <v>182.79</v>
      </c>
      <c r="CG22" vm="4372">
        <f ca="1"/>
        <v>182.89</v>
      </c>
      <c r="CH22" vm="1430">
        <f ca="1"/>
        <v>180.8</v>
      </c>
      <c r="CI22" vm="4373">
        <f ca="1"/>
        <v>180.08</v>
      </c>
      <c r="CJ22" vm="3974">
        <f ca="1"/>
        <v>181.25</v>
      </c>
      <c r="CK22" vm="4374">
        <f ca="1"/>
        <v>185.8</v>
      </c>
      <c r="CL22" vm="1509">
        <f ca="1"/>
        <v>189.41</v>
      </c>
      <c r="CM22" vm="4035">
        <f ca="1"/>
        <v>192.14</v>
      </c>
      <c r="CN22" vm="4375">
        <f ca="1"/>
        <v>193.08</v>
      </c>
      <c r="CO22" vm="4376">
        <f ca="1"/>
        <v>193.37</v>
      </c>
      <c r="CP22" vm="4377">
        <f ca="1"/>
        <v>193.49</v>
      </c>
      <c r="CQ22" vm="4378">
        <f ca="1"/>
        <v>193.28</v>
      </c>
      <c r="CR22" vm="4379">
        <f ca="1"/>
        <v>191.74</v>
      </c>
      <c r="CS22" vm="4380">
        <f ca="1"/>
        <v>191.86</v>
      </c>
      <c r="CT22" vm="4381">
        <f ca="1"/>
        <v>191.66</v>
      </c>
      <c r="CU22" vm="4382">
        <f ca="1"/>
        <v>190.51</v>
      </c>
      <c r="CV22" vm="4383">
        <f ca="1"/>
        <v>192</v>
      </c>
      <c r="CW22" vm="4033">
        <f ca="1"/>
        <v>191.75</v>
      </c>
      <c r="CX22" vm="4365">
        <f ca="1"/>
        <v>195.65</v>
      </c>
      <c r="CY22" vm="4384">
        <f ca="1"/>
        <v>197.5</v>
      </c>
      <c r="CZ22" vm="4385">
        <f ca="1"/>
        <v>198.77</v>
      </c>
      <c r="DA22" vm="4053">
        <f ca="1"/>
        <v>198.73</v>
      </c>
      <c r="DB22" vm="4386">
        <f ca="1"/>
        <v>201.51</v>
      </c>
      <c r="DC22" vm="4387">
        <f ca="1"/>
        <v>202.11</v>
      </c>
      <c r="DD22" vm="4388">
        <f ca="1"/>
        <v>202.47</v>
      </c>
      <c r="DE22" vm="4389">
        <f ca="1"/>
        <v>204.79</v>
      </c>
      <c r="DF22" vm="4390">
        <f ca="1"/>
        <v>195.58</v>
      </c>
      <c r="DG22" vm="4360">
        <f ca="1"/>
        <v>199.52</v>
      </c>
      <c r="DH22" vm="4391">
        <f ca="1"/>
        <v>198.31</v>
      </c>
      <c r="DI22" vm="4392">
        <f ca="1"/>
        <v>196.92</v>
      </c>
      <c r="DJ22" vm="4393">
        <f ca="1"/>
        <v>200.71</v>
      </c>
      <c r="DK22" vm="1449">
        <f ca="1"/>
        <v>199.5</v>
      </c>
      <c r="DL22" vm="1476">
        <f ca="1"/>
        <v>198.11</v>
      </c>
      <c r="DM22" vm="4394">
        <f ca="1"/>
        <v>199.33</v>
      </c>
      <c r="DN22" vm="4395">
        <f ca="1"/>
        <v>202.63</v>
      </c>
      <c r="DO22" vm="4396">
        <f ca="1"/>
        <v>201.82</v>
      </c>
      <c r="DP22" vm="4397">
        <f ca="1"/>
        <v>199.16</v>
      </c>
      <c r="DQ22" vm="4398">
        <f ca="1"/>
        <v>197.26</v>
      </c>
      <c r="DR22" vm="4399">
        <f ca="1"/>
        <v>196.91</v>
      </c>
      <c r="DS22" vm="4400">
        <f ca="1"/>
        <v>199.95</v>
      </c>
      <c r="DT22" vm="4401">
        <f ca="1"/>
        <v>199.61</v>
      </c>
      <c r="DU22" vm="4402">
        <f ca="1"/>
        <v>194.36</v>
      </c>
      <c r="DV22" vm="4403">
        <f ca="1"/>
        <v>191.53</v>
      </c>
      <c r="DW22" vm="4404">
        <f ca="1"/>
        <v>193.66</v>
      </c>
      <c r="DX22" vm="4046">
        <f ca="1"/>
        <v>193.78</v>
      </c>
      <c r="DY22" vm="4405">
        <f ca="1"/>
        <v>194.98</v>
      </c>
      <c r="DZ22" vm="4406">
        <f ca="1"/>
        <v>197</v>
      </c>
      <c r="EA22" vm="4407">
        <f ca="1"/>
        <v>198.67</v>
      </c>
      <c r="EB22" vm="4408">
        <f ca="1"/>
        <v>196.3</v>
      </c>
      <c r="EC22" vm="4409">
        <f ca="1"/>
        <v>198.88</v>
      </c>
      <c r="ED22" vm="4410">
        <f ca="1"/>
        <v>198.07</v>
      </c>
      <c r="EE22" vm="4411">
        <f ca="1"/>
        <v>197.43</v>
      </c>
      <c r="EF22" vm="4412">
        <f ca="1"/>
        <v>199.17</v>
      </c>
      <c r="EG22" vm="4413">
        <f ca="1"/>
        <v>202.26</v>
      </c>
      <c r="EH22" vm="4414">
        <f ca="1"/>
        <v>205.45</v>
      </c>
      <c r="EI22" vm="4415">
        <f ca="1"/>
        <v>208.83</v>
      </c>
      <c r="EJ22" vm="4416">
        <f ca="1"/>
        <v>208.69</v>
      </c>
      <c r="EK22" vm="4389">
        <f ca="1"/>
        <v>204.79</v>
      </c>
      <c r="EL22" vm="4417">
        <f ca="1"/>
        <v>205.17</v>
      </c>
      <c r="EM22" vm="4418">
        <f ca="1"/>
        <v>207.63</v>
      </c>
      <c r="EN22" vm="4419">
        <f ca="1"/>
        <v>207.8</v>
      </c>
      <c r="EO22" vm="4420">
        <f ca="1"/>
        <v>207.45</v>
      </c>
      <c r="EP22" vm="4421">
        <f ca="1"/>
        <v>204.94</v>
      </c>
      <c r="EQ22" vm="1451">
        <f ca="1"/>
        <v>210.05</v>
      </c>
      <c r="ER22" vm="4422">
        <f ca="1"/>
        <v>213.62</v>
      </c>
      <c r="ES22" vm="4423">
        <f ca="1"/>
        <v>216.87</v>
      </c>
      <c r="ET22" vm="4424">
        <f ca="1"/>
        <v>209.98</v>
      </c>
      <c r="EU22" vm="4425">
        <f ca="1"/>
        <v>209.78</v>
      </c>
      <c r="EV22" vm="4426">
        <f ca="1"/>
        <v>210.28</v>
      </c>
      <c r="EW22" vm="4427">
        <f ca="1"/>
        <v>210.33</v>
      </c>
      <c r="EX22" vm="4428">
        <f ca="1"/>
        <v>208.59</v>
      </c>
      <c r="EY22" vm="4429">
        <f ca="1"/>
        <v>208.67</v>
      </c>
      <c r="EZ22" vm="4430">
        <f ca="1"/>
        <v>212.24</v>
      </c>
      <c r="FA22" vm="4431">
        <f ca="1"/>
        <v>210.85</v>
      </c>
      <c r="FB22" vm="4432">
        <f ca="1"/>
        <v>215.19</v>
      </c>
      <c r="FC22" vm="4433">
        <f ca="1"/>
        <v>212.8</v>
      </c>
      <c r="FD22" vm="4434">
        <f ca="1"/>
        <v>207.96</v>
      </c>
      <c r="FE22" vm="4435">
        <f ca="1"/>
        <v>199.14</v>
      </c>
      <c r="FF22" vm="4436">
        <f ca="1"/>
        <v>194.9</v>
      </c>
      <c r="FG22" vm="4437">
        <f ca="1"/>
        <v>200.34</v>
      </c>
      <c r="FH22" vm="4438">
        <f ca="1"/>
        <v>200.4</v>
      </c>
      <c r="FI22" vm="4439">
        <f ca="1"/>
        <v>204.06</v>
      </c>
      <c r="FJ22" vm="4440">
        <f ca="1"/>
        <v>205.8</v>
      </c>
      <c r="FK22" vm="4441">
        <f ca="1"/>
        <v>206.19</v>
      </c>
      <c r="FL22" vm="4442">
        <f ca="1"/>
        <v>207.94</v>
      </c>
      <c r="FM22" vm="4443">
        <f ca="1"/>
        <v>210.24</v>
      </c>
      <c r="FN22" vm="4444">
        <f ca="1"/>
        <v>211.55</v>
      </c>
      <c r="FO22" vm="4445">
        <f ca="1"/>
        <v>213.97</v>
      </c>
      <c r="FP22" vm="4446">
        <f ca="1"/>
        <v>215.45</v>
      </c>
      <c r="FQ22" vm="4447">
        <f ca="1"/>
        <v>214.52</v>
      </c>
      <c r="FR22" vm="4111">
        <f ca="1"/>
        <v>214.6</v>
      </c>
      <c r="FS22" vm="4448">
        <f ca="1"/>
        <v>216.63</v>
      </c>
      <c r="FT22" vm="4449">
        <f ca="1"/>
        <v>218.31</v>
      </c>
      <c r="FU22" vm="4450">
        <f ca="1"/>
        <v>219.17</v>
      </c>
      <c r="FV22" vm="4451">
        <f ca="1"/>
        <v>220.18</v>
      </c>
      <c r="FW22" vm="4452">
        <f ca="1"/>
        <v>221.29</v>
      </c>
      <c r="FX22" vm="4453">
        <f ca="1"/>
        <v>222.21</v>
      </c>
      <c r="FY22" vm="4454">
        <f ca="1"/>
        <v>224.8</v>
      </c>
      <c r="FZ22" vm="4455">
        <f ca="1"/>
        <v>220.3</v>
      </c>
      <c r="GA22" vm="4456">
        <f ca="1"/>
        <v>219.33</v>
      </c>
      <c r="GB22" vm="4457">
        <f ca="1"/>
        <v>217.63</v>
      </c>
      <c r="GC22" vm="4458">
        <f ca="1"/>
        <v>212.46</v>
      </c>
      <c r="GD22" vm="4459">
        <f ca="1"/>
        <v>216.81</v>
      </c>
      <c r="GE22" vm="4460">
        <f ca="1"/>
        <v>205.56</v>
      </c>
      <c r="GF22" vm="1621">
        <f ca="1"/>
        <v>207.23</v>
      </c>
      <c r="GG22" vm="4461">
        <f ca="1"/>
        <v>206.6</v>
      </c>
      <c r="GH22" vm="4462">
        <f ca="1"/>
        <v>204.32</v>
      </c>
      <c r="GI22" vm="1464">
        <f ca="1"/>
        <v>207.86</v>
      </c>
      <c r="GJ22" vm="4463">
        <f ca="1"/>
        <v>209.25</v>
      </c>
      <c r="GK22" vm="4464">
        <f ca="1"/>
        <v>207.53</v>
      </c>
      <c r="GL22" vm="4465">
        <f ca="1"/>
        <v>210.48</v>
      </c>
      <c r="GM22" vm="4466">
        <f ca="1"/>
        <v>211.09</v>
      </c>
      <c r="GN22" vm="4467">
        <f ca="1"/>
        <v>211.44</v>
      </c>
      <c r="GO22" vm="4468">
        <f ca="1"/>
        <v>211.59</v>
      </c>
      <c r="GP22" vm="4469">
        <f ca="1"/>
        <v>210.19</v>
      </c>
      <c r="GQ22" vm="4425">
        <f ca="1"/>
        <v>209.78</v>
      </c>
      <c r="GR22" vm="4470">
        <f ca="1"/>
        <v>210.5</v>
      </c>
      <c r="GS22" vm="4105">
        <f ca="1"/>
        <v>210.86</v>
      </c>
      <c r="GT22" vm="4471">
        <f ca="1"/>
        <v>207.04</v>
      </c>
      <c r="GU22" vm="4472">
        <f ca="1"/>
        <v>207.29</v>
      </c>
      <c r="GV22" vm="4473">
        <f ca="1"/>
        <v>205.23</v>
      </c>
      <c r="GW22" vm="4474">
        <f ca="1"/>
        <v>211.22</v>
      </c>
      <c r="GX22" vm="4475">
        <f ca="1"/>
        <v>210.93</v>
      </c>
      <c r="GY22" vm="4476">
        <f ca="1"/>
        <v>210.75</v>
      </c>
      <c r="GZ22" vm="4477">
        <f ca="1"/>
        <v>213.42</v>
      </c>
      <c r="HA22" vm="4478">
        <f ca="1"/>
        <v>212.84</v>
      </c>
      <c r="HB22" vm="4479">
        <f ca="1"/>
        <v>222.29</v>
      </c>
      <c r="HC22" vm="4480">
        <f ca="1"/>
        <v>221.48</v>
      </c>
      <c r="HD22" vm="4481">
        <f ca="1"/>
        <v>222.39</v>
      </c>
      <c r="HE22" vm="4482">
        <f ca="1"/>
        <v>223.64</v>
      </c>
      <c r="HF22" vm="4483">
        <f ca="1"/>
        <v>224.42</v>
      </c>
      <c r="HG22" vm="4484">
        <f ca="1"/>
        <v>225.37</v>
      </c>
      <c r="HH22" vm="4485">
        <f ca="1"/>
        <v>223</v>
      </c>
      <c r="HI22" vm="4486">
        <f ca="1"/>
        <v>224.12</v>
      </c>
      <c r="HJ22" vm="4487">
        <f ca="1"/>
        <v>223.41</v>
      </c>
      <c r="HK22" vm="4488">
        <f ca="1"/>
        <v>224.98</v>
      </c>
      <c r="HL22" vm="4489">
        <f ca="1"/>
        <v>222.31</v>
      </c>
      <c r="HM22" vm="4490">
        <f ca="1"/>
        <v>225.5</v>
      </c>
      <c r="HN22" vm="4491">
        <f ca="1"/>
        <v>222.9</v>
      </c>
      <c r="HO22" vm="4492">
        <f ca="1"/>
        <v>224.41</v>
      </c>
      <c r="HP22" vm="4493">
        <f ca="1"/>
        <v>221.92</v>
      </c>
      <c r="HQ22" vm="4494">
        <f ca="1"/>
        <v>222.94</v>
      </c>
      <c r="HR22" vm="4495">
        <f ca="1"/>
        <v>219.78</v>
      </c>
      <c r="HS22" vm="4496">
        <f ca="1"/>
        <v>221.49</v>
      </c>
      <c r="HT22" vm="4497">
        <f ca="1"/>
        <v>247.06</v>
      </c>
      <c r="HU22" vm="4498">
        <f ca="1"/>
        <v>236.38</v>
      </c>
      <c r="HV22" vm="4499">
        <f ca="1"/>
        <v>236.98</v>
      </c>
      <c r="HW22" vm="4500">
        <f ca="1"/>
        <v>239.29</v>
      </c>
      <c r="HX22" vm="4501">
        <f ca="1"/>
        <v>239.56</v>
      </c>
      <c r="HY22" vm="4502">
        <f ca="1"/>
        <v>241.16</v>
      </c>
      <c r="HZ22" vm="4503">
        <f ca="1"/>
        <v>241.87</v>
      </c>
      <c r="IA22" vm="4504">
        <f ca="1"/>
        <v>245.31</v>
      </c>
      <c r="IB22" vm="4505">
        <f ca="1"/>
        <v>245.03</v>
      </c>
      <c r="IC22" vm="4506">
        <f ca="1"/>
        <v>243.09</v>
      </c>
      <c r="ID22" vm="4507">
        <f ca="1"/>
        <v>240.78</v>
      </c>
      <c r="IE22" vm="4508">
        <f ca="1"/>
        <v>244.76</v>
      </c>
      <c r="IF22" vm="4509">
        <f ca="1"/>
        <v>248.55</v>
      </c>
      <c r="IG22" vm="4510">
        <f ca="1"/>
        <v>250.29</v>
      </c>
      <c r="IH22" vm="4511">
        <f ca="1"/>
        <v>249.97</v>
      </c>
      <c r="II22" vm="4512">
        <f ca="1"/>
        <v>249.79</v>
      </c>
      <c r="IJ22" vm="4513">
        <f ca="1"/>
        <v>249.72</v>
      </c>
      <c r="IK22" vm="4514">
        <f ca="1"/>
        <v>246.25</v>
      </c>
      <c r="IL22" vm="4515">
        <f ca="1"/>
        <v>244.82</v>
      </c>
      <c r="IM22" vm="4516">
        <f ca="1"/>
        <v>243.4</v>
      </c>
      <c r="IN22" vm="4517">
        <f ca="1"/>
        <v>245.48</v>
      </c>
      <c r="IO22" vm="4518">
        <f ca="1"/>
        <v>247.36</v>
      </c>
      <c r="IP22" vm="4519">
        <f ca="1"/>
        <v>243.81</v>
      </c>
      <c r="IQ22" vm="4520">
        <f ca="1"/>
        <v>242.86</v>
      </c>
    </row>
    <row r="23" spans="1:251">
      <c r="A23" cm="1" vm="4521">
        <f t="array" aca="1" ref="A23:IQ23" ca="1">TRANSPOSE(_xlfn.STOCKHISTORY(Table3[[#This Row],[Stock Name ]],TODAY()-365,TODAY(),0,0,1))</f>
        <v>208.7</v>
      </c>
      <c r="B23" vm="4446">
        <f ca="1"/>
        <v>215.45</v>
      </c>
      <c r="C23" vm="4522">
        <f ca="1"/>
        <v>225.54</v>
      </c>
      <c r="D23" vm="4523">
        <f ca="1"/>
        <v>225.59</v>
      </c>
      <c r="E23" vm="4524">
        <f ca="1"/>
        <v>224.06</v>
      </c>
      <c r="F23" vm="4525">
        <f ca="1"/>
        <v>225.42</v>
      </c>
      <c r="G23" vm="1683">
        <f ca="1"/>
        <v>222.01</v>
      </c>
      <c r="H23" vm="4526">
        <f ca="1"/>
        <v>223.55</v>
      </c>
      <c r="I23" vm="4485">
        <f ca="1"/>
        <v>223</v>
      </c>
      <c r="J23" vm="4527">
        <f ca="1"/>
        <v>222.82</v>
      </c>
      <c r="K23" vm="4528">
        <f ca="1"/>
        <v>222.89</v>
      </c>
      <c r="L23" vm="4491">
        <f ca="1"/>
        <v>222.9</v>
      </c>
      <c r="M23" vm="4529">
        <f ca="1"/>
        <v>222.55</v>
      </c>
      <c r="N23" vm="4530">
        <f ca="1"/>
        <v>218.65</v>
      </c>
      <c r="O23" vm="4531">
        <f ca="1"/>
        <v>212.27</v>
      </c>
      <c r="P23" vm="4474">
        <f ca="1"/>
        <v>211.22</v>
      </c>
      <c r="Q23" vm="4532">
        <f ca="1"/>
        <v>212.51</v>
      </c>
      <c r="R23" vm="4533">
        <f ca="1"/>
        <v>217.14</v>
      </c>
      <c r="S23" vm="4534">
        <f ca="1"/>
        <v>217.01</v>
      </c>
      <c r="T23" vm="4535">
        <f ca="1"/>
        <v>220.21</v>
      </c>
      <c r="U23" vm="4536">
        <f ca="1"/>
        <v>220.16</v>
      </c>
      <c r="V23" vm="4537">
        <f ca="1"/>
        <v>218.91</v>
      </c>
      <c r="W23" vm="4538">
        <f ca="1"/>
        <v>220.43</v>
      </c>
      <c r="X23" vm="4539">
        <f ca="1"/>
        <v>218.05</v>
      </c>
      <c r="Y23" vm="4540">
        <f ca="1"/>
        <v>218.23</v>
      </c>
      <c r="Z23" vm="4541">
        <f ca="1"/>
        <v>220.01</v>
      </c>
      <c r="AA23" vm="1619">
        <f ca="1"/>
        <v>219.86</v>
      </c>
      <c r="AB23" vm="4542">
        <f ca="1"/>
        <v>214.47</v>
      </c>
      <c r="AC23" vm="4543">
        <f ca="1"/>
        <v>210.55</v>
      </c>
      <c r="AD23" vm="4544">
        <f ca="1"/>
        <v>212.08</v>
      </c>
      <c r="AE23" vm="4545">
        <f ca="1"/>
        <v>211.98</v>
      </c>
      <c r="AF23" vm="4546">
        <f ca="1"/>
        <v>211.84</v>
      </c>
      <c r="AG23" vm="4447">
        <f ca="1"/>
        <v>214.52</v>
      </c>
      <c r="AH23" vm="4478">
        <f ca="1"/>
        <v>212.84</v>
      </c>
      <c r="AI23" vm="4547">
        <f ca="1"/>
        <v>220.23</v>
      </c>
      <c r="AJ23" vm="4548">
        <f ca="1"/>
        <v>219.49</v>
      </c>
      <c r="AK23" vm="4549">
        <f ca="1"/>
        <v>218.01</v>
      </c>
      <c r="AL23" vm="4550">
        <f ca="1"/>
        <v>218.12</v>
      </c>
      <c r="AM23" vm="1663">
        <f ca="1"/>
        <v>221.69</v>
      </c>
      <c r="AN23" vm="4551">
        <f ca="1"/>
        <v>220.39</v>
      </c>
      <c r="AO23" vm="4552">
        <f ca="1"/>
        <v>222.26</v>
      </c>
      <c r="AP23" vm="4553">
        <f ca="1"/>
        <v>229.86</v>
      </c>
      <c r="AQ23" vm="4554">
        <f ca="1"/>
        <v>225.43</v>
      </c>
      <c r="AR23" vm="4555">
        <f ca="1"/>
        <v>226.93</v>
      </c>
      <c r="AS23" vm="4556">
        <f ca="1"/>
        <v>228.33</v>
      </c>
      <c r="AT23" vm="4557">
        <f ca="1"/>
        <v>226.85</v>
      </c>
      <c r="AU23" vm="4558">
        <f ca="1"/>
        <v>225.51</v>
      </c>
      <c r="AV23" vm="1657">
        <f ca="1"/>
        <v>227.79</v>
      </c>
      <c r="AW23" vm="4559">
        <f ca="1"/>
        <v>230.51</v>
      </c>
      <c r="AX23" vm="4560">
        <f ca="1"/>
        <v>232.56</v>
      </c>
      <c r="AY23" vm="4561">
        <f ca="1"/>
        <v>231.32</v>
      </c>
      <c r="AZ23" vm="4562">
        <f ca="1"/>
        <v>235.39</v>
      </c>
      <c r="BA23" vm="4563">
        <f ca="1"/>
        <v>238.8</v>
      </c>
      <c r="BB23" vm="4564">
        <f ca="1"/>
        <v>240.67</v>
      </c>
      <c r="BC23" vm="4565">
        <f ca="1"/>
        <v>244.69</v>
      </c>
      <c r="BD23" vm="4566">
        <f ca="1"/>
        <v>242.1</v>
      </c>
      <c r="BE23" vm="4567">
        <f ca="1"/>
        <v>240.82</v>
      </c>
      <c r="BF23" vm="4568">
        <f ca="1"/>
        <v>241.12</v>
      </c>
      <c r="BG23" vm="4569">
        <f ca="1"/>
        <v>241.72</v>
      </c>
      <c r="BH23" vm="4570">
        <f ca="1"/>
        <v>241.95</v>
      </c>
      <c r="BI23" vm="4571">
        <f ca="1"/>
        <v>240.96</v>
      </c>
      <c r="BJ23" vm="4572">
        <f ca="1"/>
        <v>243.26</v>
      </c>
      <c r="BK23" vm="4573">
        <f ca="1"/>
        <v>247.41</v>
      </c>
      <c r="BL23" vm="4574">
        <f ca="1"/>
        <v>244.63</v>
      </c>
      <c r="BM23" vm="4575">
        <f ca="1"/>
        <v>244.73</v>
      </c>
      <c r="BN23" vm="4576">
        <f ca="1"/>
        <v>243.48</v>
      </c>
      <c r="BO23" vm="4577">
        <f ca="1"/>
        <v>248.02</v>
      </c>
      <c r="BP23" vm="4578">
        <f ca="1"/>
        <v>251.96</v>
      </c>
      <c r="BQ23" vm="4579">
        <f ca="1"/>
        <v>261</v>
      </c>
      <c r="BR23" vm="4580">
        <f ca="1"/>
        <v>258.5</v>
      </c>
      <c r="BS23" vm="4581">
        <f ca="1"/>
        <v>254</v>
      </c>
      <c r="BT23" vm="4582">
        <f ca="1"/>
        <v>251.42</v>
      </c>
      <c r="BU23" vm="4583">
        <f ca="1"/>
        <v>253.33</v>
      </c>
      <c r="BV23" vm="4584">
        <f ca="1"/>
        <v>254.73</v>
      </c>
      <c r="BW23" vm="4585">
        <f ca="1"/>
        <v>249.28</v>
      </c>
      <c r="BX23" vm="4586">
        <f ca="1"/>
        <v>244.45</v>
      </c>
      <c r="BY23" vm="4587">
        <f ca="1"/>
        <v>240.7</v>
      </c>
      <c r="BZ23" vm="4588">
        <f ca="1"/>
        <v>238.01</v>
      </c>
      <c r="CA23" vm="4589">
        <f ca="1"/>
        <v>239.32</v>
      </c>
      <c r="CB23" vm="4590">
        <f ca="1"/>
        <v>242.59</v>
      </c>
      <c r="CC23" vm="4591">
        <f ca="1"/>
        <v>244.39</v>
      </c>
      <c r="CD23" vm="4592">
        <f ca="1"/>
        <v>237.16</v>
      </c>
      <c r="CE23" vm="4593">
        <f ca="1"/>
        <v>235.44</v>
      </c>
      <c r="CF23" vm="4594">
        <f ca="1"/>
        <v>232.05</v>
      </c>
      <c r="CG23" vm="4595">
        <f ca="1"/>
        <v>230.01</v>
      </c>
      <c r="CH23" vm="4596">
        <f ca="1"/>
        <v>228.35</v>
      </c>
      <c r="CI23" vm="4597">
        <f ca="1"/>
        <v>228.86</v>
      </c>
      <c r="CJ23" vm="4598">
        <f ca="1"/>
        <v>228.79</v>
      </c>
      <c r="CK23" vm="4599">
        <f ca="1"/>
        <v>230.24</v>
      </c>
      <c r="CL23" vm="4600">
        <f ca="1"/>
        <v>231.23</v>
      </c>
      <c r="CM23" vm="4601">
        <f ca="1"/>
        <v>233.56</v>
      </c>
      <c r="CN23" vm="4602">
        <f ca="1"/>
        <v>230.29</v>
      </c>
      <c r="CO23" vm="4603">
        <f ca="1"/>
        <v>229.96</v>
      </c>
      <c r="CP23" vm="1695">
        <f ca="1"/>
        <v>229.87</v>
      </c>
      <c r="CQ23" vm="4604">
        <f ca="1"/>
        <v>230.94</v>
      </c>
      <c r="CR23" vm="4605">
        <f ca="1"/>
        <v>227.99</v>
      </c>
      <c r="CS23" vm="1656">
        <f ca="1"/>
        <v>227.52</v>
      </c>
      <c r="CT23" vm="4606">
        <f ca="1"/>
        <v>229.58</v>
      </c>
      <c r="CU23" vm="4607">
        <f ca="1"/>
        <v>232.13</v>
      </c>
      <c r="CV23" vm="4608">
        <f ca="1"/>
        <v>231.7</v>
      </c>
      <c r="CW23" vm="4609">
        <f ca="1"/>
        <v>231.46</v>
      </c>
      <c r="CX23" vm="4610">
        <f ca="1"/>
        <v>232.07</v>
      </c>
      <c r="CY23" vm="4611">
        <f ca="1"/>
        <v>236.13</v>
      </c>
      <c r="CZ23" vm="4612">
        <f ca="1"/>
        <v>235.03</v>
      </c>
      <c r="DA23" vm="1602">
        <f ca="1"/>
        <v>232.98</v>
      </c>
      <c r="DB23" vm="4613">
        <f ca="1"/>
        <v>231.58</v>
      </c>
      <c r="DC23" vm="4614">
        <f ca="1"/>
        <v>236.08</v>
      </c>
      <c r="DD23" vm="4615">
        <f ca="1"/>
        <v>232.26</v>
      </c>
      <c r="DE23" vm="4616">
        <f ca="1"/>
        <v>231.11</v>
      </c>
      <c r="DF23" vm="4617">
        <f ca="1"/>
        <v>229.17</v>
      </c>
      <c r="DG23" vm="4618">
        <f ca="1"/>
        <v>224.86</v>
      </c>
      <c r="DH23" vm="4619">
        <f ca="1"/>
        <v>221.13</v>
      </c>
      <c r="DI23" vm="4620">
        <f ca="1"/>
        <v>217.48</v>
      </c>
      <c r="DJ23" vm="4621">
        <f ca="1"/>
        <v>215.21</v>
      </c>
      <c r="DK23" vm="4622">
        <f ca="1"/>
        <v>215.37</v>
      </c>
      <c r="DL23" vm="4623">
        <f ca="1"/>
        <v>214.27</v>
      </c>
      <c r="DM23" vm="4624">
        <f ca="1"/>
        <v>215.46</v>
      </c>
      <c r="DN23" vm="4452">
        <f ca="1"/>
        <v>221.29</v>
      </c>
      <c r="DO23" vm="4625">
        <f ca="1"/>
        <v>216.73</v>
      </c>
      <c r="DP23" vm="4626">
        <f ca="1"/>
        <v>216.53</v>
      </c>
      <c r="DQ23" vm="4627">
        <f ca="1"/>
        <v>219.47</v>
      </c>
      <c r="DR23" vm="4628">
        <f ca="1"/>
        <v>218.45</v>
      </c>
      <c r="DS23" vm="1588">
        <f ca="1"/>
        <v>216.67</v>
      </c>
      <c r="DT23" vm="4629">
        <f ca="1"/>
        <v>218.1</v>
      </c>
      <c r="DU23" vm="4630">
        <f ca="1"/>
        <v>218.35</v>
      </c>
      <c r="DV23" vm="4631">
        <f ca="1"/>
        <v>225.02</v>
      </c>
      <c r="DW23" vm="4632">
        <f ca="1"/>
        <v>226.86</v>
      </c>
      <c r="DX23" vm="4633">
        <f ca="1"/>
        <v>223.35</v>
      </c>
      <c r="DY23" vm="4634">
        <f ca="1"/>
        <v>226.77</v>
      </c>
      <c r="DZ23" vm="4635">
        <f ca="1"/>
        <v>227.77</v>
      </c>
      <c r="EA23" vm="4636">
        <f ca="1"/>
        <v>227.53</v>
      </c>
      <c r="EB23" vm="4637">
        <f ca="1"/>
        <v>228.59</v>
      </c>
      <c r="EC23" vm="4638">
        <f ca="1"/>
        <v>228.39</v>
      </c>
      <c r="ED23" vm="4639">
        <f ca="1"/>
        <v>217.25</v>
      </c>
      <c r="EE23" vm="4640">
        <f ca="1"/>
        <v>218.78</v>
      </c>
      <c r="EF23" vm="4641">
        <f ca="1"/>
        <v>219.8</v>
      </c>
      <c r="EG23" vm="4642">
        <f ca="1"/>
        <v>220.46</v>
      </c>
      <c r="EH23" vm="4643">
        <f ca="1"/>
        <v>213.56</v>
      </c>
      <c r="EI23" vm="4644">
        <f ca="1"/>
        <v>213.7</v>
      </c>
      <c r="EJ23" vm="4645">
        <f ca="1"/>
        <v>213.3</v>
      </c>
      <c r="EK23" vm="4069">
        <f ca="1"/>
        <v>213.89</v>
      </c>
      <c r="EL23" vm="4646">
        <f ca="1"/>
        <v>217.15</v>
      </c>
      <c r="EM23" vm="4647">
        <f ca="1"/>
        <v>216.33</v>
      </c>
      <c r="EN23" vm="4648">
        <f ca="1"/>
        <v>220.74</v>
      </c>
      <c r="EO23" vm="4649">
        <f ca="1"/>
        <v>229.75</v>
      </c>
      <c r="EP23" vm="4650">
        <f ca="1"/>
        <v>234.08</v>
      </c>
      <c r="EQ23" vm="4651">
        <f ca="1"/>
        <v>232.17</v>
      </c>
      <c r="ER23" vm="4652">
        <f ca="1"/>
        <v>240.97</v>
      </c>
      <c r="ES23" vm="1703">
        <f ca="1"/>
        <v>243.04</v>
      </c>
      <c r="ET23" vm="4653">
        <f ca="1"/>
        <v>239.37</v>
      </c>
      <c r="EU23" vm="4654">
        <f ca="1"/>
        <v>238.52</v>
      </c>
      <c r="EV23" vm="4655">
        <f ca="1"/>
        <v>240.27</v>
      </c>
      <c r="EW23" vm="4656">
        <f ca="1"/>
        <v>238.31</v>
      </c>
      <c r="EX23" vm="4657">
        <f ca="1"/>
        <v>231.67</v>
      </c>
      <c r="EY23" vm="4658">
        <f ca="1"/>
        <v>234.77</v>
      </c>
      <c r="EZ23" vm="4659">
        <f ca="1"/>
        <v>238.87</v>
      </c>
      <c r="FA23" vm="4660">
        <f ca="1"/>
        <v>239.8</v>
      </c>
      <c r="FB23" vm="4661">
        <f ca="1"/>
        <v>241.4</v>
      </c>
      <c r="FC23" vm="4662">
        <f ca="1"/>
        <v>245.51</v>
      </c>
      <c r="FD23" vm="4663">
        <f ca="1"/>
        <v>241.36</v>
      </c>
      <c r="FE23" vm="4664">
        <f ca="1"/>
        <v>240.42</v>
      </c>
      <c r="FF23" vm="4665">
        <f ca="1"/>
        <v>237.02</v>
      </c>
      <c r="FG23" vm="4666">
        <f ca="1"/>
        <v>240.65</v>
      </c>
      <c r="FH23" vm="4667">
        <f ca="1"/>
        <v>231.59</v>
      </c>
      <c r="FI23" vm="4668">
        <f ca="1"/>
        <v>236.33</v>
      </c>
      <c r="FJ23" vm="4669">
        <f ca="1"/>
        <v>235.83</v>
      </c>
      <c r="FK23" vm="4670">
        <f ca="1"/>
        <v>231.07</v>
      </c>
      <c r="FL23" vm="4671">
        <f ca="1"/>
        <v>236.19</v>
      </c>
      <c r="FM23" vm="4672">
        <f ca="1"/>
        <v>237.64</v>
      </c>
      <c r="FN23" vm="4673">
        <f ca="1"/>
        <v>240.06</v>
      </c>
      <c r="FO23" vm="4674">
        <f ca="1"/>
        <v>241.15</v>
      </c>
      <c r="FP23" vm="4675">
        <f ca="1"/>
        <v>243.21</v>
      </c>
      <c r="FQ23" vm="4676">
        <f ca="1"/>
        <v>240.33</v>
      </c>
      <c r="FR23" vm="4677">
        <f ca="1"/>
        <v>242.37</v>
      </c>
      <c r="FS23" vm="4678">
        <f ca="1"/>
        <v>240.31</v>
      </c>
      <c r="FT23" vm="4679">
        <f ca="1"/>
        <v>250.07</v>
      </c>
      <c r="FU23" vm="4680">
        <f ca="1"/>
        <v>250.5</v>
      </c>
      <c r="FV23" vm="4681">
        <f ca="1"/>
        <v>248.57</v>
      </c>
      <c r="FW23" vm="4682">
        <f ca="1"/>
        <v>248.94</v>
      </c>
      <c r="FX23" vm="4683">
        <f ca="1"/>
        <v>246.77</v>
      </c>
      <c r="FY23" vm="4684">
        <f ca="1"/>
        <v>248.5</v>
      </c>
      <c r="FZ23" vm="4685">
        <f ca="1"/>
        <v>245.46</v>
      </c>
      <c r="GA23" vm="4686">
        <f ca="1"/>
        <v>245.45</v>
      </c>
      <c r="GB23" vm="4687">
        <f ca="1"/>
        <v>244.11</v>
      </c>
      <c r="GC23" vm="4519">
        <f ca="1"/>
        <v>243.81</v>
      </c>
      <c r="GD23" vm="4575">
        <f ca="1"/>
        <v>244.73</v>
      </c>
      <c r="GE23" vm="4688">
        <f ca="1"/>
        <v>247.38</v>
      </c>
      <c r="GF23" vm="4688">
        <f ca="1"/>
        <v>247.38</v>
      </c>
      <c r="GG23" vm="4689">
        <f ca="1"/>
        <v>252.05</v>
      </c>
      <c r="GH23" vm="4690">
        <f ca="1"/>
        <v>255.41</v>
      </c>
      <c r="GI23" vm="4691">
        <f ca="1"/>
        <v>256.64</v>
      </c>
      <c r="GJ23" vm="4692">
        <f ca="1"/>
        <v>256.72000000000003</v>
      </c>
      <c r="GK23" vm="4693">
        <f ca="1"/>
        <v>256.63</v>
      </c>
      <c r="GL23" vm="4579">
        <f ca="1"/>
        <v>261</v>
      </c>
      <c r="GM23" vm="4694">
        <f ca="1"/>
        <v>260.14</v>
      </c>
      <c r="GN23" vm="4695">
        <f ca="1"/>
        <v>262.29000000000002</v>
      </c>
      <c r="GO23" vm="4696">
        <f ca="1"/>
        <v>266.04000000000002</v>
      </c>
      <c r="GP23" vm="4697">
        <f ca="1"/>
        <v>264.97000000000003</v>
      </c>
      <c r="GQ23" vm="4698">
        <f ca="1"/>
        <v>265.61</v>
      </c>
      <c r="GR23" vm="4699">
        <f ca="1"/>
        <v>267.14</v>
      </c>
      <c r="GS23" vm="4700">
        <f ca="1"/>
        <v>270.85000000000002</v>
      </c>
      <c r="GT23" vm="4701">
        <f ca="1"/>
        <v>272.64</v>
      </c>
      <c r="GU23" vm="4702">
        <f ca="1"/>
        <v>271.86</v>
      </c>
      <c r="GV23" vm="4703">
        <f ca="1"/>
        <v>270.20999999999998</v>
      </c>
      <c r="GW23" vm="4704">
        <f ca="1"/>
        <v>267.76</v>
      </c>
      <c r="GX23" vm="4705">
        <f ca="1"/>
        <v>268.54000000000002</v>
      </c>
      <c r="GY23" vm="4706">
        <f ca="1"/>
        <v>273.27</v>
      </c>
      <c r="GZ23" vm="4707">
        <f ca="1"/>
        <v>277.18</v>
      </c>
      <c r="HA23" vm="4708">
        <f ca="1"/>
        <v>273.20999999999998</v>
      </c>
      <c r="HB23" vm="4709">
        <f ca="1"/>
        <v>275.76</v>
      </c>
      <c r="HC23" vm="4710">
        <f ca="1"/>
        <v>280.73</v>
      </c>
      <c r="HD23" vm="4711">
        <f ca="1"/>
        <v>281.83</v>
      </c>
      <c r="HE23" vm="4712">
        <f ca="1"/>
        <v>284.05</v>
      </c>
      <c r="HF23" vm="4713">
        <f ca="1"/>
        <v>281.31</v>
      </c>
      <c r="HG23" vm="4714">
        <f ca="1"/>
        <v>281.64</v>
      </c>
      <c r="HH23" vm="4715">
        <f ca="1"/>
        <v>276.83999999999997</v>
      </c>
      <c r="HI23" vm="4716">
        <f ca="1"/>
        <v>272.22000000000003</v>
      </c>
      <c r="HJ23" vm="4717">
        <f ca="1"/>
        <v>270.11</v>
      </c>
      <c r="HK23" vm="4718">
        <f ca="1"/>
        <v>271.36</v>
      </c>
      <c r="HL23" vm="4719">
        <f ca="1"/>
        <v>267.64</v>
      </c>
      <c r="HM23" vm="4720">
        <f ca="1"/>
        <v>267.97000000000003</v>
      </c>
      <c r="HN23" vm="4721">
        <f ca="1"/>
        <v>262.97000000000003</v>
      </c>
      <c r="HO23" vm="4722">
        <f ca="1"/>
        <v>261.39</v>
      </c>
      <c r="HP23" vm="4723">
        <f ca="1"/>
        <v>261.83</v>
      </c>
      <c r="HQ23" vm="4724">
        <f ca="1"/>
        <v>261.94</v>
      </c>
      <c r="HR23" vm="4725">
        <f ca="1"/>
        <v>264.98</v>
      </c>
      <c r="HS23" vm="4726">
        <f ca="1"/>
        <v>269.18</v>
      </c>
      <c r="HT23" vm="4727">
        <f ca="1"/>
        <v>261.73</v>
      </c>
      <c r="HU23" vm="4728">
        <f ca="1"/>
        <v>266.3</v>
      </c>
      <c r="HV23" vm="4729">
        <f ca="1"/>
        <v>271.10000000000002</v>
      </c>
      <c r="HW23" vm="4730">
        <f ca="1"/>
        <v>274.51</v>
      </c>
      <c r="HX23" vm="4731">
        <f ca="1"/>
        <v>269.89999999999998</v>
      </c>
      <c r="HY23" vm="4732">
        <f ca="1"/>
        <v>272.32</v>
      </c>
      <c r="HZ23" vm="4733">
        <f ca="1"/>
        <v>270.35000000000002</v>
      </c>
      <c r="IA23" vm="4734">
        <f ca="1"/>
        <v>269.39999999999998</v>
      </c>
      <c r="IB23" vm="4735">
        <f ca="1"/>
        <v>271.77</v>
      </c>
      <c r="IC23" vm="4736">
        <f ca="1"/>
        <v>259.26</v>
      </c>
      <c r="ID23" vm="4737">
        <f ca="1"/>
        <v>263.02999999999997</v>
      </c>
      <c r="IE23" vm="4738">
        <f ca="1"/>
        <v>265.22000000000003</v>
      </c>
      <c r="IF23" vm="4739">
        <f ca="1"/>
        <v>264.68</v>
      </c>
      <c r="IG23" vm="4740">
        <f ca="1"/>
        <v>275.32</v>
      </c>
      <c r="IH23" vm="4741">
        <f ca="1"/>
        <v>274.47000000000003</v>
      </c>
      <c r="II23" vm="4742">
        <f ca="1"/>
        <v>273.19</v>
      </c>
      <c r="IJ23" vm="4743">
        <f ca="1"/>
        <v>272.43</v>
      </c>
      <c r="IK23" vm="4744">
        <f ca="1"/>
        <v>272.05</v>
      </c>
      <c r="IL23" vm="4745">
        <f ca="1"/>
        <v>274.39</v>
      </c>
      <c r="IM23" vm="4746">
        <f ca="1"/>
        <v>272.27</v>
      </c>
      <c r="IN23" vm="4747">
        <f ca="1"/>
        <v>270.07</v>
      </c>
      <c r="IO23" vm="4748">
        <f ca="1"/>
        <v>273.43</v>
      </c>
      <c r="IP23" vm="4749">
        <f ca="1"/>
        <v>274.14999999999998</v>
      </c>
      <c r="IQ23" vm="4717">
        <f ca="1"/>
        <v>270.11</v>
      </c>
    </row>
    <row r="24" spans="1:251">
      <c r="A24" cm="1" vm="4750">
        <f t="array" aca="1" ref="A24:IQ24" ca="1">TRANSPOSE(_xlfn.STOCKHISTORY(Table3[[#This Row],[Stock Name ]],TODAY()-365,TODAY(),0,0,1))</f>
        <v>420.75</v>
      </c>
      <c r="B24" vm="4751">
        <f ca="1"/>
        <v>424.68</v>
      </c>
      <c r="C24" vm="4752">
        <f ca="1"/>
        <v>418.56</v>
      </c>
      <c r="D24" vm="4753">
        <f ca="1"/>
        <v>418.57</v>
      </c>
      <c r="E24" vm="4754">
        <f ca="1"/>
        <v>424.43</v>
      </c>
      <c r="F24" vm="4755">
        <f ca="1"/>
        <v>425.47</v>
      </c>
      <c r="G24" vm="4756">
        <f ca="1"/>
        <v>419.45</v>
      </c>
      <c r="H24" vm="4757">
        <f ca="1"/>
        <v>423.44</v>
      </c>
      <c r="I24" vm="4758">
        <f ca="1"/>
        <v>424.1</v>
      </c>
      <c r="J24" vm="4759">
        <f ca="1"/>
        <v>423.67</v>
      </c>
      <c r="K24" vm="4760">
        <f ca="1"/>
        <v>424.36</v>
      </c>
      <c r="L24" vm="4761">
        <f ca="1"/>
        <v>426.32</v>
      </c>
      <c r="M24" vm="4762">
        <f ca="1"/>
        <v>426.51</v>
      </c>
      <c r="N24" vm="4763">
        <f ca="1"/>
        <v>421.89</v>
      </c>
      <c r="O24" vm="4764">
        <f ca="1"/>
        <v>418.77</v>
      </c>
      <c r="P24" vm="4765">
        <f ca="1"/>
        <v>419.77</v>
      </c>
      <c r="Q24" vm="4766">
        <f ca="1"/>
        <v>419.42</v>
      </c>
      <c r="R24" vm="4767">
        <f ca="1"/>
        <v>421.98</v>
      </c>
      <c r="S24" vm="4768">
        <f ca="1"/>
        <v>422.6</v>
      </c>
      <c r="T24" vm="4769">
        <f ca="1"/>
        <v>428.27</v>
      </c>
      <c r="U24" vm="4770">
        <f ca="1"/>
        <v>426.72</v>
      </c>
      <c r="V24" vm="4771">
        <f ca="1"/>
        <v>429.1</v>
      </c>
      <c r="W24" vm="4772">
        <f ca="1"/>
        <v>428.35</v>
      </c>
      <c r="X24" vm="4773">
        <f ca="1"/>
        <v>427.42</v>
      </c>
      <c r="Y24" vm="4774">
        <f ca="1"/>
        <v>430.72</v>
      </c>
      <c r="Z24" vm="4775">
        <f ca="1"/>
        <v>436.78</v>
      </c>
      <c r="AA24" vm="4776">
        <f ca="1"/>
        <v>439.75</v>
      </c>
      <c r="AB24" vm="4777">
        <f ca="1"/>
        <v>438.76</v>
      </c>
      <c r="AC24" vm="4778">
        <f ca="1"/>
        <v>438.7</v>
      </c>
      <c r="AD24" vm="4779">
        <f ca="1"/>
        <v>436.8</v>
      </c>
      <c r="AE24" vm="4780">
        <f ca="1"/>
        <v>438.53</v>
      </c>
      <c r="AF24" vm="4781">
        <f ca="1"/>
        <v>440.58</v>
      </c>
      <c r="AG24" vm="4782">
        <f ca="1"/>
        <v>445.19</v>
      </c>
      <c r="AH24" vm="4783">
        <f ca="1"/>
        <v>449.23</v>
      </c>
      <c r="AI24" vm="4784">
        <f ca="1"/>
        <v>460.92</v>
      </c>
      <c r="AJ24" vm="4785">
        <f ca="1"/>
        <v>460.58</v>
      </c>
      <c r="AK24" vm="4786">
        <f ca="1"/>
        <v>456.76</v>
      </c>
      <c r="AL24" vm="4787">
        <f ca="1"/>
        <v>460.5</v>
      </c>
      <c r="AM24" vm="4788">
        <f ca="1"/>
        <v>461.91</v>
      </c>
      <c r="AN24" vm="4789">
        <f ca="1"/>
        <v>458.26</v>
      </c>
      <c r="AO24" vm="4790">
        <f ca="1"/>
        <v>457.88</v>
      </c>
      <c r="AP24" vm="4791">
        <f ca="1"/>
        <v>458.71</v>
      </c>
      <c r="AQ24" vm="4792">
        <f ca="1"/>
        <v>460.46</v>
      </c>
      <c r="AR24" vm="4793">
        <f ca="1"/>
        <v>465.19</v>
      </c>
      <c r="AS24" vm="4794">
        <f ca="1"/>
        <v>471.28</v>
      </c>
      <c r="AT24" vm="4795">
        <f ca="1"/>
        <v>468.13</v>
      </c>
      <c r="AU24" vm="4796">
        <f ca="1"/>
        <v>451.75</v>
      </c>
      <c r="AV24" vm="4797">
        <f ca="1"/>
        <v>459.05</v>
      </c>
      <c r="AW24" vm="4798">
        <f ca="1"/>
        <v>471.56</v>
      </c>
      <c r="AX24" vm="4799">
        <f ca="1"/>
        <v>473.42</v>
      </c>
      <c r="AY24" vm="4800">
        <f ca="1"/>
        <v>474.51</v>
      </c>
      <c r="AZ24" vm="4801">
        <f ca="1"/>
        <v>474.75</v>
      </c>
      <c r="BA24" vm="4802">
        <f ca="1"/>
        <v>478.85</v>
      </c>
      <c r="BB24" vm="4803">
        <f ca="1"/>
        <v>474.76</v>
      </c>
      <c r="BC24" vm="4804">
        <f ca="1"/>
        <v>476.63</v>
      </c>
      <c r="BD24" vm="4805">
        <f ca="1"/>
        <v>468.49</v>
      </c>
      <c r="BE24" vm="4806">
        <f ca="1"/>
        <v>467.52</v>
      </c>
      <c r="BF24" vm="4807">
        <f ca="1"/>
        <v>471.6</v>
      </c>
      <c r="BG24" vm="4808">
        <f ca="1"/>
        <v>467.54</v>
      </c>
      <c r="BH24" vm="4809">
        <f ca="1"/>
        <v>469.26</v>
      </c>
      <c r="BI24" vm="4810">
        <f ca="1"/>
        <v>469.16</v>
      </c>
      <c r="BJ24" vm="4811">
        <f ca="1"/>
        <v>472.87</v>
      </c>
      <c r="BK24" vm="4812">
        <f ca="1"/>
        <v>475.61</v>
      </c>
      <c r="BL24" vm="4813">
        <f ca="1"/>
        <v>479.48</v>
      </c>
      <c r="BM24" vm="4814">
        <f ca="1"/>
        <v>475.83</v>
      </c>
      <c r="BN24" vm="4815">
        <f ca="1"/>
        <v>478.89</v>
      </c>
      <c r="BO24" vm="4816">
        <f ca="1"/>
        <v>484</v>
      </c>
      <c r="BP24" vm="4817">
        <f ca="1"/>
        <v>488.04</v>
      </c>
      <c r="BQ24" vm="4818">
        <f ca="1"/>
        <v>488.64</v>
      </c>
      <c r="BR24" vm="4819">
        <f ca="1"/>
        <v>481.67</v>
      </c>
      <c r="BS24" vm="4820">
        <f ca="1"/>
        <v>476.04</v>
      </c>
      <c r="BT24" vm="4821">
        <f ca="1"/>
        <v>476.8</v>
      </c>
      <c r="BU24" vm="4822">
        <f ca="1"/>
        <v>477.95</v>
      </c>
      <c r="BV24" vm="4823">
        <f ca="1"/>
        <v>481.57</v>
      </c>
      <c r="BW24" vm="4824">
        <f ca="1"/>
        <v>478.4</v>
      </c>
      <c r="BX24" vm="4825">
        <f ca="1"/>
        <v>479.43</v>
      </c>
      <c r="BY24" vm="4826">
        <f ca="1"/>
        <v>477.42</v>
      </c>
      <c r="BZ24" vm="4827">
        <f ca="1"/>
        <v>469.77</v>
      </c>
      <c r="CA24" vm="4828">
        <f ca="1"/>
        <v>477.15</v>
      </c>
      <c r="CB24" vm="4802">
        <f ca="1"/>
        <v>478.85</v>
      </c>
      <c r="CC24" vm="4829">
        <f ca="1"/>
        <v>472.16</v>
      </c>
      <c r="CD24" vm="4830">
        <f ca="1"/>
        <v>469.17</v>
      </c>
      <c r="CE24" vm="4831">
        <f ca="1"/>
        <v>468.31</v>
      </c>
      <c r="CF24" vm="4832">
        <f ca="1"/>
        <v>465.38</v>
      </c>
      <c r="CG24" vm="4833">
        <f ca="1"/>
        <v>459.79</v>
      </c>
      <c r="CH24" vm="4834">
        <f ca="1"/>
        <v>459.82</v>
      </c>
      <c r="CI24" vm="4835">
        <f ca="1"/>
        <v>460.16</v>
      </c>
      <c r="CJ24" vm="4836">
        <f ca="1"/>
        <v>454.7</v>
      </c>
      <c r="CK24" vm="4837">
        <f ca="1"/>
        <v>455.39</v>
      </c>
      <c r="CL24" vm="4838">
        <f ca="1"/>
        <v>456.75</v>
      </c>
      <c r="CM24" vm="4839">
        <f ca="1"/>
        <v>462.82</v>
      </c>
      <c r="CN24" vm="4840">
        <f ca="1"/>
        <v>462.5</v>
      </c>
      <c r="CO24" vm="4841">
        <f ca="1"/>
        <v>462.11</v>
      </c>
      <c r="CP24" vm="4842">
        <f ca="1"/>
        <v>462.42</v>
      </c>
      <c r="CQ24" vm="4843">
        <f ca="1"/>
        <v>457.1</v>
      </c>
      <c r="CR24" vm="4844">
        <f ca="1"/>
        <v>451.2</v>
      </c>
      <c r="CS24" vm="4845">
        <f ca="1"/>
        <v>442.07</v>
      </c>
      <c r="CT24" vm="4846">
        <f ca="1"/>
        <v>441.1</v>
      </c>
      <c r="CU24" vm="4847">
        <f ca="1"/>
        <v>443.58</v>
      </c>
      <c r="CV24" vm="4848">
        <f ca="1"/>
        <v>449.37</v>
      </c>
      <c r="CW24" vm="4849">
        <f ca="1"/>
        <v>453.06</v>
      </c>
      <c r="CX24" vm="4850">
        <f ca="1"/>
        <v>454.77</v>
      </c>
      <c r="CY24" vm="4851">
        <f ca="1"/>
        <v>455.49</v>
      </c>
      <c r="CZ24" vm="4852">
        <f ca="1"/>
        <v>456.98</v>
      </c>
      <c r="DA24" vm="4853">
        <f ca="1"/>
        <v>457.76</v>
      </c>
      <c r="DB24" vm="4854">
        <f ca="1"/>
        <v>454.2</v>
      </c>
      <c r="DC24" vm="4855">
        <f ca="1"/>
        <v>458</v>
      </c>
      <c r="DD24" vm="4856">
        <f ca="1"/>
        <v>458.87</v>
      </c>
      <c r="DE24" vm="4857">
        <f ca="1"/>
        <v>460.27</v>
      </c>
      <c r="DF24" vm="4858">
        <f ca="1"/>
        <v>459.66</v>
      </c>
      <c r="DG24" vm="4859">
        <f ca="1"/>
        <v>459.1</v>
      </c>
      <c r="DH24" vm="4860">
        <f ca="1"/>
        <v>456.52</v>
      </c>
      <c r="DI24" vm="4861">
        <f ca="1"/>
        <v>451.21</v>
      </c>
      <c r="DJ24" vm="4862">
        <f ca="1"/>
        <v>451.18</v>
      </c>
      <c r="DK24" vm="4863">
        <f ca="1"/>
        <v>445.08</v>
      </c>
      <c r="DL24" vm="4864">
        <f ca="1"/>
        <v>442.47</v>
      </c>
      <c r="DM24" vm="4865">
        <f ca="1"/>
        <v>442.1</v>
      </c>
      <c r="DN24" vm="4866">
        <f ca="1"/>
        <v>447.07</v>
      </c>
      <c r="DO24" vm="4867">
        <f ca="1"/>
        <v>443.19</v>
      </c>
      <c r="DP24" vm="4868">
        <f ca="1"/>
        <v>444.77</v>
      </c>
      <c r="DQ24" vm="4869">
        <f ca="1"/>
        <v>446.66</v>
      </c>
      <c r="DR24" vm="4870">
        <f ca="1"/>
        <v>448.68</v>
      </c>
      <c r="DS24" vm="4871">
        <f ca="1"/>
        <v>449.79</v>
      </c>
      <c r="DT24" vm="4872">
        <f ca="1"/>
        <v>449.25</v>
      </c>
      <c r="DU24" vm="4873">
        <f ca="1"/>
        <v>449.04</v>
      </c>
      <c r="DV24" vm="4874">
        <f ca="1"/>
        <v>443</v>
      </c>
      <c r="DW24" vm="4875">
        <f ca="1"/>
        <v>445</v>
      </c>
      <c r="DX24" vm="4876">
        <f ca="1"/>
        <v>444.63</v>
      </c>
      <c r="DY24" vm="4877">
        <f ca="1"/>
        <v>448.11</v>
      </c>
      <c r="DZ24" vm="4878">
        <f ca="1"/>
        <v>450.11</v>
      </c>
      <c r="EA24" vm="4879">
        <f ca="1"/>
        <v>452.51</v>
      </c>
      <c r="EB24" vm="4880">
        <f ca="1"/>
        <v>454.85</v>
      </c>
      <c r="EC24" vm="4881">
        <f ca="1"/>
        <v>456.96</v>
      </c>
      <c r="ED24" vm="4882">
        <f ca="1"/>
        <v>455.65</v>
      </c>
      <c r="EE24" vm="4883">
        <f ca="1"/>
        <v>452.38</v>
      </c>
      <c r="EF24" vm="4884">
        <f ca="1"/>
        <v>442.75</v>
      </c>
      <c r="EG24" vm="4885">
        <f ca="1"/>
        <v>441.16</v>
      </c>
      <c r="EH24" vm="4886">
        <f ca="1"/>
        <v>437.61</v>
      </c>
      <c r="EI24" vm="4887">
        <f ca="1"/>
        <v>444.65</v>
      </c>
      <c r="EJ24" vm="4888">
        <f ca="1"/>
        <v>448.18</v>
      </c>
      <c r="EK24" vm="4889">
        <f ca="1"/>
        <v>449.49</v>
      </c>
      <c r="EL24" vm="4890">
        <f ca="1"/>
        <v>446.24</v>
      </c>
      <c r="EM24" vm="4891">
        <f ca="1"/>
        <v>444.7</v>
      </c>
      <c r="EN24" vm="4892">
        <f ca="1"/>
        <v>433.64</v>
      </c>
      <c r="EO24" vm="4893">
        <f ca="1"/>
        <v>436.42</v>
      </c>
      <c r="EP24" vm="4894">
        <f ca="1"/>
        <v>440.11</v>
      </c>
      <c r="EQ24" vm="4895">
        <f ca="1"/>
        <v>444</v>
      </c>
      <c r="ER24" vm="4896">
        <f ca="1"/>
        <v>443.53</v>
      </c>
      <c r="ES24" vm="4897">
        <f ca="1"/>
        <v>451.16</v>
      </c>
      <c r="ET24" vm="4898">
        <f ca="1"/>
        <v>448.72</v>
      </c>
      <c r="EU24" vm="4899">
        <f ca="1"/>
        <v>443.69</v>
      </c>
      <c r="EV24" vm="4900">
        <f ca="1"/>
        <v>447.94</v>
      </c>
      <c r="EW24" vm="4901">
        <f ca="1"/>
        <v>441.72</v>
      </c>
      <c r="EX24" vm="4902">
        <f ca="1"/>
        <v>432.45</v>
      </c>
      <c r="EY24" vm="4903">
        <f ca="1"/>
        <v>429.6</v>
      </c>
      <c r="EZ24" vm="4904">
        <f ca="1"/>
        <v>438.18</v>
      </c>
      <c r="FA24" vm="4905">
        <f ca="1"/>
        <v>441.3</v>
      </c>
      <c r="FB24" vm="4906">
        <f ca="1"/>
        <v>447.45</v>
      </c>
      <c r="FC24" vm="4907">
        <f ca="1"/>
        <v>463.71</v>
      </c>
      <c r="FD24" vm="4908">
        <f ca="1"/>
        <v>462.41</v>
      </c>
      <c r="FE24" vm="4909">
        <f ca="1"/>
        <v>462.02</v>
      </c>
      <c r="FF24" vm="4910">
        <f ca="1"/>
        <v>442</v>
      </c>
      <c r="FG24" vm="4911">
        <f ca="1"/>
        <v>448.3</v>
      </c>
      <c r="FH24" vm="4912">
        <f ca="1"/>
        <v>449.84</v>
      </c>
      <c r="FI24" vm="4913">
        <f ca="1"/>
        <v>455.58</v>
      </c>
      <c r="FJ24" vm="4914">
        <f ca="1"/>
        <v>456.78</v>
      </c>
      <c r="FK24" vm="4915">
        <f ca="1"/>
        <v>455.69</v>
      </c>
      <c r="FL24" vm="4916">
        <f ca="1"/>
        <v>459.36</v>
      </c>
      <c r="FM24" vm="4835">
        <f ca="1"/>
        <v>460.16</v>
      </c>
      <c r="FN24" vm="4917">
        <f ca="1"/>
        <v>468.71</v>
      </c>
      <c r="FO24" vm="4918">
        <f ca="1"/>
        <v>468.88</v>
      </c>
      <c r="FP24" vm="4919">
        <f ca="1"/>
        <v>466.98</v>
      </c>
      <c r="FQ24" vm="4920">
        <f ca="1"/>
        <v>469.12</v>
      </c>
      <c r="FR24" vm="4921">
        <f ca="1"/>
        <v>468</v>
      </c>
      <c r="FS24" vm="4922">
        <f ca="1"/>
        <v>468.82</v>
      </c>
      <c r="FT24" vm="4923">
        <f ca="1"/>
        <v>466.44</v>
      </c>
      <c r="FU24" vm="4924">
        <f ca="1"/>
        <v>468.64</v>
      </c>
      <c r="FV24" vm="4925">
        <f ca="1"/>
        <v>474.99</v>
      </c>
      <c r="FW24" vm="4926">
        <f ca="1"/>
        <v>471.8</v>
      </c>
      <c r="FX24" vm="4927">
        <f ca="1"/>
        <v>480.8</v>
      </c>
      <c r="FY24" vm="4928">
        <f ca="1"/>
        <v>483.34</v>
      </c>
      <c r="FZ24" vm="4929">
        <f ca="1"/>
        <v>482.12</v>
      </c>
      <c r="GA24" vm="4930">
        <f ca="1"/>
        <v>483.14</v>
      </c>
      <c r="GB24" vm="4931">
        <f ca="1"/>
        <v>477.36</v>
      </c>
      <c r="GC24" vm="4932">
        <f ca="1"/>
        <v>476.12</v>
      </c>
      <c r="GD24" vm="4933">
        <f ca="1"/>
        <v>487.09</v>
      </c>
      <c r="GE24" vm="4934">
        <f ca="1"/>
        <v>488.02</v>
      </c>
      <c r="GF24" vm="4935">
        <f ca="1"/>
        <v>488.18</v>
      </c>
      <c r="GG24" vm="4936">
        <f ca="1"/>
        <v>492.11</v>
      </c>
      <c r="GH24" vm="4937">
        <f ca="1"/>
        <v>493.36</v>
      </c>
      <c r="GI24" vm="513">
        <f ca="1"/>
        <v>497.71</v>
      </c>
      <c r="GJ24" vm="4938">
        <f ca="1"/>
        <v>500.99</v>
      </c>
      <c r="GK24" vm="4939">
        <f ca="1"/>
        <v>494.76</v>
      </c>
      <c r="GL24" vm="4940">
        <f ca="1"/>
        <v>493.01</v>
      </c>
      <c r="GM24" vm="4941">
        <f ca="1"/>
        <v>492.74</v>
      </c>
      <c r="GN24" vm="4942">
        <f ca="1"/>
        <v>497.14</v>
      </c>
      <c r="GO24" vm="4943">
        <f ca="1"/>
        <v>487.41</v>
      </c>
      <c r="GP24" vm="4944">
        <f ca="1"/>
        <v>489.45</v>
      </c>
      <c r="GQ24" vm="4945">
        <f ca="1"/>
        <v>491.27</v>
      </c>
      <c r="GR24" vm="4946">
        <f ca="1"/>
        <v>493.64</v>
      </c>
      <c r="GS24" vm="4947">
        <f ca="1"/>
        <v>493.8</v>
      </c>
      <c r="GT24" vm="4948">
        <f ca="1"/>
        <v>496.38</v>
      </c>
      <c r="GU24" vm="4949">
        <f ca="1"/>
        <v>495.57</v>
      </c>
      <c r="GV24" vm="4950">
        <f ca="1"/>
        <v>494.97</v>
      </c>
      <c r="GW24" vm="4951">
        <f ca="1"/>
        <v>497.7</v>
      </c>
      <c r="GX24" vm="4952">
        <f ca="1"/>
        <v>491.3</v>
      </c>
      <c r="GY24" vm="4953">
        <f ca="1"/>
        <v>497.06</v>
      </c>
      <c r="GZ24" vm="4954">
        <f ca="1"/>
        <v>499.95</v>
      </c>
      <c r="HA24" vm="4955">
        <f ca="1"/>
        <v>498.02</v>
      </c>
      <c r="HB24" vm="4956">
        <f ca="1"/>
        <v>502.26</v>
      </c>
      <c r="HC24" vm="4957">
        <f ca="1"/>
        <v>506.66</v>
      </c>
      <c r="HD24" vm="369">
        <f ca="1"/>
        <v>507.23</v>
      </c>
      <c r="HE24" vm="4958">
        <f ca="1"/>
        <v>514.07000000000005</v>
      </c>
      <c r="HF24" vm="4959">
        <f ca="1"/>
        <v>513.76</v>
      </c>
      <c r="HG24" vm="4960">
        <f ca="1"/>
        <v>516.34</v>
      </c>
      <c r="HH24" vm="4961">
        <f ca="1"/>
        <v>515.01</v>
      </c>
      <c r="HI24" vm="4962">
        <f ca="1"/>
        <v>513.02</v>
      </c>
      <c r="HJ24" vm="4963">
        <f ca="1"/>
        <v>513.73</v>
      </c>
      <c r="HK24" vm="4964">
        <f ca="1"/>
        <v>510.62</v>
      </c>
      <c r="HL24" vm="4965">
        <f ca="1"/>
        <v>507.36</v>
      </c>
      <c r="HM24" vm="4966">
        <f ca="1"/>
        <v>508.21</v>
      </c>
      <c r="HN24" vm="4967">
        <f ca="1"/>
        <v>506.28</v>
      </c>
      <c r="HO24" vm="4968">
        <f ca="1"/>
        <v>513.69000000000005</v>
      </c>
      <c r="HP24" vm="4969">
        <f ca="1"/>
        <v>499.59</v>
      </c>
      <c r="HQ24" vm="4970">
        <f ca="1"/>
        <v>508.08</v>
      </c>
      <c r="HR24" vm="4971">
        <f ca="1"/>
        <v>505.58</v>
      </c>
      <c r="HS24" vm="4972">
        <f ca="1"/>
        <v>505.56</v>
      </c>
      <c r="HT24" vm="4973">
        <f ca="1"/>
        <v>521.13</v>
      </c>
      <c r="HU24" vm="4974">
        <f ca="1"/>
        <v>517.88</v>
      </c>
      <c r="HV24" vm="4975">
        <f ca="1"/>
        <v>524.76</v>
      </c>
      <c r="HW24" vm="4976">
        <f ca="1"/>
        <v>530.12</v>
      </c>
      <c r="HX24" vm="4977">
        <f ca="1"/>
        <v>529.16999999999996</v>
      </c>
      <c r="HY24" vm="4978">
        <f ca="1"/>
        <v>521.88</v>
      </c>
      <c r="HZ24" vm="4979">
        <f ca="1"/>
        <v>520.4</v>
      </c>
      <c r="IA24" vm="4980">
        <f ca="1"/>
        <v>521.89</v>
      </c>
      <c r="IB24" vm="4981">
        <f ca="1"/>
        <v>521.63</v>
      </c>
      <c r="IC24" vm="4982">
        <f ca="1"/>
        <v>519.46</v>
      </c>
      <c r="ID24" vm="4983">
        <f ca="1"/>
        <v>512.54</v>
      </c>
      <c r="IE24" vm="4984">
        <f ca="1"/>
        <v>515.1</v>
      </c>
      <c r="IF24" vm="4985">
        <f ca="1"/>
        <v>520.86</v>
      </c>
      <c r="IG24" vm="4986">
        <f ca="1"/>
        <v>526.6</v>
      </c>
      <c r="IH24" vm="4987">
        <f ca="1"/>
        <v>528.48</v>
      </c>
      <c r="II24" vm="4988">
        <f ca="1"/>
        <v>532.38</v>
      </c>
      <c r="IJ24" vm="4989">
        <f ca="1"/>
        <v>532.94000000000005</v>
      </c>
      <c r="IK24" vm="4990">
        <f ca="1"/>
        <v>531.36</v>
      </c>
      <c r="IL24" vm="4991">
        <f ca="1"/>
        <v>526.17999999999995</v>
      </c>
      <c r="IM24" vm="4992">
        <f ca="1"/>
        <v>521.14</v>
      </c>
      <c r="IN24" vm="4993">
        <f ca="1"/>
        <v>524.77</v>
      </c>
      <c r="IO24" vm="4994">
        <f ca="1"/>
        <v>528.57000000000005</v>
      </c>
      <c r="IP24" vm="4995">
        <f ca="1"/>
        <v>522.82000000000005</v>
      </c>
      <c r="IQ24" vm="4996">
        <f ca="1"/>
        <v>529.01</v>
      </c>
    </row>
    <row r="25" spans="1:251">
      <c r="A25" cm="1" vm="4997">
        <f t="array" aca="1" ref="A25:IQ25" ca="1">TRANSPOSE(_xlfn.STOCKHISTORY(Table3[[#This Row],[Stock Name ]],TODAY()-365,TODAY(),0,0,1))</f>
        <v>291.42</v>
      </c>
      <c r="B25" vm="4998">
        <f ca="1"/>
        <v>295.93</v>
      </c>
      <c r="C25" vm="4999">
        <f ca="1"/>
        <v>290.02</v>
      </c>
      <c r="D25" vm="5000">
        <f ca="1"/>
        <v>287.27</v>
      </c>
      <c r="E25" vm="5001">
        <f ca="1"/>
        <v>290.23</v>
      </c>
      <c r="F25" vm="5002">
        <f ca="1"/>
        <v>290.73</v>
      </c>
      <c r="G25" vm="5003">
        <f ca="1"/>
        <v>288.99</v>
      </c>
      <c r="H25" vm="5004">
        <f ca="1"/>
        <v>291.39</v>
      </c>
      <c r="I25" vm="5005">
        <f ca="1"/>
        <v>291.7</v>
      </c>
      <c r="J25" vm="5006">
        <f ca="1"/>
        <v>292.86</v>
      </c>
      <c r="K25" vm="5007">
        <f ca="1"/>
        <v>294.55</v>
      </c>
      <c r="L25" vm="5008">
        <f ca="1"/>
        <v>295.83999999999997</v>
      </c>
      <c r="M25" vm="5009">
        <f ca="1"/>
        <v>296.51</v>
      </c>
      <c r="N25" vm="5010">
        <f ca="1"/>
        <v>297.04000000000002</v>
      </c>
      <c r="O25" vm="5011">
        <f ca="1"/>
        <v>294.39</v>
      </c>
      <c r="P25" vm="5012">
        <f ca="1"/>
        <v>291.74</v>
      </c>
      <c r="Q25" vm="5003">
        <f ca="1"/>
        <v>288.99</v>
      </c>
      <c r="R25" vm="5013">
        <f ca="1"/>
        <v>291.89999999999998</v>
      </c>
      <c r="S25" vm="5014">
        <f ca="1"/>
        <v>290.87</v>
      </c>
      <c r="T25" vm="5015">
        <f ca="1"/>
        <v>294.08999999999997</v>
      </c>
      <c r="U25" vm="5016">
        <f ca="1"/>
        <v>294.14999999999998</v>
      </c>
      <c r="V25" vm="5017">
        <f ca="1"/>
        <v>293.47000000000003</v>
      </c>
      <c r="W25" vm="5018">
        <f ca="1"/>
        <v>291.08999999999997</v>
      </c>
      <c r="X25" vm="5019">
        <f ca="1"/>
        <v>291.16000000000003</v>
      </c>
      <c r="Y25" vm="5020">
        <f ca="1"/>
        <v>294.36</v>
      </c>
      <c r="Z25" vm="5021">
        <f ca="1"/>
        <v>300.52999999999997</v>
      </c>
      <c r="AA25" vm="5022">
        <f ca="1"/>
        <v>298.41000000000003</v>
      </c>
      <c r="AB25" vm="5023">
        <f ca="1"/>
        <v>300.05</v>
      </c>
      <c r="AC25" vm="5024">
        <f ca="1"/>
        <v>300.44</v>
      </c>
      <c r="AD25" vm="5025">
        <f ca="1"/>
        <v>297.20999999999998</v>
      </c>
      <c r="AE25" vm="5026">
        <f ca="1"/>
        <v>292.26</v>
      </c>
      <c r="AF25" vm="5027">
        <f ca="1"/>
        <v>292.31</v>
      </c>
      <c r="AG25" vm="5028">
        <f ca="1"/>
        <v>294.64999999999998</v>
      </c>
      <c r="AH25" vm="5029">
        <f ca="1"/>
        <v>292.72000000000003</v>
      </c>
      <c r="AI25" vm="5030">
        <f ca="1"/>
        <v>298.08</v>
      </c>
      <c r="AJ25" vm="5031">
        <f ca="1"/>
        <v>297.05</v>
      </c>
      <c r="AK25" vm="5032">
        <f ca="1"/>
        <v>285.97000000000003</v>
      </c>
      <c r="AL25" vm="5033">
        <f ca="1"/>
        <v>284.64999999999998</v>
      </c>
      <c r="AM25" vm="5034">
        <f ca="1"/>
        <v>287.33</v>
      </c>
      <c r="AN25" vm="5035">
        <f ca="1"/>
        <v>291.93</v>
      </c>
      <c r="AO25" vm="5036">
        <f ca="1"/>
        <v>289.47000000000003</v>
      </c>
      <c r="AP25" vm="5037">
        <f ca="1"/>
        <v>289.44</v>
      </c>
      <c r="AQ25" vm="5038">
        <f ca="1"/>
        <v>287.11</v>
      </c>
      <c r="AR25" vm="5039">
        <f ca="1"/>
        <v>288.17</v>
      </c>
      <c r="AS25" vm="5040">
        <f ca="1"/>
        <v>291.86</v>
      </c>
      <c r="AT25" vm="5041">
        <f ca="1"/>
        <v>292.02</v>
      </c>
      <c r="AU25" vm="5042">
        <f ca="1"/>
        <v>292.64999999999998</v>
      </c>
      <c r="AV25" vm="5043">
        <f ca="1"/>
        <v>293.91000000000003</v>
      </c>
      <c r="AW25" vm="5044">
        <f ca="1"/>
        <v>295.92</v>
      </c>
      <c r="AX25" vm="5045">
        <f ca="1"/>
        <v>297.75</v>
      </c>
      <c r="AY25" vm="5046">
        <f ca="1"/>
        <v>297.12</v>
      </c>
      <c r="AZ25" vm="5047">
        <f ca="1"/>
        <v>293.76</v>
      </c>
      <c r="BA25" vm="5048">
        <f ca="1"/>
        <v>295.19</v>
      </c>
      <c r="BB25" vm="5049">
        <f ca="1"/>
        <v>292.27999999999997</v>
      </c>
      <c r="BC25" vm="5002">
        <f ca="1"/>
        <v>290.73</v>
      </c>
      <c r="BD25" vm="5050">
        <f ca="1"/>
        <v>290.94</v>
      </c>
      <c r="BE25" vm="5051">
        <f ca="1"/>
        <v>292.54000000000002</v>
      </c>
      <c r="BF25" vm="5052">
        <f ca="1"/>
        <v>292.93</v>
      </c>
      <c r="BG25" vm="5053">
        <f ca="1"/>
        <v>291.11</v>
      </c>
      <c r="BH25" vm="5054">
        <f ca="1"/>
        <v>292.55</v>
      </c>
      <c r="BI25" vm="5055">
        <f ca="1"/>
        <v>294.82</v>
      </c>
      <c r="BJ25" vm="5056">
        <f ca="1"/>
        <v>294.31</v>
      </c>
      <c r="BK25" vm="5057">
        <f ca="1"/>
        <v>282.86</v>
      </c>
      <c r="BL25" vm="5058">
        <f ca="1"/>
        <v>281.73</v>
      </c>
      <c r="BM25" vm="5059">
        <f ca="1"/>
        <v>279.14</v>
      </c>
      <c r="BN25" vm="5060">
        <f ca="1"/>
        <v>278.58</v>
      </c>
      <c r="BO25" vm="5061">
        <f ca="1"/>
        <v>282.87</v>
      </c>
      <c r="BP25" vm="5062">
        <f ca="1"/>
        <v>284.45</v>
      </c>
      <c r="BQ25" vm="5063">
        <f ca="1"/>
        <v>283.52999999999997</v>
      </c>
      <c r="BR25" vm="5064">
        <f ca="1"/>
        <v>282.63</v>
      </c>
      <c r="BS25" vm="5065">
        <f ca="1"/>
        <v>278.62</v>
      </c>
      <c r="BT25" vm="5065">
        <f ca="1"/>
        <v>278.62</v>
      </c>
      <c r="BU25" vm="5066">
        <f ca="1"/>
        <v>282.02</v>
      </c>
      <c r="BV25" vm="5067">
        <f ca="1"/>
        <v>281.95</v>
      </c>
      <c r="BW25" vm="5068">
        <f ca="1"/>
        <v>280.22000000000003</v>
      </c>
      <c r="BX25" vm="5069">
        <f ca="1"/>
        <v>277.74</v>
      </c>
      <c r="BY25" vm="5070">
        <f ca="1"/>
        <v>275.54000000000002</v>
      </c>
      <c r="BZ25" vm="5071">
        <f ca="1"/>
        <v>270.08999999999997</v>
      </c>
      <c r="CA25" vm="5072">
        <f ca="1"/>
        <v>266.69</v>
      </c>
      <c r="CB25" vm="5073">
        <f ca="1"/>
        <v>267.56</v>
      </c>
      <c r="CC25" vm="5074">
        <f ca="1"/>
        <v>269.44</v>
      </c>
      <c r="CD25" vm="5075">
        <f ca="1"/>
        <v>268.67</v>
      </c>
      <c r="CE25" vm="5076">
        <f ca="1"/>
        <v>268.62</v>
      </c>
      <c r="CF25" vm="5077">
        <f ca="1"/>
        <v>267.39</v>
      </c>
      <c r="CG25" vm="5078">
        <f ca="1"/>
        <v>266.23</v>
      </c>
      <c r="CH25" vm="5079">
        <f ca="1"/>
        <v>265.43</v>
      </c>
      <c r="CI25" vm="5080">
        <f ca="1"/>
        <v>269.95</v>
      </c>
      <c r="CJ25" vm="5081">
        <f ca="1"/>
        <v>270.98</v>
      </c>
      <c r="CK25" vm="5082">
        <f ca="1"/>
        <v>271.99</v>
      </c>
      <c r="CL25" vm="5083">
        <f ca="1"/>
        <v>275.58</v>
      </c>
      <c r="CM25" vm="5084">
        <f ca="1"/>
        <v>276.88</v>
      </c>
      <c r="CN25" vm="5085">
        <f ca="1"/>
        <v>276.75</v>
      </c>
      <c r="CO25" vm="5086">
        <f ca="1"/>
        <v>275.60000000000002</v>
      </c>
      <c r="CP25" vm="5087">
        <f ca="1"/>
        <v>273.08999999999997</v>
      </c>
      <c r="CQ25" vm="5088">
        <f ca="1"/>
        <v>273.55</v>
      </c>
      <c r="CR25" vm="5089">
        <f ca="1"/>
        <v>273.04000000000002</v>
      </c>
      <c r="CS25" vm="5090">
        <f ca="1"/>
        <v>274.43</v>
      </c>
      <c r="CT25" vm="5091">
        <f ca="1"/>
        <v>273.27999999999997</v>
      </c>
      <c r="CU25" vm="5092">
        <f ca="1"/>
        <v>270.32</v>
      </c>
      <c r="CV25" vm="5093">
        <f ca="1"/>
        <v>269.3</v>
      </c>
      <c r="CW25" vm="5094">
        <f ca="1"/>
        <v>267.5</v>
      </c>
      <c r="CX25" vm="5095">
        <f ca="1"/>
        <v>268.49</v>
      </c>
      <c r="CY25" vm="5096">
        <f ca="1"/>
        <v>267.95</v>
      </c>
      <c r="CZ25" vm="5097">
        <f ca="1"/>
        <v>275</v>
      </c>
      <c r="DA25" vm="5098">
        <f ca="1"/>
        <v>271.32</v>
      </c>
      <c r="DB25" vm="5099">
        <f ca="1"/>
        <v>270.66000000000003</v>
      </c>
      <c r="DC25" vm="5100">
        <f ca="1"/>
        <v>273.87</v>
      </c>
      <c r="DD25" vm="5101">
        <f ca="1"/>
        <v>273.51</v>
      </c>
      <c r="DE25" vm="5102">
        <f ca="1"/>
        <v>272.38</v>
      </c>
      <c r="DF25" vm="5103">
        <f ca="1"/>
        <v>267.87</v>
      </c>
      <c r="DG25" vm="5104">
        <f ca="1"/>
        <v>265.87</v>
      </c>
      <c r="DH25" vm="5105">
        <f ca="1"/>
        <v>265.77</v>
      </c>
      <c r="DI25" vm="5106">
        <f ca="1"/>
        <v>257.93</v>
      </c>
      <c r="DJ25" vm="5107">
        <f ca="1"/>
        <v>258.11</v>
      </c>
      <c r="DK25" vm="5108">
        <f ca="1"/>
        <v>253.54</v>
      </c>
      <c r="DL25" vm="5109">
        <f ca="1"/>
        <v>249.37</v>
      </c>
      <c r="DM25" vm="5110">
        <f ca="1"/>
        <v>252.07</v>
      </c>
      <c r="DN25" vm="5111">
        <f ca="1"/>
        <v>258.89</v>
      </c>
      <c r="DO25" vm="5112">
        <f ca="1"/>
        <v>259.75</v>
      </c>
      <c r="DP25" vm="5113">
        <f ca="1"/>
        <v>262.72000000000003</v>
      </c>
      <c r="DQ25" vm="5114">
        <f ca="1"/>
        <v>259.99</v>
      </c>
      <c r="DR25" vm="5115">
        <f ca="1"/>
        <v>260.72000000000003</v>
      </c>
      <c r="DS25" vm="5116">
        <f ca="1"/>
        <v>256.20999999999998</v>
      </c>
      <c r="DT25" vm="5117">
        <f ca="1"/>
        <v>253.81</v>
      </c>
      <c r="DU25" vm="5118">
        <f ca="1"/>
        <v>254.28</v>
      </c>
      <c r="DV25" vm="5119">
        <f ca="1"/>
        <v>254.48</v>
      </c>
      <c r="DW25" vm="5120">
        <f ca="1"/>
        <v>253.7</v>
      </c>
      <c r="DX25" vm="5121">
        <f ca="1"/>
        <v>253.58</v>
      </c>
      <c r="DY25" vm="5122">
        <f ca="1"/>
        <v>253.51</v>
      </c>
      <c r="DZ25" vm="5123">
        <f ca="1"/>
        <v>250.79</v>
      </c>
      <c r="EA25" vm="5124">
        <f ca="1"/>
        <v>253.8</v>
      </c>
      <c r="EB25" vm="5125">
        <f ca="1"/>
        <v>259.39</v>
      </c>
      <c r="EC25" vm="5126">
        <f ca="1"/>
        <v>260.38</v>
      </c>
      <c r="ED25" vm="5127">
        <f ca="1"/>
        <v>257.38</v>
      </c>
      <c r="EE25" vm="5128">
        <f ca="1"/>
        <v>257.83</v>
      </c>
      <c r="EF25" vm="5129">
        <f ca="1"/>
        <v>258.17</v>
      </c>
      <c r="EG25" vm="5130">
        <f ca="1"/>
        <v>254.84</v>
      </c>
      <c r="EH25" vm="5131">
        <f ca="1"/>
        <v>249.99</v>
      </c>
      <c r="EI25" vm="5132">
        <f ca="1"/>
        <v>247.79</v>
      </c>
      <c r="EJ25" vm="5133">
        <f ca="1"/>
        <v>250</v>
      </c>
      <c r="EK25" vm="5134">
        <f ca="1"/>
        <v>251.09</v>
      </c>
      <c r="EL25" vm="5135">
        <f ca="1"/>
        <v>247.85</v>
      </c>
      <c r="EM25" vm="5136">
        <f ca="1"/>
        <v>245.82</v>
      </c>
      <c r="EN25" vm="5137">
        <f ca="1"/>
        <v>250.49</v>
      </c>
      <c r="EO25" vm="5138">
        <f ca="1"/>
        <v>254.8</v>
      </c>
      <c r="EP25" vm="5139">
        <f ca="1"/>
        <v>253.9</v>
      </c>
      <c r="EQ25" vm="5140">
        <f ca="1"/>
        <v>251.53</v>
      </c>
      <c r="ER25" vm="5141">
        <f ca="1"/>
        <v>257.27</v>
      </c>
      <c r="ES25" vm="4579">
        <f ca="1"/>
        <v>261</v>
      </c>
      <c r="ET25" vm="5142">
        <f ca="1"/>
        <v>259.52</v>
      </c>
      <c r="EU25" vm="5143">
        <f ca="1"/>
        <v>257.27999999999997</v>
      </c>
      <c r="EV25" vm="5144">
        <f ca="1"/>
        <v>259.54000000000002</v>
      </c>
      <c r="EW25" vm="5145">
        <f ca="1"/>
        <v>254.05</v>
      </c>
      <c r="EX25" vm="5146">
        <f ca="1"/>
        <v>253.37</v>
      </c>
      <c r="EY25" vm="5147">
        <f ca="1"/>
        <v>251.46</v>
      </c>
      <c r="EZ25" vm="5148">
        <f ca="1"/>
        <v>252</v>
      </c>
      <c r="FA25" vm="5149">
        <f ca="1"/>
        <v>261.42</v>
      </c>
      <c r="FB25" vm="5150">
        <f ca="1"/>
        <v>266.44</v>
      </c>
      <c r="FC25" vm="5151">
        <f ca="1"/>
        <v>265.39999999999998</v>
      </c>
      <c r="FD25" vm="5152">
        <f ca="1"/>
        <v>268.75</v>
      </c>
      <c r="FE25" vm="5153">
        <f ca="1"/>
        <v>276.69</v>
      </c>
      <c r="FF25" vm="5154">
        <f ca="1"/>
        <v>268.45</v>
      </c>
      <c r="FG25" vm="5155">
        <f ca="1"/>
        <v>270.06</v>
      </c>
      <c r="FH25" vm="5156">
        <f ca="1"/>
        <v>269.37</v>
      </c>
      <c r="FI25" vm="5157">
        <f ca="1"/>
        <v>271.19</v>
      </c>
      <c r="FJ25" vm="5158">
        <f ca="1"/>
        <v>267.91000000000003</v>
      </c>
      <c r="FK25" vm="5159">
        <f ca="1"/>
        <v>269.45999999999998</v>
      </c>
      <c r="FL25" vm="5160">
        <f ca="1"/>
        <v>270.31</v>
      </c>
      <c r="FM25" vm="5161">
        <f ca="1"/>
        <v>271.14999999999998</v>
      </c>
      <c r="FN25" vm="5162">
        <f ca="1"/>
        <v>274.87</v>
      </c>
      <c r="FO25" vm="5163">
        <f ca="1"/>
        <v>278.49</v>
      </c>
      <c r="FP25" vm="5164">
        <f ca="1"/>
        <v>287.55</v>
      </c>
      <c r="FQ25" vm="5165">
        <f ca="1"/>
        <v>285.63</v>
      </c>
      <c r="FR25" vm="5166">
        <f ca="1"/>
        <v>289.70999999999998</v>
      </c>
      <c r="FS25" vm="5167">
        <f ca="1"/>
        <v>289.20999999999998</v>
      </c>
      <c r="FT25" vm="5168">
        <f ca="1"/>
        <v>289.52</v>
      </c>
      <c r="FU25" vm="5169">
        <f ca="1"/>
        <v>288.68</v>
      </c>
      <c r="FV25" vm="5170">
        <f ca="1"/>
        <v>289.64</v>
      </c>
      <c r="FW25" vm="5171">
        <f ca="1"/>
        <v>287.05</v>
      </c>
      <c r="FX25" vm="5172">
        <f ca="1"/>
        <v>287.86</v>
      </c>
      <c r="FY25" vm="5173">
        <f ca="1"/>
        <v>288.66000000000003</v>
      </c>
      <c r="FZ25" vm="5174">
        <f ca="1"/>
        <v>285.52</v>
      </c>
      <c r="GA25" vm="5175">
        <f ca="1"/>
        <v>288.02999999999997</v>
      </c>
      <c r="GB25" vm="5176">
        <f ca="1"/>
        <v>287.97000000000003</v>
      </c>
      <c r="GC25" vm="5177">
        <f ca="1"/>
        <v>289.51</v>
      </c>
      <c r="GD25" vm="5178">
        <f ca="1"/>
        <v>291.29000000000002</v>
      </c>
      <c r="GE25" vm="5179">
        <f ca="1"/>
        <v>291.27</v>
      </c>
      <c r="GF25" vm="5001">
        <f ca="1"/>
        <v>290.23</v>
      </c>
      <c r="GG25" vm="5180">
        <f ca="1"/>
        <v>292.35000000000002</v>
      </c>
      <c r="GH25" vm="5181">
        <f ca="1"/>
        <v>296.52999999999997</v>
      </c>
      <c r="GI25" vm="5182">
        <f ca="1"/>
        <v>296.69</v>
      </c>
      <c r="GJ25" vm="5183">
        <f ca="1"/>
        <v>293.75</v>
      </c>
      <c r="GK25" vm="5184">
        <f ca="1"/>
        <v>292.02999999999997</v>
      </c>
      <c r="GL25" vm="5185">
        <f ca="1"/>
        <v>293.85000000000002</v>
      </c>
      <c r="GM25" vm="5186">
        <f ca="1"/>
        <v>296.83</v>
      </c>
      <c r="GN25" vm="5187">
        <f ca="1"/>
        <v>299.06</v>
      </c>
      <c r="GO25" vm="5188">
        <f ca="1"/>
        <v>300.27</v>
      </c>
      <c r="GP25" vm="5189">
        <f ca="1"/>
        <v>300.47000000000003</v>
      </c>
      <c r="GQ25" vm="5190">
        <f ca="1"/>
        <v>303.64999999999998</v>
      </c>
      <c r="GR25" vm="5191">
        <f ca="1"/>
        <v>303.69</v>
      </c>
      <c r="GS25" vm="5192">
        <f ca="1"/>
        <v>304.51</v>
      </c>
      <c r="GT25" vm="5193">
        <f ca="1"/>
        <v>302.98</v>
      </c>
      <c r="GU25" vm="5194">
        <f ca="1"/>
        <v>303.76</v>
      </c>
      <c r="GV25" vm="5195">
        <f ca="1"/>
        <v>303.45</v>
      </c>
      <c r="GW25" vm="5194">
        <f ca="1"/>
        <v>303.76</v>
      </c>
      <c r="GX25" vm="5196">
        <f ca="1"/>
        <v>300.85000000000002</v>
      </c>
      <c r="GY25" vm="5197">
        <f ca="1"/>
        <v>301.89999999999998</v>
      </c>
      <c r="GZ25" vm="5198">
        <f ca="1"/>
        <v>303.83</v>
      </c>
      <c r="HA25" vm="5199">
        <f ca="1"/>
        <v>304.04000000000002</v>
      </c>
      <c r="HB25" vm="5200">
        <f ca="1"/>
        <v>305.04000000000002</v>
      </c>
      <c r="HC25" vm="5201">
        <f ca="1"/>
        <v>309.83999999999997</v>
      </c>
      <c r="HD25" vm="5202">
        <f ca="1"/>
        <v>313.33999999999997</v>
      </c>
      <c r="HE25" vm="5203">
        <f ca="1"/>
        <v>312.92</v>
      </c>
      <c r="HF25" vm="5204">
        <f ca="1"/>
        <v>314.7</v>
      </c>
      <c r="HG25" vm="5205">
        <f ca="1"/>
        <v>316.56</v>
      </c>
      <c r="HH25" vm="5206">
        <f ca="1"/>
        <v>314.89</v>
      </c>
      <c r="HI25" vm="5207">
        <f ca="1"/>
        <v>314.69</v>
      </c>
      <c r="HJ25" vm="5208">
        <f ca="1"/>
        <v>298.57</v>
      </c>
      <c r="HK25" vm="5209">
        <f ca="1"/>
        <v>301.58</v>
      </c>
      <c r="HL25" vm="5210">
        <f ca="1"/>
        <v>292.61</v>
      </c>
      <c r="HM25" vm="5211">
        <f ca="1"/>
        <v>296.79000000000002</v>
      </c>
      <c r="HN25" vm="5212">
        <f ca="1"/>
        <v>295</v>
      </c>
      <c r="HO25" vm="5213">
        <f ca="1"/>
        <v>291.52</v>
      </c>
      <c r="HP25" vm="5214">
        <f ca="1"/>
        <v>292.11</v>
      </c>
      <c r="HQ25" vm="5215">
        <f ca="1"/>
        <v>295.20999999999998</v>
      </c>
      <c r="HR25" vm="5216">
        <f ca="1"/>
        <v>292.85000000000002</v>
      </c>
      <c r="HS25" vm="5217">
        <f ca="1"/>
        <v>297.32</v>
      </c>
      <c r="HT25" vm="5218">
        <f ca="1"/>
        <v>294</v>
      </c>
      <c r="HU25" vm="5219">
        <f ca="1"/>
        <v>294.66000000000003</v>
      </c>
      <c r="HV25" vm="5220">
        <f ca="1"/>
        <v>298.97000000000003</v>
      </c>
      <c r="HW25" vm="5221">
        <f ca="1"/>
        <v>301.52999999999997</v>
      </c>
      <c r="HX25" vm="5222">
        <f ca="1"/>
        <v>298.64999999999998</v>
      </c>
      <c r="HY25" vm="5223">
        <f ca="1"/>
        <v>297.35000000000002</v>
      </c>
      <c r="HZ25" vm="5224">
        <f ca="1"/>
        <v>298.56</v>
      </c>
      <c r="IA25" vm="5225">
        <f ca="1"/>
        <v>292.63</v>
      </c>
      <c r="IB25" vm="5226">
        <f ca="1"/>
        <v>291.10000000000002</v>
      </c>
      <c r="IC25" vm="5002">
        <f ca="1"/>
        <v>290.73</v>
      </c>
      <c r="ID25" vm="5227">
        <f ca="1"/>
        <v>290.91000000000003</v>
      </c>
      <c r="IE25" vm="5228">
        <f ca="1"/>
        <v>288.47000000000003</v>
      </c>
      <c r="IF25" vm="5229">
        <f ca="1"/>
        <v>290.27999999999997</v>
      </c>
      <c r="IG25" vm="5230">
        <f ca="1"/>
        <v>296.19</v>
      </c>
      <c r="IH25" vm="5231">
        <f ca="1"/>
        <v>296.33</v>
      </c>
      <c r="II25" vm="5232">
        <f ca="1"/>
        <v>295.08</v>
      </c>
      <c r="IJ25" vm="5233">
        <f ca="1"/>
        <v>296.01</v>
      </c>
      <c r="IK25" vm="5234">
        <f ca="1"/>
        <v>292.44</v>
      </c>
      <c r="IL25" vm="5235">
        <f ca="1"/>
        <v>294.5</v>
      </c>
      <c r="IM25" vm="5236">
        <f ca="1"/>
        <v>295.08999999999997</v>
      </c>
      <c r="IN25" vm="5237">
        <f ca="1"/>
        <v>299.47000000000003</v>
      </c>
      <c r="IO25" vm="5238">
        <f ca="1"/>
        <v>298.98</v>
      </c>
      <c r="IP25" vm="5239">
        <f ca="1"/>
        <v>301.37</v>
      </c>
      <c r="IQ25" vm="5240">
        <f ca="1"/>
        <v>300.70999999999998</v>
      </c>
    </row>
    <row r="26" spans="1:251">
      <c r="A26" cm="1" vm="5241">
        <f t="array" aca="1" ref="A26:IQ26" ca="1">TRANSPOSE(_xlfn.STOCKHISTORY(Table3[[#This Row],[Stock Name ]],TODAY()-365,TODAY(),0,0,1))</f>
        <v>334.22</v>
      </c>
      <c r="B26" vm="5242">
        <f ca="1"/>
        <v>334.74</v>
      </c>
      <c r="C26" vm="5243">
        <f ca="1"/>
        <v>333.17</v>
      </c>
      <c r="D26" vm="5244">
        <f ca="1"/>
        <v>334.92</v>
      </c>
      <c r="E26" vm="5245">
        <f ca="1"/>
        <v>344.62</v>
      </c>
      <c r="F26" vm="5246">
        <f ca="1"/>
        <v>350.36</v>
      </c>
      <c r="G26" vm="5247">
        <f ca="1"/>
        <v>349.28</v>
      </c>
      <c r="H26" vm="5248">
        <f ca="1"/>
        <v>354.09</v>
      </c>
      <c r="I26" vm="5249">
        <f ca="1"/>
        <v>353.39</v>
      </c>
      <c r="J26" vm="5250">
        <f ca="1"/>
        <v>354.83</v>
      </c>
      <c r="K26" vm="5251">
        <f ca="1"/>
        <v>357.83</v>
      </c>
      <c r="L26" vm="5252">
        <f ca="1"/>
        <v>358.32</v>
      </c>
      <c r="M26" vm="5253">
        <f ca="1"/>
        <v>353.96</v>
      </c>
      <c r="N26" vm="5254">
        <f ca="1"/>
        <v>346.29</v>
      </c>
      <c r="O26" vm="5255">
        <f ca="1"/>
        <v>344.47</v>
      </c>
      <c r="P26" vm="5256">
        <f ca="1"/>
        <v>347.12</v>
      </c>
      <c r="Q26" vm="5257">
        <f ca="1"/>
        <v>351.95</v>
      </c>
      <c r="R26" vm="5258">
        <f ca="1"/>
        <v>358.66</v>
      </c>
      <c r="S26" vm="5259">
        <f ca="1"/>
        <v>357.43</v>
      </c>
      <c r="T26" vm="5260">
        <f ca="1"/>
        <v>370.47</v>
      </c>
      <c r="U26" vm="5261">
        <f ca="1"/>
        <v>369.67</v>
      </c>
      <c r="V26" vm="5262">
        <f ca="1"/>
        <v>374.49</v>
      </c>
      <c r="W26" vm="5263">
        <f ca="1"/>
        <v>367.46</v>
      </c>
      <c r="X26" vm="5264">
        <f ca="1"/>
        <v>368.37</v>
      </c>
      <c r="Y26" vm="5265">
        <f ca="1"/>
        <v>376.13</v>
      </c>
      <c r="Z26" vm="5266">
        <f ca="1"/>
        <v>383.45</v>
      </c>
      <c r="AA26" vm="5267">
        <f ca="1"/>
        <v>381.78</v>
      </c>
      <c r="AB26" vm="5268">
        <f ca="1"/>
        <v>385.2</v>
      </c>
      <c r="AC26" vm="5269">
        <f ca="1"/>
        <v>390.7</v>
      </c>
      <c r="AD26" vm="5270">
        <f ca="1"/>
        <v>393.18</v>
      </c>
      <c r="AE26" vm="5271">
        <f ca="1"/>
        <v>394.14</v>
      </c>
      <c r="AF26" vm="5272">
        <f ca="1"/>
        <v>401.02</v>
      </c>
      <c r="AG26" vm="5273">
        <f ca="1"/>
        <v>400.06</v>
      </c>
      <c r="AH26" vm="5274">
        <f ca="1"/>
        <v>390.14</v>
      </c>
      <c r="AI26" vm="5275">
        <f ca="1"/>
        <v>394.78</v>
      </c>
      <c r="AJ26" vm="4925">
        <f ca="1"/>
        <v>474.99</v>
      </c>
      <c r="AK26" vm="5276">
        <f ca="1"/>
        <v>459.41</v>
      </c>
      <c r="AL26" vm="5277">
        <f ca="1"/>
        <v>454.72</v>
      </c>
      <c r="AM26" vm="5278">
        <f ca="1"/>
        <v>469.59</v>
      </c>
      <c r="AN26" vm="5279">
        <f ca="1"/>
        <v>470</v>
      </c>
      <c r="AO26" vm="5280">
        <f ca="1"/>
        <v>468.11</v>
      </c>
      <c r="AP26" vm="2354">
        <f ca="1"/>
        <v>468.9</v>
      </c>
      <c r="AQ26" vm="5281">
        <f ca="1"/>
        <v>460.12</v>
      </c>
      <c r="AR26" vm="5282">
        <f ca="1"/>
        <v>473.28</v>
      </c>
      <c r="AS26" vm="5283">
        <f ca="1"/>
        <v>484.03</v>
      </c>
      <c r="AT26" vm="5284">
        <f ca="1"/>
        <v>473.32</v>
      </c>
      <c r="AU26" vm="5285">
        <f ca="1"/>
        <v>471.75</v>
      </c>
      <c r="AV26" vm="5286">
        <f ca="1"/>
        <v>468.03</v>
      </c>
      <c r="AW26" vm="5287">
        <f ca="1"/>
        <v>486.13</v>
      </c>
      <c r="AX26" vm="5283">
        <f ca="1"/>
        <v>484.03</v>
      </c>
      <c r="AY26" vm="5288">
        <f ca="1"/>
        <v>481.74</v>
      </c>
      <c r="AZ26" vm="5289">
        <f ca="1"/>
        <v>487.05</v>
      </c>
      <c r="BA26" vm="5290">
        <f ca="1"/>
        <v>484.02</v>
      </c>
      <c r="BB26" vm="5291">
        <f ca="1"/>
        <v>490.13</v>
      </c>
      <c r="BC26" vm="5292">
        <f ca="1"/>
        <v>502.3</v>
      </c>
      <c r="BD26" vm="5293">
        <f ca="1"/>
        <v>498.19</v>
      </c>
      <c r="BE26" vm="5294">
        <f ca="1"/>
        <v>490.22</v>
      </c>
      <c r="BF26" vm="5295">
        <f ca="1"/>
        <v>496.09</v>
      </c>
      <c r="BG26" vm="5296">
        <f ca="1"/>
        <v>512.19000000000005</v>
      </c>
      <c r="BH26" vm="5297">
        <f ca="1"/>
        <v>505.95</v>
      </c>
      <c r="BI26" vm="5298">
        <f ca="1"/>
        <v>483.59</v>
      </c>
      <c r="BJ26" vm="5299">
        <f ca="1"/>
        <v>499.75</v>
      </c>
      <c r="BK26" vm="4949">
        <f ca="1"/>
        <v>495.57</v>
      </c>
      <c r="BL26" vm="5300">
        <f ca="1"/>
        <v>491.83</v>
      </c>
      <c r="BM26" vm="5301">
        <f ca="1"/>
        <v>484.1</v>
      </c>
      <c r="BN26" vm="5302">
        <f ca="1"/>
        <v>496.98</v>
      </c>
      <c r="BO26" vm="504">
        <f ca="1"/>
        <v>496.24</v>
      </c>
      <c r="BP26" vm="5303">
        <f ca="1"/>
        <v>505.52</v>
      </c>
      <c r="BQ26" vm="5304">
        <f ca="1"/>
        <v>507.76</v>
      </c>
      <c r="BR26" vm="5305">
        <f ca="1"/>
        <v>509.58</v>
      </c>
      <c r="BS26" vm="5306">
        <f ca="1"/>
        <v>503.02</v>
      </c>
      <c r="BT26" vm="5307">
        <f ca="1"/>
        <v>495.89</v>
      </c>
      <c r="BU26" vm="5308">
        <f ca="1"/>
        <v>493.86</v>
      </c>
      <c r="BV26" vm="5309">
        <f ca="1"/>
        <v>485.58</v>
      </c>
      <c r="BW26" vm="5310">
        <f ca="1"/>
        <v>491.35</v>
      </c>
      <c r="BX26" vm="5311">
        <f ca="1"/>
        <v>497.37</v>
      </c>
      <c r="BY26" vm="5312">
        <f ca="1"/>
        <v>506.74</v>
      </c>
      <c r="BZ26" vm="5313">
        <f ca="1"/>
        <v>510.92</v>
      </c>
      <c r="CA26" vm="5314">
        <f ca="1"/>
        <v>527.34</v>
      </c>
      <c r="CB26" vm="5315">
        <f ca="1"/>
        <v>519.25</v>
      </c>
      <c r="CC26" vm="5316">
        <f ca="1"/>
        <v>516.9</v>
      </c>
      <c r="CD26" vm="5317">
        <f ca="1"/>
        <v>519.83000000000004</v>
      </c>
      <c r="CE26" vm="5318">
        <f ca="1"/>
        <v>523.16</v>
      </c>
      <c r="CF26" vm="5319">
        <f ca="1"/>
        <v>511.9</v>
      </c>
      <c r="CG26" vm="5320">
        <f ca="1"/>
        <v>500.23</v>
      </c>
      <c r="CH26" vm="5321">
        <f ca="1"/>
        <v>499.76</v>
      </c>
      <c r="CI26" vm="5322">
        <f ca="1"/>
        <v>494.17</v>
      </c>
      <c r="CJ26" vm="5323">
        <f ca="1"/>
        <v>501.8</v>
      </c>
      <c r="CK26" vm="5324">
        <f ca="1"/>
        <v>481.07</v>
      </c>
      <c r="CL26" vm="5325">
        <f ca="1"/>
        <v>481.73</v>
      </c>
      <c r="CM26" vm="5326">
        <f ca="1"/>
        <v>496.1</v>
      </c>
      <c r="CN26" vm="5327">
        <f ca="1"/>
        <v>493.5</v>
      </c>
      <c r="CO26" vm="5328">
        <f ca="1"/>
        <v>441.38</v>
      </c>
      <c r="CP26" vm="5329">
        <f ca="1"/>
        <v>443.29</v>
      </c>
      <c r="CQ26" vm="5330">
        <f ca="1"/>
        <v>432.62</v>
      </c>
      <c r="CR26" vm="5331">
        <f ca="1"/>
        <v>430.17</v>
      </c>
      <c r="CS26" vm="5332">
        <f ca="1"/>
        <v>439.19</v>
      </c>
      <c r="CT26" vm="5333">
        <f ca="1"/>
        <v>441.68</v>
      </c>
      <c r="CU26" vm="5334">
        <f ca="1"/>
        <v>451.96</v>
      </c>
      <c r="CV26" vm="5335">
        <f ca="1"/>
        <v>465.68</v>
      </c>
      <c r="CW26" vm="5336">
        <f ca="1"/>
        <v>468.24</v>
      </c>
      <c r="CX26" vm="5337">
        <f ca="1"/>
        <v>472.6</v>
      </c>
      <c r="CY26" vm="5338">
        <f ca="1"/>
        <v>475.42</v>
      </c>
      <c r="CZ26" vm="5339">
        <f ca="1"/>
        <v>476.2</v>
      </c>
      <c r="DA26" vm="5340">
        <f ca="1"/>
        <v>468.01</v>
      </c>
      <c r="DB26" vm="5341">
        <f ca="1"/>
        <v>471.85</v>
      </c>
      <c r="DC26" vm="5342">
        <f ca="1"/>
        <v>481.54</v>
      </c>
      <c r="DD26" vm="5343">
        <f ca="1"/>
        <v>473.23</v>
      </c>
      <c r="DE26" vm="5344">
        <f ca="1"/>
        <v>471.91</v>
      </c>
      <c r="DF26" vm="5345">
        <f ca="1"/>
        <v>468.84</v>
      </c>
      <c r="DG26" vm="5346">
        <f ca="1"/>
        <v>464.63</v>
      </c>
      <c r="DH26" vm="5347">
        <f ca="1"/>
        <v>467.78</v>
      </c>
      <c r="DI26" vm="5348">
        <f ca="1"/>
        <v>465.78</v>
      </c>
      <c r="DJ26" vm="5349">
        <f ca="1"/>
        <v>478.22</v>
      </c>
      <c r="DK26" vm="5350">
        <f ca="1"/>
        <v>479.92</v>
      </c>
      <c r="DL26" vm="5351">
        <f ca="1"/>
        <v>474.36</v>
      </c>
      <c r="DM26" vm="5352">
        <f ca="1"/>
        <v>467.05</v>
      </c>
      <c r="DN26" vm="5353">
        <f ca="1"/>
        <v>466.83</v>
      </c>
      <c r="DO26" vm="5354">
        <f ca="1"/>
        <v>477.49</v>
      </c>
      <c r="DP26" vm="5355">
        <f ca="1"/>
        <v>476.99</v>
      </c>
      <c r="DQ26" vm="5356">
        <f ca="1"/>
        <v>495.06</v>
      </c>
      <c r="DR26" vm="5357">
        <f ca="1"/>
        <v>493.76</v>
      </c>
      <c r="DS26" vm="5358">
        <f ca="1"/>
        <v>492.96</v>
      </c>
      <c r="DT26" vm="5359">
        <f ca="1"/>
        <v>502.6</v>
      </c>
      <c r="DU26" vm="5360">
        <f ca="1"/>
        <v>507.47</v>
      </c>
      <c r="DV26" vm="5361">
        <f ca="1"/>
        <v>508.84</v>
      </c>
      <c r="DW26" vm="5362">
        <f ca="1"/>
        <v>504.1</v>
      </c>
      <c r="DX26" vm="5363">
        <f ca="1"/>
        <v>504.16</v>
      </c>
      <c r="DY26" vm="5364">
        <f ca="1"/>
        <v>506.63</v>
      </c>
      <c r="DZ26" vm="5365">
        <f ca="1"/>
        <v>499.49</v>
      </c>
      <c r="EA26" vm="5366">
        <f ca="1"/>
        <v>501.7</v>
      </c>
      <c r="EB26" vm="5367">
        <f ca="1"/>
        <v>494.78</v>
      </c>
      <c r="EC26" vm="5368">
        <f ca="1"/>
        <v>498.91</v>
      </c>
      <c r="ED26" vm="5369">
        <f ca="1"/>
        <v>510.6</v>
      </c>
      <c r="EE26" vm="5370">
        <f ca="1"/>
        <v>513.12</v>
      </c>
      <c r="EF26" vm="5371">
        <f ca="1"/>
        <v>519.55999999999995</v>
      </c>
      <c r="EG26" vm="5372">
        <f ca="1"/>
        <v>504.22</v>
      </c>
      <c r="EH26" vm="5373">
        <f ca="1"/>
        <v>504.68</v>
      </c>
      <c r="EI26" vm="5374">
        <f ca="1"/>
        <v>509.5</v>
      </c>
      <c r="EJ26" vm="5375">
        <f ca="1"/>
        <v>509.96</v>
      </c>
      <c r="EK26" vm="5376">
        <f ca="1"/>
        <v>539.91</v>
      </c>
      <c r="EL26" vm="5377">
        <f ca="1"/>
        <v>529.32000000000005</v>
      </c>
      <c r="EM26" vm="5378">
        <f ca="1"/>
        <v>530</v>
      </c>
      <c r="EN26" vm="5379">
        <f ca="1"/>
        <v>534.69000000000005</v>
      </c>
      <c r="EO26" vm="5380">
        <f ca="1"/>
        <v>512.70000000000005</v>
      </c>
      <c r="EP26" vm="5381">
        <f ca="1"/>
        <v>498.87</v>
      </c>
      <c r="EQ26" vm="5382">
        <f ca="1"/>
        <v>496.16</v>
      </c>
      <c r="ER26" vm="5383">
        <f ca="1"/>
        <v>489.79</v>
      </c>
      <c r="ES26" vm="5384">
        <f ca="1"/>
        <v>461.99</v>
      </c>
      <c r="ET26" vm="5385">
        <f ca="1"/>
        <v>475.85</v>
      </c>
      <c r="EU26" vm="5386">
        <f ca="1"/>
        <v>476.79</v>
      </c>
      <c r="EV26" vm="5387">
        <f ca="1"/>
        <v>487.4</v>
      </c>
      <c r="EW26" vm="5388">
        <f ca="1"/>
        <v>488.69</v>
      </c>
      <c r="EX26" vm="5389">
        <f ca="1"/>
        <v>461.27</v>
      </c>
      <c r="EY26" vm="5390">
        <f ca="1"/>
        <v>453.41</v>
      </c>
      <c r="EZ26" vm="5391">
        <f ca="1"/>
        <v>465.7</v>
      </c>
      <c r="FA26" vm="5392">
        <f ca="1"/>
        <v>465.71</v>
      </c>
      <c r="FB26" vm="5393">
        <f ca="1"/>
        <v>463.19</v>
      </c>
      <c r="FC26" vm="5394">
        <f ca="1"/>
        <v>474.83</v>
      </c>
      <c r="FD26" vm="5395">
        <f ca="1"/>
        <v>497.74</v>
      </c>
      <c r="FE26" vm="5396">
        <f ca="1"/>
        <v>488.14</v>
      </c>
      <c r="FF26" vm="5397">
        <f ca="1"/>
        <v>475.73</v>
      </c>
      <c r="FG26" vm="5398">
        <f ca="1"/>
        <v>494.09</v>
      </c>
      <c r="FH26" vm="5399">
        <f ca="1"/>
        <v>488.92</v>
      </c>
      <c r="FI26" vm="5400">
        <f ca="1"/>
        <v>509.63</v>
      </c>
      <c r="FJ26" vm="5401">
        <f ca="1"/>
        <v>517.77</v>
      </c>
      <c r="FK26" vm="5402">
        <f ca="1"/>
        <v>515.95000000000005</v>
      </c>
      <c r="FL26" vm="5403">
        <f ca="1"/>
        <v>528.54</v>
      </c>
      <c r="FM26" vm="5404">
        <f ca="1"/>
        <v>526.76</v>
      </c>
      <c r="FN26" vm="5405">
        <f ca="1"/>
        <v>537.33000000000004</v>
      </c>
      <c r="FO26" vm="5406">
        <f ca="1"/>
        <v>527.41999999999996</v>
      </c>
      <c r="FP26" vm="5407">
        <f ca="1"/>
        <v>529.28</v>
      </c>
      <c r="FQ26" vm="5408">
        <f ca="1"/>
        <v>526.73</v>
      </c>
      <c r="FR26" vm="5409">
        <f ca="1"/>
        <v>535.16</v>
      </c>
      <c r="FS26" vm="5410">
        <f ca="1"/>
        <v>531.92999999999995</v>
      </c>
      <c r="FT26" vm="5411">
        <f ca="1"/>
        <v>528</v>
      </c>
      <c r="FU26" vm="5412">
        <f ca="1"/>
        <v>521.12</v>
      </c>
      <c r="FV26" vm="5413">
        <f ca="1"/>
        <v>519.1</v>
      </c>
      <c r="FW26" vm="5414">
        <f ca="1"/>
        <v>516.78</v>
      </c>
      <c r="FX26" vm="5415">
        <f ca="1"/>
        <v>518.22</v>
      </c>
      <c r="FY26" vm="5416">
        <f ca="1"/>
        <v>521.30999999999995</v>
      </c>
      <c r="FZ26" vm="5417">
        <f ca="1"/>
        <v>511.76</v>
      </c>
      <c r="GA26" vm="5418">
        <f ca="1"/>
        <v>512.74</v>
      </c>
      <c r="GB26" vm="5419">
        <f ca="1"/>
        <v>516.86</v>
      </c>
      <c r="GC26" vm="5420">
        <f ca="1"/>
        <v>500.27</v>
      </c>
      <c r="GD26" vm="5421">
        <f ca="1"/>
        <v>504.79</v>
      </c>
      <c r="GE26" vm="5421">
        <f ca="1"/>
        <v>504.79</v>
      </c>
      <c r="GF26" vm="5422">
        <f ca="1"/>
        <v>511.83</v>
      </c>
      <c r="GG26" vm="5423">
        <f ca="1"/>
        <v>525.6</v>
      </c>
      <c r="GH26" vm="5424">
        <f ca="1"/>
        <v>524.62</v>
      </c>
      <c r="GI26" vm="5425">
        <f ca="1"/>
        <v>533.28</v>
      </c>
      <c r="GJ26" vm="5426">
        <f ca="1"/>
        <v>536.31500000000005</v>
      </c>
      <c r="GK26" vm="5427">
        <f ca="1"/>
        <v>537.95000000000005</v>
      </c>
      <c r="GL26" vm="5428">
        <f ca="1"/>
        <v>559.1</v>
      </c>
      <c r="GM26" vm="5429">
        <f ca="1"/>
        <v>561.35</v>
      </c>
      <c r="GN26" vm="5430">
        <f ca="1"/>
        <v>564.41</v>
      </c>
      <c r="GO26" vm="5431">
        <f ca="1"/>
        <v>563.33000000000004</v>
      </c>
      <c r="GP26" vm="5432">
        <f ca="1"/>
        <v>568.30999999999995</v>
      </c>
      <c r="GQ26" vm="5433">
        <f ca="1"/>
        <v>567.84</v>
      </c>
      <c r="GR26" vm="5434">
        <f ca="1"/>
        <v>567.36</v>
      </c>
      <c r="GS26" vm="5435">
        <f ca="1"/>
        <v>572.44000000000005</v>
      </c>
      <c r="GT26" vm="5436">
        <f ca="1"/>
        <v>576.47</v>
      </c>
      <c r="GU26" vm="5437">
        <f ca="1"/>
        <v>572.80999999999995</v>
      </c>
      <c r="GV26" vm="5438">
        <f ca="1"/>
        <v>582.77</v>
      </c>
      <c r="GW26" vm="5439">
        <f ca="1"/>
        <v>595.94000000000005</v>
      </c>
      <c r="GX26" vm="5440">
        <f ca="1"/>
        <v>584.78</v>
      </c>
      <c r="GY26" vm="5441">
        <f ca="1"/>
        <v>592.89</v>
      </c>
      <c r="GZ26" vm="5442">
        <f ca="1"/>
        <v>590.51</v>
      </c>
      <c r="HA26" vm="5443">
        <f ca="1"/>
        <v>583.83000000000004</v>
      </c>
      <c r="HB26" vm="5444">
        <f ca="1"/>
        <v>589.95000000000005</v>
      </c>
      <c r="HC26" vm="5445">
        <f ca="1"/>
        <v>590.41999999999996</v>
      </c>
      <c r="HD26" vm="5446">
        <f ca="1"/>
        <v>586.27</v>
      </c>
      <c r="HE26" vm="5447">
        <f ca="1"/>
        <v>576.79</v>
      </c>
      <c r="HF26" vm="5448">
        <f ca="1"/>
        <v>576.92999999999995</v>
      </c>
      <c r="HG26" vm="5436">
        <f ca="1"/>
        <v>576.47</v>
      </c>
      <c r="HH26" vm="5449">
        <f ca="1"/>
        <v>575.16</v>
      </c>
      <c r="HI26" vm="5450">
        <f ca="1"/>
        <v>582.01</v>
      </c>
      <c r="HJ26" vm="5451">
        <f ca="1"/>
        <v>563.69000000000005</v>
      </c>
      <c r="HK26" vm="5452">
        <f ca="1"/>
        <v>567.78</v>
      </c>
      <c r="HL26" vm="5453">
        <f ca="1"/>
        <v>573.25</v>
      </c>
      <c r="HM26" vm="5454">
        <f ca="1"/>
        <v>578.16</v>
      </c>
      <c r="HN26" vm="5455">
        <f ca="1"/>
        <v>593.28</v>
      </c>
      <c r="HO26" vm="5456">
        <f ca="1"/>
        <v>591.79999999999995</v>
      </c>
      <c r="HP26" vm="5457">
        <f ca="1"/>
        <v>567.58000000000004</v>
      </c>
      <c r="HQ26" vm="5458">
        <f ca="1"/>
        <v>567.16</v>
      </c>
      <c r="HR26" vm="5459">
        <f ca="1"/>
        <v>560.67999999999995</v>
      </c>
      <c r="HS26" vm="5460">
        <f ca="1"/>
        <v>572.42999999999995</v>
      </c>
      <c r="HT26" vm="5461">
        <f ca="1"/>
        <v>572.04999999999995</v>
      </c>
      <c r="HU26" vm="5462">
        <f ca="1"/>
        <v>591.70000000000005</v>
      </c>
      <c r="HV26" vm="5463">
        <f ca="1"/>
        <v>589.34</v>
      </c>
      <c r="HW26" vm="5464">
        <f ca="1"/>
        <v>583.16999999999996</v>
      </c>
      <c r="HX26" vm="5465">
        <f ca="1"/>
        <v>584.82000000000005</v>
      </c>
      <c r="HY26" vm="5466">
        <f ca="1"/>
        <v>580</v>
      </c>
      <c r="HZ26" vm="5467">
        <f ca="1"/>
        <v>577.16</v>
      </c>
      <c r="IA26" vm="5468">
        <f ca="1"/>
        <v>554.08000000000004</v>
      </c>
      <c r="IB26" vm="5469">
        <f ca="1"/>
        <v>554.4</v>
      </c>
      <c r="IC26" vm="5470">
        <f ca="1"/>
        <v>561.09</v>
      </c>
      <c r="ID26" vm="5471">
        <f ca="1"/>
        <v>565.52</v>
      </c>
      <c r="IE26" vm="446">
        <f ca="1"/>
        <v>563.09</v>
      </c>
      <c r="IF26" vm="5472">
        <f ca="1"/>
        <v>559.14</v>
      </c>
      <c r="IG26" vm="5473">
        <f ca="1"/>
        <v>565.11</v>
      </c>
      <c r="IH26" vm="5474">
        <f ca="1"/>
        <v>573.54</v>
      </c>
      <c r="II26" vm="5475">
        <f ca="1"/>
        <v>569.20000000000005</v>
      </c>
      <c r="IJ26" vm="5476">
        <f ca="1"/>
        <v>574.32000000000005</v>
      </c>
      <c r="IK26" vm="5477">
        <f ca="1"/>
        <v>592.83000000000004</v>
      </c>
      <c r="IL26" vm="5478">
        <f ca="1"/>
        <v>613.65</v>
      </c>
      <c r="IM26" vm="5479">
        <f ca="1"/>
        <v>613.78</v>
      </c>
      <c r="IN26" vm="5480">
        <f ca="1"/>
        <v>608.92999999999995</v>
      </c>
      <c r="IO26" vm="5481">
        <f ca="1"/>
        <v>623.77</v>
      </c>
      <c r="IP26" vm="5482">
        <f ca="1"/>
        <v>613.57000000000005</v>
      </c>
      <c r="IQ26" vm="5483">
        <f ca="1"/>
        <v>619.32000000000005</v>
      </c>
    </row>
    <row r="27" spans="1:251">
      <c r="A27" cm="1" vm="5484">
        <f t="array" aca="1" ref="A27:IQ27" ca="1">TRANSPOSE(_xlfn.STOCKHISTORY(Table3[[#This Row],[Stock Name ]],TODAY()-365,TODAY(),0,0,1))</f>
        <v>374.38</v>
      </c>
      <c r="B27" vm="5485">
        <f ca="1"/>
        <v>374.37</v>
      </c>
      <c r="C27" vm="5486">
        <f ca="1"/>
        <v>365.93</v>
      </c>
      <c r="D27" vm="5487">
        <f ca="1"/>
        <v>370.73</v>
      </c>
      <c r="E27" vm="5488">
        <f ca="1"/>
        <v>372.65</v>
      </c>
      <c r="F27" vm="5489">
        <f ca="1"/>
        <v>373.26</v>
      </c>
      <c r="G27" vm="5490">
        <f ca="1"/>
        <v>370.62</v>
      </c>
      <c r="H27" vm="5491">
        <f ca="1"/>
        <v>373.54</v>
      </c>
      <c r="I27" vm="5492">
        <f ca="1"/>
        <v>374.58</v>
      </c>
      <c r="J27" vm="5493">
        <f ca="1"/>
        <v>374.66</v>
      </c>
      <c r="K27" vm="5494">
        <f ca="1"/>
        <v>374.07</v>
      </c>
      <c r="L27" vm="5495">
        <f ca="1"/>
        <v>375.28</v>
      </c>
      <c r="M27" vm="5496">
        <f ca="1"/>
        <v>376.04</v>
      </c>
      <c r="N27" vm="5497">
        <f ca="1"/>
        <v>370.87</v>
      </c>
      <c r="O27" vm="5498">
        <f ca="1"/>
        <v>370.6</v>
      </c>
      <c r="P27" vm="5499">
        <f ca="1"/>
        <v>367.94</v>
      </c>
      <c r="Q27" vm="5500">
        <f ca="1"/>
        <v>367.75</v>
      </c>
      <c r="R27" vm="5501">
        <f ca="1"/>
        <v>374.69</v>
      </c>
      <c r="S27" vm="5502">
        <f ca="1"/>
        <v>375.79</v>
      </c>
      <c r="T27" vm="5503">
        <f ca="1"/>
        <v>382.77</v>
      </c>
      <c r="U27" vm="5504">
        <f ca="1"/>
        <v>384.63</v>
      </c>
      <c r="V27" vm="5505">
        <f ca="1"/>
        <v>388.47</v>
      </c>
      <c r="W27" vm="5506">
        <f ca="1"/>
        <v>390.27</v>
      </c>
      <c r="X27" vm="5507">
        <f ca="1"/>
        <v>389.47</v>
      </c>
      <c r="Y27" vm="5508">
        <f ca="1"/>
        <v>393.87</v>
      </c>
      <c r="Z27" vm="5509">
        <f ca="1"/>
        <v>398.67</v>
      </c>
      <c r="AA27" vm="5510">
        <f ca="1"/>
        <v>396.51</v>
      </c>
      <c r="AB27" vm="5511">
        <f ca="1"/>
        <v>398.9</v>
      </c>
      <c r="AC27" vm="5512">
        <f ca="1"/>
        <v>402.56</v>
      </c>
      <c r="AD27" vm="5513">
        <f ca="1"/>
        <v>404.87</v>
      </c>
      <c r="AE27" vm="5514">
        <f ca="1"/>
        <v>403.93</v>
      </c>
      <c r="AF27" vm="5515">
        <f ca="1"/>
        <v>409.72</v>
      </c>
      <c r="AG27" vm="5516">
        <f ca="1"/>
        <v>408.59</v>
      </c>
      <c r="AH27" vm="5517">
        <f ca="1"/>
        <v>397.58</v>
      </c>
      <c r="AI27" vm="5518">
        <f ca="1"/>
        <v>403.78</v>
      </c>
      <c r="AJ27" vm="2233">
        <f ca="1"/>
        <v>411.22</v>
      </c>
      <c r="AK27" vm="5519">
        <f ca="1"/>
        <v>405.65</v>
      </c>
      <c r="AL27" vm="5520">
        <f ca="1"/>
        <v>405.49</v>
      </c>
      <c r="AM27" vm="5521">
        <f ca="1"/>
        <v>414.05</v>
      </c>
      <c r="AN27" vm="5522">
        <f ca="1"/>
        <v>414.11</v>
      </c>
      <c r="AO27" vm="5523">
        <f ca="1"/>
        <v>420.55</v>
      </c>
      <c r="AP27" vm="5524">
        <f ca="1"/>
        <v>415.26</v>
      </c>
      <c r="AQ27" vm="5525">
        <f ca="1"/>
        <v>406.32</v>
      </c>
      <c r="AR27" vm="5526">
        <f ca="1"/>
        <v>409.49</v>
      </c>
      <c r="AS27" vm="5527">
        <f ca="1"/>
        <v>406.56</v>
      </c>
      <c r="AT27" vm="5528">
        <f ca="1"/>
        <v>404.06</v>
      </c>
      <c r="AU27" vm="5529">
        <f ca="1"/>
        <v>402.79</v>
      </c>
      <c r="AV27" vm="5530">
        <f ca="1"/>
        <v>402.18</v>
      </c>
      <c r="AW27" vm="5531">
        <f ca="1"/>
        <v>411.65</v>
      </c>
      <c r="AX27" vm="5532">
        <f ca="1"/>
        <v>410.34</v>
      </c>
      <c r="AY27" vm="5533">
        <f ca="1"/>
        <v>407.54</v>
      </c>
      <c r="AZ27" vm="5534">
        <f ca="1"/>
        <v>407.48</v>
      </c>
      <c r="BA27" vm="5535">
        <f ca="1"/>
        <v>407.72</v>
      </c>
      <c r="BB27" vm="5536">
        <f ca="1"/>
        <v>413.64</v>
      </c>
      <c r="BC27" vm="5537">
        <f ca="1"/>
        <v>415.5</v>
      </c>
      <c r="BD27" vm="5538">
        <f ca="1"/>
        <v>414.92</v>
      </c>
      <c r="BE27" vm="5539">
        <f ca="1"/>
        <v>402.65</v>
      </c>
      <c r="BF27" vm="5540">
        <f ca="1"/>
        <v>402.09</v>
      </c>
      <c r="BG27" vm="2180">
        <f ca="1"/>
        <v>409.14</v>
      </c>
      <c r="BH27" vm="5541">
        <f ca="1"/>
        <v>406.22</v>
      </c>
      <c r="BI27" vm="5542">
        <f ca="1"/>
        <v>404.52</v>
      </c>
      <c r="BJ27" vm="5543">
        <f ca="1"/>
        <v>415.28</v>
      </c>
      <c r="BK27" vm="5544">
        <f ca="1"/>
        <v>415.1</v>
      </c>
      <c r="BL27" vm="5545">
        <f ca="1"/>
        <v>425.22</v>
      </c>
      <c r="BM27" vm="5546">
        <f ca="1"/>
        <v>416.42</v>
      </c>
      <c r="BN27" vm="5547">
        <f ca="1"/>
        <v>417.32</v>
      </c>
      <c r="BO27" vm="5548">
        <f ca="1"/>
        <v>421.41</v>
      </c>
      <c r="BP27" vm="5549">
        <f ca="1"/>
        <v>425.23</v>
      </c>
      <c r="BQ27" vm="5550">
        <f ca="1"/>
        <v>429.37</v>
      </c>
      <c r="BR27" vm="5551">
        <f ca="1"/>
        <v>428.74</v>
      </c>
      <c r="BS27" vm="5552">
        <f ca="1"/>
        <v>422.86</v>
      </c>
      <c r="BT27" vm="5553">
        <f ca="1"/>
        <v>421.65</v>
      </c>
      <c r="BU27" vm="5554">
        <f ca="1"/>
        <v>421.43</v>
      </c>
      <c r="BV27" vm="5555">
        <f ca="1"/>
        <v>420.72</v>
      </c>
      <c r="BW27" vm="5556">
        <f ca="1"/>
        <v>424.57</v>
      </c>
      <c r="BX27" vm="5557">
        <f ca="1"/>
        <v>421.44</v>
      </c>
      <c r="BY27" vm="5558">
        <f ca="1"/>
        <v>420.45</v>
      </c>
      <c r="BZ27" vm="5559">
        <f ca="1"/>
        <v>417.88</v>
      </c>
      <c r="CA27" vm="5560">
        <f ca="1"/>
        <v>425.52</v>
      </c>
      <c r="CB27" vm="5561">
        <f ca="1"/>
        <v>424.59</v>
      </c>
      <c r="CC27" vm="5562">
        <f ca="1"/>
        <v>426.28</v>
      </c>
      <c r="CD27" vm="5563">
        <f ca="1"/>
        <v>423.26</v>
      </c>
      <c r="CE27" vm="5564">
        <f ca="1"/>
        <v>427.93</v>
      </c>
      <c r="CF27" vm="5565">
        <f ca="1"/>
        <v>421.9</v>
      </c>
      <c r="CG27" vm="5536">
        <f ca="1"/>
        <v>413.64</v>
      </c>
      <c r="CH27" vm="5566">
        <f ca="1"/>
        <v>414.58</v>
      </c>
      <c r="CI27" vm="5567">
        <f ca="1"/>
        <v>411.84</v>
      </c>
      <c r="CJ27" vm="5568">
        <f ca="1"/>
        <v>404.27</v>
      </c>
      <c r="CK27" vm="5569">
        <f ca="1"/>
        <v>399.12</v>
      </c>
      <c r="CL27" vm="2223">
        <f ca="1"/>
        <v>400.96</v>
      </c>
      <c r="CM27" vm="5570">
        <f ca="1"/>
        <v>407.57</v>
      </c>
      <c r="CN27" vm="5571">
        <f ca="1"/>
        <v>409.06</v>
      </c>
      <c r="CO27" vm="5572">
        <f ca="1"/>
        <v>399.04</v>
      </c>
      <c r="CP27" vm="5525">
        <f ca="1"/>
        <v>406.32</v>
      </c>
      <c r="CQ27" vm="5573">
        <f ca="1"/>
        <v>402.25</v>
      </c>
      <c r="CR27" vm="5574">
        <f ca="1"/>
        <v>389.33</v>
      </c>
      <c r="CS27" vm="5575">
        <f ca="1"/>
        <v>394.94</v>
      </c>
      <c r="CT27" vm="5576">
        <f ca="1"/>
        <v>397.84</v>
      </c>
      <c r="CU27" vm="5577">
        <f ca="1"/>
        <v>406.66</v>
      </c>
      <c r="CV27" vm="5578">
        <f ca="1"/>
        <v>413.54</v>
      </c>
      <c r="CW27" vm="5579">
        <f ca="1"/>
        <v>409.34</v>
      </c>
      <c r="CX27" vm="5580">
        <f ca="1"/>
        <v>410.54</v>
      </c>
      <c r="CY27" vm="5581">
        <f ca="1"/>
        <v>412.32</v>
      </c>
      <c r="CZ27" vm="5582">
        <f ca="1"/>
        <v>414.74</v>
      </c>
      <c r="DA27" vm="2251">
        <f ca="1"/>
        <v>413.72</v>
      </c>
      <c r="DB27" vm="5583">
        <f ca="1"/>
        <v>416.56</v>
      </c>
      <c r="DC27" vm="5584">
        <f ca="1"/>
        <v>423.08</v>
      </c>
      <c r="DD27" vm="5585">
        <f ca="1"/>
        <v>420.99</v>
      </c>
      <c r="DE27" vm="5586">
        <f ca="1"/>
        <v>420.21</v>
      </c>
      <c r="DF27" vm="5587">
        <f ca="1"/>
        <v>425.34</v>
      </c>
      <c r="DG27" vm="5588">
        <f ca="1"/>
        <v>429.04</v>
      </c>
      <c r="DH27" vm="5589">
        <f ca="1"/>
        <v>430.52</v>
      </c>
      <c r="DI27" vm="5590">
        <f ca="1"/>
        <v>427</v>
      </c>
      <c r="DJ27" vm="5591">
        <f ca="1"/>
        <v>430.16</v>
      </c>
      <c r="DK27" vm="5592">
        <f ca="1"/>
        <v>430.32</v>
      </c>
      <c r="DL27" vm="5593">
        <f ca="1"/>
        <v>429.17</v>
      </c>
      <c r="DM27" vm="5594">
        <f ca="1"/>
        <v>414.67</v>
      </c>
      <c r="DN27" vm="5595">
        <f ca="1"/>
        <v>415.13</v>
      </c>
      <c r="DO27" vm="5596">
        <f ca="1"/>
        <v>413.52</v>
      </c>
      <c r="DP27" vm="5597">
        <f ca="1"/>
        <v>416.07</v>
      </c>
      <c r="DQ27" vm="5598">
        <f ca="1"/>
        <v>424.01</v>
      </c>
      <c r="DR27" vm="5599">
        <f ca="1"/>
        <v>424.52</v>
      </c>
      <c r="DS27" vm="5600">
        <f ca="1"/>
        <v>423.85</v>
      </c>
      <c r="DT27" vm="5601">
        <f ca="1"/>
        <v>427.87</v>
      </c>
      <c r="DU27" vm="5602">
        <f ca="1"/>
        <v>432.68</v>
      </c>
      <c r="DV27" vm="5603">
        <f ca="1"/>
        <v>441.06</v>
      </c>
      <c r="DW27" vm="5604">
        <f ca="1"/>
        <v>441.58</v>
      </c>
      <c r="DX27" vm="5605">
        <f ca="1"/>
        <v>442.57</v>
      </c>
      <c r="DY27" vm="417">
        <f ca="1"/>
        <v>448.37</v>
      </c>
      <c r="DZ27" vm="5606">
        <f ca="1"/>
        <v>446.34</v>
      </c>
      <c r="EA27" vm="5607">
        <f ca="1"/>
        <v>445.7</v>
      </c>
      <c r="EB27" vm="5608">
        <f ca="1"/>
        <v>449.78</v>
      </c>
      <c r="EC27" vm="5609">
        <f ca="1"/>
        <v>447.67</v>
      </c>
      <c r="ED27" vm="5610">
        <f ca="1"/>
        <v>450.95</v>
      </c>
      <c r="EE27" vm="5611">
        <f ca="1"/>
        <v>452.16</v>
      </c>
      <c r="EF27" vm="5612">
        <f ca="1"/>
        <v>452.85</v>
      </c>
      <c r="EG27" vm="5613">
        <f ca="1"/>
        <v>446.95</v>
      </c>
      <c r="EH27" vm="5614">
        <f ca="1"/>
        <v>456.73</v>
      </c>
      <c r="EI27" vm="5615">
        <f ca="1"/>
        <v>459.28</v>
      </c>
      <c r="EJ27" vm="5616">
        <f ca="1"/>
        <v>460.77</v>
      </c>
      <c r="EK27" vm="5617">
        <f ca="1"/>
        <v>467.56</v>
      </c>
      <c r="EL27" vm="5618">
        <f ca="1"/>
        <v>466.24</v>
      </c>
      <c r="EM27" vm="5619">
        <f ca="1"/>
        <v>459.54</v>
      </c>
      <c r="EN27" vm="5620">
        <f ca="1"/>
        <v>466.25</v>
      </c>
      <c r="EO27" vm="4836">
        <f ca="1"/>
        <v>454.7</v>
      </c>
      <c r="EP27" vm="5621">
        <f ca="1"/>
        <v>453.55</v>
      </c>
      <c r="EQ27" vm="5622">
        <f ca="1"/>
        <v>453.96</v>
      </c>
      <c r="ER27" vm="5623">
        <f ca="1"/>
        <v>449.52</v>
      </c>
      <c r="ES27" vm="5624">
        <f ca="1"/>
        <v>443.52</v>
      </c>
      <c r="ET27" vm="5625">
        <f ca="1"/>
        <v>440.37</v>
      </c>
      <c r="EU27" vm="5626">
        <f ca="1"/>
        <v>437.11</v>
      </c>
      <c r="EV27" vm="5627">
        <f ca="1"/>
        <v>442.94</v>
      </c>
      <c r="EW27" vm="5628">
        <f ca="1"/>
        <v>444.85</v>
      </c>
      <c r="EX27" vm="5629">
        <f ca="1"/>
        <v>428.9</v>
      </c>
      <c r="EY27" vm="5630">
        <f ca="1"/>
        <v>418.4</v>
      </c>
      <c r="EZ27" vm="5631">
        <f ca="1"/>
        <v>425.27</v>
      </c>
      <c r="FA27" vm="5632">
        <f ca="1"/>
        <v>426.73</v>
      </c>
      <c r="FB27" vm="5633">
        <f ca="1"/>
        <v>422.92</v>
      </c>
      <c r="FC27" vm="5634">
        <f ca="1"/>
        <v>418.35</v>
      </c>
      <c r="FD27" vm="5635">
        <f ca="1"/>
        <v>417.11</v>
      </c>
      <c r="FE27" vm="5636">
        <f ca="1"/>
        <v>408.49</v>
      </c>
      <c r="FF27" vm="5637">
        <f ca="1"/>
        <v>395.15</v>
      </c>
      <c r="FG27" vm="5638">
        <f ca="1"/>
        <v>399.61</v>
      </c>
      <c r="FH27" vm="5639">
        <f ca="1"/>
        <v>398.43</v>
      </c>
      <c r="FI27" vm="5640">
        <f ca="1"/>
        <v>402.69</v>
      </c>
      <c r="FJ27" vm="5641">
        <f ca="1"/>
        <v>406.02</v>
      </c>
      <c r="FK27" vm="5642">
        <f ca="1"/>
        <v>406.81</v>
      </c>
      <c r="FL27" vm="5643">
        <f ca="1"/>
        <v>414.01</v>
      </c>
      <c r="FM27" vm="5644">
        <f ca="1"/>
        <v>416.86</v>
      </c>
      <c r="FN27" vm="5645">
        <f ca="1"/>
        <v>421.03</v>
      </c>
      <c r="FO27" vm="5646">
        <f ca="1"/>
        <v>418.47</v>
      </c>
      <c r="FP27" vm="5647">
        <f ca="1"/>
        <v>421.53</v>
      </c>
      <c r="FQ27" vm="5648">
        <f ca="1"/>
        <v>424.8</v>
      </c>
      <c r="FR27" vm="5649">
        <f ca="1"/>
        <v>424.14</v>
      </c>
      <c r="FS27" vm="5650">
        <f ca="1"/>
        <v>415.55</v>
      </c>
      <c r="FT27" vm="5651">
        <f ca="1"/>
        <v>416.79</v>
      </c>
      <c r="FU27" vm="5652">
        <f ca="1"/>
        <v>413.49</v>
      </c>
      <c r="FV27" vm="5653">
        <f ca="1"/>
        <v>413.84</v>
      </c>
      <c r="FW27" vm="5654">
        <f ca="1"/>
        <v>410.6</v>
      </c>
      <c r="FX27" vm="2236">
        <f ca="1"/>
        <v>413.12</v>
      </c>
      <c r="FY27" vm="5655">
        <f ca="1"/>
        <v>417.14</v>
      </c>
      <c r="FZ27" vm="5656">
        <f ca="1"/>
        <v>409.44</v>
      </c>
      <c r="GA27" vm="5657">
        <f ca="1"/>
        <v>408.9</v>
      </c>
      <c r="GB27" vm="5658">
        <f ca="1"/>
        <v>408.39</v>
      </c>
      <c r="GC27" vm="5659">
        <f ca="1"/>
        <v>401.7</v>
      </c>
      <c r="GD27" vm="5660">
        <f ca="1"/>
        <v>405.72</v>
      </c>
      <c r="GE27" vm="5661">
        <f ca="1"/>
        <v>414.2</v>
      </c>
      <c r="GF27" vm="5662">
        <f ca="1"/>
        <v>423.04</v>
      </c>
      <c r="GG27" vm="5590">
        <f ca="1"/>
        <v>427</v>
      </c>
      <c r="GH27" vm="5663">
        <f ca="1"/>
        <v>430.59</v>
      </c>
      <c r="GI27" vm="5664">
        <f ca="1"/>
        <v>431.34</v>
      </c>
      <c r="GJ27" vm="5665">
        <f ca="1"/>
        <v>435.15</v>
      </c>
      <c r="GK27" vm="5666">
        <f ca="1"/>
        <v>430.81</v>
      </c>
      <c r="GL27" vm="5667">
        <f ca="1"/>
        <v>438.69</v>
      </c>
      <c r="GM27" vm="5668">
        <f ca="1"/>
        <v>435.27</v>
      </c>
      <c r="GN27" vm="5669">
        <f ca="1"/>
        <v>433.51</v>
      </c>
      <c r="GO27" vm="5593">
        <f ca="1"/>
        <v>429.17</v>
      </c>
      <c r="GP27" vm="5670">
        <f ca="1"/>
        <v>432.11</v>
      </c>
      <c r="GQ27" vm="5671">
        <f ca="1"/>
        <v>431.31</v>
      </c>
      <c r="GR27" vm="5672">
        <f ca="1"/>
        <v>428.02</v>
      </c>
      <c r="GS27" vm="5673">
        <f ca="1"/>
        <v>430.3</v>
      </c>
      <c r="GT27" vm="5674">
        <f ca="1"/>
        <v>420.69</v>
      </c>
      <c r="GU27" vm="5675">
        <f ca="1"/>
        <v>417.13</v>
      </c>
      <c r="GV27" vm="5676">
        <f ca="1"/>
        <v>416.54</v>
      </c>
      <c r="GW27" vm="5677">
        <f ca="1"/>
        <v>416.06</v>
      </c>
      <c r="GX27" vm="5678">
        <f ca="1"/>
        <v>409.54</v>
      </c>
      <c r="GY27" vm="5679">
        <f ca="1"/>
        <v>414.71</v>
      </c>
      <c r="GZ27" vm="5680">
        <f ca="1"/>
        <v>417.46</v>
      </c>
      <c r="HA27" vm="5681">
        <f ca="1"/>
        <v>415.84</v>
      </c>
      <c r="HB27" vm="5682">
        <f ca="1"/>
        <v>416.32</v>
      </c>
      <c r="HC27" vm="5683">
        <f ca="1"/>
        <v>419.14</v>
      </c>
      <c r="HD27" vm="5684">
        <f ca="1"/>
        <v>418.74</v>
      </c>
      <c r="HE27" vm="5685">
        <f ca="1"/>
        <v>416.12</v>
      </c>
      <c r="HF27" vm="5686">
        <f ca="1"/>
        <v>416.72</v>
      </c>
      <c r="HG27" vm="5687">
        <f ca="1"/>
        <v>418.16</v>
      </c>
      <c r="HH27" vm="2272">
        <f ca="1"/>
        <v>418.78</v>
      </c>
      <c r="HI27" vm="5688">
        <f ca="1"/>
        <v>427.51</v>
      </c>
      <c r="HJ27" vm="5689">
        <f ca="1"/>
        <v>424.6</v>
      </c>
      <c r="HK27" vm="5690">
        <f ca="1"/>
        <v>424.73</v>
      </c>
      <c r="HL27" vm="5691">
        <f ca="1"/>
        <v>428.15</v>
      </c>
      <c r="HM27" vm="5692">
        <f ca="1"/>
        <v>426.59</v>
      </c>
      <c r="HN27" vm="5693">
        <f ca="1"/>
        <v>431.95</v>
      </c>
      <c r="HO27" vm="5694">
        <f ca="1"/>
        <v>432.53</v>
      </c>
      <c r="HP27" vm="5695">
        <f ca="1"/>
        <v>406.35</v>
      </c>
      <c r="HQ27" vm="5696">
        <f ca="1"/>
        <v>410.37</v>
      </c>
      <c r="HR27" vm="5697">
        <f ca="1"/>
        <v>408.46</v>
      </c>
      <c r="HS27" vm="5698">
        <f ca="1"/>
        <v>411.46</v>
      </c>
      <c r="HT27" vm="5699">
        <f ca="1"/>
        <v>420.18</v>
      </c>
      <c r="HU27" vm="5700">
        <f ca="1"/>
        <v>425.43</v>
      </c>
      <c r="HV27" vm="5701">
        <f ca="1"/>
        <v>422.54</v>
      </c>
      <c r="HW27" vm="5702">
        <f ca="1"/>
        <v>418.01</v>
      </c>
      <c r="HX27" vm="5703">
        <f ca="1"/>
        <v>423.03</v>
      </c>
      <c r="HY27" vm="5704">
        <f ca="1"/>
        <v>425.2</v>
      </c>
      <c r="HZ27" vm="5705">
        <f ca="1"/>
        <v>426.89</v>
      </c>
      <c r="IA27" vm="5706">
        <f ca="1"/>
        <v>415</v>
      </c>
      <c r="IB27" vm="5707">
        <f ca="1"/>
        <v>415.76</v>
      </c>
      <c r="IC27" vm="5708">
        <f ca="1"/>
        <v>417.79</v>
      </c>
      <c r="ID27" vm="5709">
        <f ca="1"/>
        <v>415.49</v>
      </c>
      <c r="IE27" vm="5710">
        <f ca="1"/>
        <v>412.87</v>
      </c>
      <c r="IF27" vm="5711">
        <f ca="1"/>
        <v>417</v>
      </c>
      <c r="IG27" vm="5712">
        <f ca="1"/>
        <v>418.79</v>
      </c>
      <c r="IH27" vm="5713">
        <f ca="1"/>
        <v>427.99</v>
      </c>
      <c r="II27" vm="5714">
        <f ca="1"/>
        <v>422.99</v>
      </c>
      <c r="IJ27" vm="5715">
        <f ca="1"/>
        <v>423.46</v>
      </c>
      <c r="IK27" vm="5716">
        <f ca="1"/>
        <v>430.98</v>
      </c>
      <c r="IL27" vm="5717">
        <f ca="1"/>
        <v>431.2</v>
      </c>
      <c r="IM27" vm="5718">
        <f ca="1"/>
        <v>437.42</v>
      </c>
      <c r="IN27" vm="5719">
        <f ca="1"/>
        <v>442.62</v>
      </c>
      <c r="IO27" vm="5720">
        <f ca="1"/>
        <v>443.57</v>
      </c>
      <c r="IP27" vm="5721">
        <f ca="1"/>
        <v>446.02</v>
      </c>
      <c r="IQ27" vm="5722">
        <f ca="1"/>
        <v>443.33</v>
      </c>
    </row>
    <row r="28" spans="1:251">
      <c r="A28" cm="1" vm="5723">
        <f t="array" aca="1" ref="A28:IQ28" ca="1">TRANSPOSE(_xlfn.STOCKHISTORY(Table3[[#This Row],[Stock Name ]],TODAY()-365,TODAY(),0,0,1))</f>
        <v>83.6</v>
      </c>
      <c r="B28" vm="5724">
        <f ca="1"/>
        <v>85.63</v>
      </c>
      <c r="C28" vm="5725">
        <f ca="1"/>
        <v>91.04</v>
      </c>
      <c r="D28" vm="5726">
        <f ca="1"/>
        <v>91.58</v>
      </c>
      <c r="E28" vm="5727">
        <f ca="1"/>
        <v>90.76</v>
      </c>
      <c r="F28" vm="5728">
        <f ca="1"/>
        <v>91.92</v>
      </c>
      <c r="G28" vm="5729">
        <f ca="1"/>
        <v>91.14</v>
      </c>
      <c r="H28" vm="5730">
        <f ca="1"/>
        <v>92.63</v>
      </c>
      <c r="I28" vm="5731">
        <f ca="1"/>
        <v>92.41</v>
      </c>
      <c r="J28" vm="5732">
        <f ca="1"/>
        <v>92.84</v>
      </c>
      <c r="K28" vm="5733">
        <f ca="1"/>
        <v>93.66</v>
      </c>
      <c r="L28" vm="5734">
        <f ca="1"/>
        <v>93.64</v>
      </c>
      <c r="M28" vm="5735">
        <f ca="1"/>
        <v>93.25</v>
      </c>
      <c r="N28" vm="5736">
        <f ca="1"/>
        <v>93.9</v>
      </c>
      <c r="O28" vm="5737">
        <f ca="1"/>
        <v>91.91</v>
      </c>
      <c r="P28" vm="5738">
        <f ca="1"/>
        <v>92.15</v>
      </c>
      <c r="Q28" vm="5739">
        <f ca="1"/>
        <v>93.24</v>
      </c>
      <c r="R28" vm="5740">
        <f ca="1"/>
        <v>93.51</v>
      </c>
      <c r="S28" vm="5741">
        <f ca="1"/>
        <v>92.06</v>
      </c>
      <c r="T28" vm="5742">
        <f ca="1"/>
        <v>91.48</v>
      </c>
      <c r="U28" vm="5743">
        <f ca="1"/>
        <v>90.51</v>
      </c>
      <c r="V28" vm="2595">
        <f ca="1"/>
        <v>89.7</v>
      </c>
      <c r="W28" vm="5744">
        <f ca="1"/>
        <v>85.97</v>
      </c>
      <c r="X28" vm="5745">
        <f ca="1"/>
        <v>84.41</v>
      </c>
      <c r="Y28" vm="5746">
        <f ca="1"/>
        <v>83.9</v>
      </c>
      <c r="Z28" vm="5747">
        <f ca="1"/>
        <v>85.34</v>
      </c>
      <c r="AA28" vm="5748">
        <f ca="1"/>
        <v>85.73</v>
      </c>
      <c r="AB28" vm="5749">
        <f ca="1"/>
        <v>86.74</v>
      </c>
      <c r="AC28" vm="5750">
        <f ca="1"/>
        <v>87.57</v>
      </c>
      <c r="AD28" vm="5751">
        <f ca="1"/>
        <v>88.02</v>
      </c>
      <c r="AE28" vm="5752">
        <f ca="1"/>
        <v>87.73</v>
      </c>
      <c r="AF28" vm="5753">
        <f ca="1"/>
        <v>87.62</v>
      </c>
      <c r="AG28" vm="5753">
        <f ca="1"/>
        <v>87.62</v>
      </c>
      <c r="AH28" vm="5754">
        <f ca="1"/>
        <v>87.24</v>
      </c>
      <c r="AI28" vm="5755">
        <f ca="1"/>
        <v>86.82</v>
      </c>
      <c r="AJ28" vm="5756">
        <f ca="1"/>
        <v>87.27</v>
      </c>
      <c r="AK28" vm="5757">
        <f ca="1"/>
        <v>85.89</v>
      </c>
      <c r="AL28" vm="5758">
        <f ca="1"/>
        <v>86.1</v>
      </c>
      <c r="AM28" vm="5759">
        <f ca="1"/>
        <v>86</v>
      </c>
      <c r="AN28" vm="5760">
        <f ca="1"/>
        <v>85.65</v>
      </c>
      <c r="AO28" vm="5757">
        <f ca="1"/>
        <v>85.89</v>
      </c>
      <c r="AP28" vm="5761">
        <f ca="1"/>
        <v>86.87</v>
      </c>
      <c r="AQ28" vm="5762">
        <f ca="1"/>
        <v>83.97</v>
      </c>
      <c r="AR28" vm="5763">
        <f ca="1"/>
        <v>84</v>
      </c>
      <c r="AS28" vm="5764">
        <f ca="1"/>
        <v>85.67</v>
      </c>
      <c r="AT28" vm="5765">
        <f ca="1"/>
        <v>86.5</v>
      </c>
      <c r="AU28" vm="5766">
        <f ca="1"/>
        <v>85.35</v>
      </c>
      <c r="AV28" vm="5767">
        <f ca="1"/>
        <v>85.46</v>
      </c>
      <c r="AW28" vm="5768">
        <f ca="1"/>
        <v>85.85</v>
      </c>
      <c r="AX28" vm="5769">
        <f ca="1"/>
        <v>86.55</v>
      </c>
      <c r="AY28" vm="5764">
        <f ca="1"/>
        <v>85.67</v>
      </c>
      <c r="AZ28" vm="5770">
        <f ca="1"/>
        <v>85.49</v>
      </c>
      <c r="BA28" vm="5771">
        <f ca="1"/>
        <v>86.05</v>
      </c>
      <c r="BB28" vm="5772">
        <f ca="1"/>
        <v>86.04</v>
      </c>
      <c r="BC28" vm="5773">
        <f ca="1"/>
        <v>86.48</v>
      </c>
      <c r="BD28" vm="5774">
        <f ca="1"/>
        <v>90.04</v>
      </c>
      <c r="BE28" vm="5775">
        <f ca="1"/>
        <v>89.13</v>
      </c>
      <c r="BF28" vm="5776">
        <f ca="1"/>
        <v>85.66</v>
      </c>
      <c r="BG28" vm="5777">
        <f ca="1"/>
        <v>86.14</v>
      </c>
      <c r="BH28" vm="5778">
        <f ca="1"/>
        <v>87.04</v>
      </c>
      <c r="BI28" vm="5779">
        <f ca="1"/>
        <v>86.94</v>
      </c>
      <c r="BJ28" vm="5780">
        <f ca="1"/>
        <v>87.05</v>
      </c>
      <c r="BK28" vm="5781">
        <f ca="1"/>
        <v>89.35</v>
      </c>
      <c r="BL28" vm="5782">
        <f ca="1"/>
        <v>89.1</v>
      </c>
      <c r="BM28" vm="5783">
        <f ca="1"/>
        <v>88.38</v>
      </c>
      <c r="BN28" vm="5784">
        <f ca="1"/>
        <v>87.96</v>
      </c>
      <c r="BO28" vm="5785">
        <f ca="1"/>
        <v>88.42</v>
      </c>
      <c r="BP28" vm="5786">
        <f ca="1"/>
        <v>91.35</v>
      </c>
      <c r="BQ28" vm="5787">
        <f ca="1"/>
        <v>93.4</v>
      </c>
      <c r="BR28" vm="5788">
        <f ca="1"/>
        <v>91.95</v>
      </c>
      <c r="BS28" vm="5729">
        <f ca="1"/>
        <v>91.14</v>
      </c>
      <c r="BT28" vm="5789">
        <f ca="1"/>
        <v>91.28</v>
      </c>
      <c r="BU28" vm="5790">
        <f ca="1"/>
        <v>93.5</v>
      </c>
      <c r="BV28" vm="5791">
        <f ca="1"/>
        <v>94.16</v>
      </c>
      <c r="BW28" vm="5792">
        <f ca="1"/>
        <v>93.53</v>
      </c>
      <c r="BX28" vm="5793">
        <f ca="1"/>
        <v>92.71</v>
      </c>
      <c r="BY28" vm="5794">
        <f ca="1"/>
        <v>93</v>
      </c>
      <c r="BZ28" vm="5795">
        <f ca="1"/>
        <v>92.28</v>
      </c>
      <c r="CA28" vm="5796">
        <f ca="1"/>
        <v>92.47</v>
      </c>
      <c r="CB28" vm="5797">
        <f ca="1"/>
        <v>93.21</v>
      </c>
      <c r="CC28" vm="5798">
        <f ca="1"/>
        <v>94.08</v>
      </c>
      <c r="CD28" vm="5799">
        <f ca="1"/>
        <v>91.65</v>
      </c>
      <c r="CE28" vm="5800">
        <f ca="1"/>
        <v>86.84</v>
      </c>
      <c r="CF28" vm="5801">
        <f ca="1"/>
        <v>86.19</v>
      </c>
      <c r="CG28" vm="5802">
        <f ca="1"/>
        <v>86.99</v>
      </c>
      <c r="CH28" vm="5803">
        <f ca="1"/>
        <v>89.14</v>
      </c>
      <c r="CI28" vm="5804">
        <f ca="1"/>
        <v>90.08</v>
      </c>
      <c r="CJ28" vm="5805">
        <f ca="1"/>
        <v>90.26</v>
      </c>
      <c r="CK28" vm="5806">
        <f ca="1"/>
        <v>90.66</v>
      </c>
      <c r="CL28" vm="5807">
        <f ca="1"/>
        <v>92.09</v>
      </c>
      <c r="CM28" vm="5808">
        <f ca="1"/>
        <v>93.76</v>
      </c>
      <c r="CN28" vm="5809">
        <f ca="1"/>
        <v>93.85</v>
      </c>
      <c r="CO28" vm="5810">
        <f ca="1"/>
        <v>92.56</v>
      </c>
      <c r="CP28" vm="5811">
        <f ca="1"/>
        <v>92.83</v>
      </c>
      <c r="CQ28" vm="5812">
        <f ca="1"/>
        <v>92.11</v>
      </c>
      <c r="CR28" vm="5813">
        <f ca="1"/>
        <v>90.84</v>
      </c>
      <c r="CS28" vm="5814">
        <f ca="1"/>
        <v>91.54</v>
      </c>
      <c r="CT28" vm="5815">
        <f ca="1"/>
        <v>92.65</v>
      </c>
      <c r="CU28" vm="5734">
        <f ca="1"/>
        <v>93.64</v>
      </c>
      <c r="CV28" vm="5816">
        <f ca="1"/>
        <v>94.79</v>
      </c>
      <c r="CW28" vm="5817">
        <f ca="1"/>
        <v>95.79</v>
      </c>
      <c r="CX28" vm="5818">
        <f ca="1"/>
        <v>95.64</v>
      </c>
      <c r="CY28" vm="5819">
        <f ca="1"/>
        <v>98.11</v>
      </c>
      <c r="CZ28" vm="5820">
        <f ca="1"/>
        <v>98.28</v>
      </c>
      <c r="DA28" vm="5821">
        <f ca="1"/>
        <v>98.56</v>
      </c>
      <c r="DB28" vm="5822">
        <f ca="1"/>
        <v>99.38</v>
      </c>
      <c r="DC28" vm="5823">
        <f ca="1"/>
        <v>100.52</v>
      </c>
      <c r="DD28" vm="5824">
        <f ca="1"/>
        <v>99.58</v>
      </c>
      <c r="DE28" vm="5825">
        <f ca="1"/>
        <v>100.22</v>
      </c>
      <c r="DF28" vm="5826">
        <f ca="1"/>
        <v>100.33</v>
      </c>
      <c r="DG28" vm="5827">
        <f ca="1"/>
        <v>101.53</v>
      </c>
      <c r="DH28" vm="5828">
        <f ca="1"/>
        <v>100.74</v>
      </c>
      <c r="DI28" vm="2604">
        <f ca="1"/>
        <v>98.92</v>
      </c>
      <c r="DJ28" vm="5829">
        <f ca="1"/>
        <v>98.97</v>
      </c>
      <c r="DK28" vm="3484">
        <f ca="1"/>
        <v>98.67</v>
      </c>
      <c r="DL28" vm="5830">
        <f ca="1"/>
        <v>97.27</v>
      </c>
      <c r="DM28" vm="5831">
        <f ca="1"/>
        <v>97.23</v>
      </c>
      <c r="DN28" vm="5832">
        <f ca="1"/>
        <v>97.84</v>
      </c>
      <c r="DO28" vm="5833">
        <f ca="1"/>
        <v>97.41</v>
      </c>
      <c r="DP28" vm="5834">
        <f ca="1"/>
        <v>96.58</v>
      </c>
      <c r="DQ28" vm="5835">
        <f ca="1"/>
        <v>96.66</v>
      </c>
      <c r="DR28" vm="5836">
        <f ca="1"/>
        <v>96.85</v>
      </c>
      <c r="DS28" vm="5837">
        <f ca="1"/>
        <v>97.14</v>
      </c>
      <c r="DT28" vm="5838">
        <f ca="1"/>
        <v>96.39</v>
      </c>
      <c r="DU28" vm="5839">
        <f ca="1"/>
        <v>95.43</v>
      </c>
      <c r="DV28" vm="5840">
        <f ca="1"/>
        <v>95.65</v>
      </c>
      <c r="DW28" vm="5841">
        <f ca="1"/>
        <v>95.21</v>
      </c>
      <c r="DX28" vm="5842">
        <f ca="1"/>
        <v>95.5</v>
      </c>
      <c r="DY28" vm="5843">
        <f ca="1"/>
        <v>97.04</v>
      </c>
      <c r="DZ28" vm="5844">
        <f ca="1"/>
        <v>97.57</v>
      </c>
      <c r="EA28" vm="5845">
        <f ca="1"/>
        <v>97.44</v>
      </c>
      <c r="EB28" vm="5846">
        <f ca="1"/>
        <v>96.16</v>
      </c>
      <c r="EC28" vm="5847">
        <f ca="1"/>
        <v>97.1</v>
      </c>
      <c r="ED28" vm="5848">
        <f ca="1"/>
        <v>97.8</v>
      </c>
      <c r="EE28" vm="5849">
        <f ca="1"/>
        <v>96.89</v>
      </c>
      <c r="EF28" vm="5850">
        <f ca="1"/>
        <v>95.77</v>
      </c>
      <c r="EG28" vm="5851">
        <f ca="1"/>
        <v>97.19</v>
      </c>
      <c r="EH28" vm="5852">
        <f ca="1"/>
        <v>99.16</v>
      </c>
      <c r="EI28" vm="5853">
        <f ca="1"/>
        <v>99.65</v>
      </c>
      <c r="EJ28" vm="5854">
        <f ca="1"/>
        <v>100.2</v>
      </c>
      <c r="EK28" vm="5855">
        <f ca="1"/>
        <v>99.59</v>
      </c>
      <c r="EL28" vm="5856">
        <f ca="1"/>
        <v>100.59</v>
      </c>
      <c r="EM28" vm="5857">
        <f ca="1"/>
        <v>102.61</v>
      </c>
      <c r="EN28" vm="5858">
        <f ca="1"/>
        <v>103.46</v>
      </c>
      <c r="EO28" vm="5859">
        <f ca="1"/>
        <v>104.64</v>
      </c>
      <c r="EP28" vm="5860">
        <f ca="1"/>
        <v>104.09</v>
      </c>
      <c r="EQ28" vm="5861">
        <f ca="1"/>
        <v>105.26</v>
      </c>
      <c r="ER28" vm="5862">
        <f ca="1"/>
        <v>106.22</v>
      </c>
      <c r="ES28" vm="5863">
        <f ca="1"/>
        <v>106.96</v>
      </c>
      <c r="ET28" vm="5864">
        <f ca="1"/>
        <v>104.81</v>
      </c>
      <c r="EU28" vm="5865">
        <f ca="1"/>
        <v>102.09</v>
      </c>
      <c r="EV28" vm="5866">
        <f ca="1"/>
        <v>102.44</v>
      </c>
      <c r="EW28" vm="5867">
        <f ca="1"/>
        <v>103.5</v>
      </c>
      <c r="EX28" vm="3499">
        <f ca="1"/>
        <v>101.97</v>
      </c>
      <c r="EY28" vm="5868">
        <f ca="1"/>
        <v>103.56</v>
      </c>
      <c r="EZ28" vm="5869">
        <f ca="1"/>
        <v>104.19</v>
      </c>
      <c r="FA28" vm="5870">
        <f ca="1"/>
        <v>102.48</v>
      </c>
      <c r="FB28" vm="5871">
        <f ca="1"/>
        <v>103.76</v>
      </c>
      <c r="FC28" vm="5872">
        <f ca="1"/>
        <v>103.21</v>
      </c>
      <c r="FD28" vm="5873">
        <f ca="1"/>
        <v>101.76</v>
      </c>
      <c r="FE28" vm="5874">
        <f ca="1"/>
        <v>95.85</v>
      </c>
      <c r="FF28" vm="5875">
        <f ca="1"/>
        <v>92.07</v>
      </c>
      <c r="FG28" vm="5876">
        <f ca="1"/>
        <v>92.97</v>
      </c>
      <c r="FH28" vm="5812">
        <f ca="1"/>
        <v>92.11</v>
      </c>
      <c r="FI28" vm="5877">
        <f ca="1"/>
        <v>94.63</v>
      </c>
      <c r="FJ28" vm="5878">
        <f ca="1"/>
        <v>94.72</v>
      </c>
      <c r="FK28" vm="5879">
        <f ca="1"/>
        <v>94.84</v>
      </c>
      <c r="FL28" vm="5880">
        <f ca="1"/>
        <v>96.71</v>
      </c>
      <c r="FM28" vm="5881">
        <f ca="1"/>
        <v>99.44</v>
      </c>
      <c r="FN28" vm="5882">
        <f ca="1"/>
        <v>100.64</v>
      </c>
      <c r="FO28" vm="5883">
        <f ca="1"/>
        <v>101.44</v>
      </c>
      <c r="FP28" vm="5884">
        <f ca="1"/>
        <v>101.75</v>
      </c>
      <c r="FQ28" vm="5885">
        <f ca="1"/>
        <v>100.78</v>
      </c>
      <c r="FR28" vm="5886">
        <f ca="1"/>
        <v>100.69</v>
      </c>
      <c r="FS28" vm="5887">
        <f ca="1"/>
        <v>100.56</v>
      </c>
      <c r="FT28" vm="5888">
        <f ca="1"/>
        <v>101.89</v>
      </c>
      <c r="FU28" vm="5889">
        <f ca="1"/>
        <v>102.33</v>
      </c>
      <c r="FV28" vm="5890">
        <f ca="1"/>
        <v>102.08</v>
      </c>
      <c r="FW28" vm="5891">
        <f ca="1"/>
        <v>102.2</v>
      </c>
      <c r="FX28" vm="5892">
        <f ca="1"/>
        <v>102.6</v>
      </c>
      <c r="FY28" vm="5893">
        <f ca="1"/>
        <v>103.61</v>
      </c>
      <c r="FZ28" vm="5894">
        <f ca="1"/>
        <v>99.27</v>
      </c>
      <c r="GA28" vm="5895">
        <f ca="1"/>
        <v>100.15</v>
      </c>
      <c r="GB28" vm="5896">
        <f ca="1"/>
        <v>99.56</v>
      </c>
      <c r="GC28" vm="5897">
        <f ca="1"/>
        <v>96.59</v>
      </c>
      <c r="GD28" vm="5898">
        <f ca="1"/>
        <v>98.18</v>
      </c>
      <c r="GE28" vm="5899">
        <f ca="1"/>
        <v>96.62</v>
      </c>
      <c r="GF28" vm="5900">
        <f ca="1"/>
        <v>97.03</v>
      </c>
      <c r="GG28" vm="5901">
        <f ca="1"/>
        <v>96.64</v>
      </c>
      <c r="GH28" vm="2606">
        <f ca="1"/>
        <v>98.25</v>
      </c>
      <c r="GI28" vm="5902">
        <f ca="1"/>
        <v>100.09</v>
      </c>
      <c r="GJ28" vm="5903">
        <f ca="1"/>
        <v>99.84</v>
      </c>
      <c r="GK28" vm="5904">
        <f ca="1"/>
        <v>99.3</v>
      </c>
      <c r="GL28" vm="5905">
        <f ca="1"/>
        <v>100.73</v>
      </c>
      <c r="GM28" vm="5906">
        <f ca="1"/>
        <v>102.47</v>
      </c>
      <c r="GN28" vm="5906">
        <f ca="1"/>
        <v>102.47</v>
      </c>
      <c r="GO28" vm="5907">
        <f ca="1"/>
        <v>102.58</v>
      </c>
      <c r="GP28" vm="5908">
        <f ca="1"/>
        <v>102.34</v>
      </c>
      <c r="GQ28" vm="5909">
        <f ca="1"/>
        <v>104.6</v>
      </c>
      <c r="GR28" vm="5910">
        <f ca="1"/>
        <v>104.11</v>
      </c>
      <c r="GS28" vm="5911">
        <f ca="1"/>
        <v>104.24</v>
      </c>
      <c r="GT28" vm="5912">
        <f ca="1"/>
        <v>104.42</v>
      </c>
      <c r="GU28" vm="3515">
        <f ca="1"/>
        <v>104.52</v>
      </c>
      <c r="GV28" vm="5913">
        <f ca="1"/>
        <v>104.57</v>
      </c>
      <c r="GW28" vm="5914">
        <f ca="1"/>
        <v>107.88</v>
      </c>
      <c r="GX28" vm="5915">
        <f ca="1"/>
        <v>107.64</v>
      </c>
      <c r="GY28" vm="5916">
        <f ca="1"/>
        <v>107.49</v>
      </c>
      <c r="GZ28" vm="5917">
        <f ca="1"/>
        <v>109.04</v>
      </c>
      <c r="HA28" vm="5918">
        <f ca="1"/>
        <v>108.08</v>
      </c>
      <c r="HB28" vm="5919">
        <f ca="1"/>
        <v>110.46</v>
      </c>
      <c r="HC28" vm="5920">
        <f ca="1"/>
        <v>112.28</v>
      </c>
      <c r="HD28" vm="5921">
        <f ca="1"/>
        <v>112.22</v>
      </c>
      <c r="HE28" vm="5922">
        <f ca="1"/>
        <v>119.51</v>
      </c>
      <c r="HF28" vm="5923">
        <f ca="1"/>
        <v>119.44</v>
      </c>
      <c r="HG28" vm="5924">
        <f ca="1"/>
        <v>121.06</v>
      </c>
      <c r="HH28" vm="5925">
        <f ca="1"/>
        <v>118.28</v>
      </c>
      <c r="HI28" vm="5926">
        <f ca="1"/>
        <v>118.32</v>
      </c>
      <c r="HJ28" vm="5925">
        <f ca="1"/>
        <v>118.28</v>
      </c>
      <c r="HK28" vm="5927">
        <f ca="1"/>
        <v>119.17</v>
      </c>
      <c r="HL28" vm="3618">
        <f ca="1"/>
        <v>116.88</v>
      </c>
      <c r="HM28" vm="5928">
        <f ca="1"/>
        <v>119.13</v>
      </c>
      <c r="HN28" vm="3537">
        <f ca="1"/>
        <v>119.3</v>
      </c>
      <c r="HO28" vm="5929">
        <f ca="1"/>
        <v>117.92</v>
      </c>
      <c r="HP28" vm="5930">
        <f ca="1"/>
        <v>116.25</v>
      </c>
      <c r="HQ28" vm="5931">
        <f ca="1"/>
        <v>116.85</v>
      </c>
      <c r="HR28" vm="5932">
        <f ca="1"/>
        <v>116.14</v>
      </c>
      <c r="HS28" vm="5933">
        <f ca="1"/>
        <v>117.81</v>
      </c>
      <c r="HT28" vm="5934">
        <f ca="1"/>
        <v>131.49</v>
      </c>
      <c r="HU28" vm="5935">
        <f ca="1"/>
        <v>128.44</v>
      </c>
      <c r="HV28" vm="5936">
        <f ca="1"/>
        <v>129.53</v>
      </c>
      <c r="HW28" vm="5937">
        <f ca="1"/>
        <v>133.52000000000001</v>
      </c>
      <c r="HX28" vm="5938">
        <f ca="1"/>
        <v>132.31</v>
      </c>
      <c r="HY28" vm="5939">
        <f ca="1"/>
        <v>132.76</v>
      </c>
      <c r="HZ28" vm="5940">
        <f ca="1"/>
        <v>132.43</v>
      </c>
      <c r="IA28" vm="5941">
        <f ca="1"/>
        <v>134.06</v>
      </c>
      <c r="IB28" vm="849">
        <f ca="1"/>
        <v>133.78</v>
      </c>
      <c r="IC28" vm="5942">
        <f ca="1"/>
        <v>132.24</v>
      </c>
      <c r="ID28" vm="5943">
        <f ca="1"/>
        <v>131.69</v>
      </c>
      <c r="IE28" vm="5944">
        <f ca="1"/>
        <v>134.99</v>
      </c>
      <c r="IF28" vm="5945">
        <f ca="1"/>
        <v>134.69</v>
      </c>
      <c r="IG28" vm="5946">
        <f ca="1"/>
        <v>133.66</v>
      </c>
      <c r="IH28" vm="5947">
        <f ca="1"/>
        <v>131.28</v>
      </c>
      <c r="II28" vm="5948">
        <f ca="1"/>
        <v>131.21</v>
      </c>
      <c r="IJ28" vm="5949">
        <f ca="1"/>
        <v>131.61000000000001</v>
      </c>
      <c r="IK28" vm="5950">
        <f ca="1"/>
        <v>131.03</v>
      </c>
      <c r="IL28" vm="5951">
        <f ca="1"/>
        <v>130.44</v>
      </c>
      <c r="IM28" vm="5952">
        <f ca="1"/>
        <v>129.99</v>
      </c>
      <c r="IN28" vm="5953">
        <f ca="1"/>
        <v>130.32</v>
      </c>
      <c r="IO28" vm="5954">
        <f ca="1"/>
        <v>129.96</v>
      </c>
      <c r="IP28" vm="5955">
        <f ca="1"/>
        <v>128.58000000000001</v>
      </c>
      <c r="IQ28" vm="5956">
        <f ca="1"/>
        <v>126.79</v>
      </c>
    </row>
    <row r="29" spans="1:251">
      <c r="A29" cm="1" vm="5957">
        <f t="array" aca="1" ref="A29:IQ29" ca="1">TRANSPOSE(_xlfn.STOCKHISTORY(Table3[[#This Row],[Stock Name ]],TODAY()-365,TODAY(),0,0,1))</f>
        <v>463</v>
      </c>
      <c r="B29" vm="5958">
        <f ca="1"/>
        <v>479.98</v>
      </c>
      <c r="C29" vm="5959">
        <f ca="1"/>
        <v>469.83</v>
      </c>
      <c r="D29" vm="2365">
        <f ca="1"/>
        <v>472.06</v>
      </c>
      <c r="E29" vm="5960">
        <f ca="1"/>
        <v>486.12</v>
      </c>
      <c r="F29" vm="5961">
        <f ca="1"/>
        <v>495.02</v>
      </c>
      <c r="G29" vm="5962">
        <f ca="1"/>
        <v>489.27</v>
      </c>
      <c r="H29" vm="5963">
        <f ca="1"/>
        <v>491.61</v>
      </c>
      <c r="I29" vm="5964">
        <f ca="1"/>
        <v>486.76</v>
      </c>
      <c r="J29" vm="5965">
        <f ca="1"/>
        <v>491.19</v>
      </c>
      <c r="K29" vm="5966">
        <f ca="1"/>
        <v>491.79</v>
      </c>
      <c r="L29" vm="5967">
        <f ca="1"/>
        <v>490.51</v>
      </c>
      <c r="M29" vm="5968">
        <f ca="1"/>
        <v>486.88</v>
      </c>
      <c r="N29" vm="5969">
        <f ca="1"/>
        <v>468.5</v>
      </c>
      <c r="O29" vm="5970">
        <f ca="1"/>
        <v>470.26</v>
      </c>
      <c r="P29" vm="5971">
        <f ca="1"/>
        <v>474.67</v>
      </c>
      <c r="Q29" vm="5972">
        <f ca="1"/>
        <v>474.06</v>
      </c>
      <c r="R29" vm="515">
        <f ca="1"/>
        <v>485.03</v>
      </c>
      <c r="S29" vm="5973">
        <f ca="1"/>
        <v>482.09</v>
      </c>
      <c r="T29" vm="5974">
        <f ca="1"/>
        <v>478.33</v>
      </c>
      <c r="U29" vm="5975">
        <f ca="1"/>
        <v>492.23</v>
      </c>
      <c r="V29" vm="5976">
        <f ca="1"/>
        <v>492.16</v>
      </c>
      <c r="W29" vm="5977">
        <f ca="1"/>
        <v>481.24</v>
      </c>
      <c r="X29" vm="5978">
        <f ca="1"/>
        <v>480.33</v>
      </c>
      <c r="Y29" vm="5979">
        <f ca="1"/>
        <v>485.31</v>
      </c>
      <c r="Z29" vm="5980">
        <f ca="1"/>
        <v>482.95</v>
      </c>
      <c r="AA29" vm="5981">
        <f ca="1"/>
        <v>485.71</v>
      </c>
      <c r="AB29" vm="5982">
        <f ca="1"/>
        <v>492.19</v>
      </c>
      <c r="AC29" vm="5983">
        <f ca="1"/>
        <v>544.87</v>
      </c>
      <c r="AD29" vm="5984">
        <f ca="1"/>
        <v>562</v>
      </c>
      <c r="AE29" vm="5985">
        <f ca="1"/>
        <v>570.41999999999996</v>
      </c>
      <c r="AF29" vm="5986">
        <f ca="1"/>
        <v>575.79</v>
      </c>
      <c r="AG29" vm="5987">
        <f ca="1"/>
        <v>562.85</v>
      </c>
      <c r="AH29" vm="5988">
        <f ca="1"/>
        <v>564.11</v>
      </c>
      <c r="AI29" vm="5989">
        <f ca="1"/>
        <v>567.51</v>
      </c>
      <c r="AJ29" vm="5990">
        <f ca="1"/>
        <v>564.64</v>
      </c>
      <c r="AK29" vm="5991">
        <f ca="1"/>
        <v>562.05999999999995</v>
      </c>
      <c r="AL29" vm="5992">
        <f ca="1"/>
        <v>555.88</v>
      </c>
      <c r="AM29" vm="5993">
        <f ca="1"/>
        <v>559.29999999999995</v>
      </c>
      <c r="AN29" vm="5994">
        <f ca="1"/>
        <v>558.53</v>
      </c>
      <c r="AO29" vm="5995">
        <f ca="1"/>
        <v>561.32000000000005</v>
      </c>
      <c r="AP29" vm="5996">
        <f ca="1"/>
        <v>557.85</v>
      </c>
      <c r="AQ29" vm="5997">
        <f ca="1"/>
        <v>554.52</v>
      </c>
      <c r="AR29" vm="5998">
        <f ca="1"/>
        <v>579.33000000000004</v>
      </c>
      <c r="AS29" vm="5999">
        <f ca="1"/>
        <v>593.46</v>
      </c>
      <c r="AT29" vm="6000">
        <f ca="1"/>
        <v>583.95000000000005</v>
      </c>
      <c r="AU29" vm="6001">
        <f ca="1"/>
        <v>575.13</v>
      </c>
      <c r="AV29" vm="6002">
        <f ca="1"/>
        <v>573.35</v>
      </c>
      <c r="AW29" vm="6003">
        <f ca="1"/>
        <v>588.47</v>
      </c>
      <c r="AX29" vm="6004">
        <f ca="1"/>
        <v>583.55999999999995</v>
      </c>
      <c r="AY29" vm="6005">
        <f ca="1"/>
        <v>587.65</v>
      </c>
      <c r="AZ29" vm="6006">
        <f ca="1"/>
        <v>601.66999999999996</v>
      </c>
      <c r="BA29" vm="6007">
        <f ca="1"/>
        <v>596.48</v>
      </c>
      <c r="BB29" vm="6008">
        <f ca="1"/>
        <v>602.91999999999996</v>
      </c>
      <c r="BC29" vm="6009">
        <f ca="1"/>
        <v>619.34</v>
      </c>
      <c r="BD29" vm="6010">
        <f ca="1"/>
        <v>615.83000000000004</v>
      </c>
      <c r="BE29" vm="6011">
        <f ca="1"/>
        <v>598.5</v>
      </c>
      <c r="BF29" vm="6012">
        <f ca="1"/>
        <v>597.69000000000005</v>
      </c>
      <c r="BG29" vm="6013">
        <f ca="1"/>
        <v>608.51</v>
      </c>
      <c r="BH29" vm="6014">
        <f ca="1"/>
        <v>604.82000000000005</v>
      </c>
      <c r="BI29" vm="6015">
        <f ca="1"/>
        <v>600.92999999999995</v>
      </c>
      <c r="BJ29" vm="6016">
        <f ca="1"/>
        <v>611.08000000000004</v>
      </c>
      <c r="BK29" vm="6017">
        <f ca="1"/>
        <v>609.45000000000005</v>
      </c>
      <c r="BL29" vm="6018">
        <f ca="1"/>
        <v>613.01</v>
      </c>
      <c r="BM29" vm="6019">
        <f ca="1"/>
        <v>605.88</v>
      </c>
      <c r="BN29" vm="6020">
        <f ca="1"/>
        <v>618.39</v>
      </c>
      <c r="BO29" vm="6021">
        <f ca="1"/>
        <v>620.74</v>
      </c>
      <c r="BP29" vm="6022">
        <f ca="1"/>
        <v>627.69000000000005</v>
      </c>
      <c r="BQ29" vm="6023">
        <f ca="1"/>
        <v>622.71</v>
      </c>
      <c r="BR29" vm="6024">
        <f ca="1"/>
        <v>628.01</v>
      </c>
      <c r="BS29" vm="6025">
        <f ca="1"/>
        <v>627.46</v>
      </c>
      <c r="BT29" vm="6026">
        <f ca="1"/>
        <v>629.24</v>
      </c>
      <c r="BU29" vm="6027">
        <f ca="1"/>
        <v>613.53</v>
      </c>
      <c r="BV29" vm="6028">
        <f ca="1"/>
        <v>607.33000000000004</v>
      </c>
      <c r="BW29" vm="6029">
        <f ca="1"/>
        <v>614.30999999999995</v>
      </c>
      <c r="BX29" vm="6030">
        <f ca="1"/>
        <v>614.21</v>
      </c>
      <c r="BY29" vm="6031">
        <f ca="1"/>
        <v>630.08000000000004</v>
      </c>
      <c r="BZ29" vm="6032">
        <f ca="1"/>
        <v>617.14</v>
      </c>
      <c r="CA29" vm="6033">
        <f ca="1"/>
        <v>636.17999999999995</v>
      </c>
      <c r="CB29" vm="6034">
        <f ca="1"/>
        <v>628.41</v>
      </c>
      <c r="CC29" vm="6035">
        <f ca="1"/>
        <v>618.20000000000005</v>
      </c>
      <c r="CD29" vm="6036">
        <f ca="1"/>
        <v>618.58000000000004</v>
      </c>
      <c r="CE29" vm="6037">
        <f ca="1"/>
        <v>628.78</v>
      </c>
      <c r="CF29" vm="6038">
        <f ca="1"/>
        <v>622.83000000000004</v>
      </c>
      <c r="CG29" vm="6039">
        <f ca="1"/>
        <v>607.15</v>
      </c>
      <c r="CH29" vm="6040">
        <f ca="1"/>
        <v>617.52</v>
      </c>
      <c r="CI29" vm="6041">
        <f ca="1"/>
        <v>613.69000000000005</v>
      </c>
      <c r="CJ29" vm="6042">
        <f ca="1"/>
        <v>610.55999999999995</v>
      </c>
      <c r="CK29" vm="6043">
        <f ca="1"/>
        <v>555.04</v>
      </c>
      <c r="CL29" vm="6044">
        <f ca="1"/>
        <v>554.6</v>
      </c>
      <c r="CM29" vm="6045">
        <f ca="1"/>
        <v>577.75</v>
      </c>
      <c r="CN29" vm="6046">
        <f ca="1"/>
        <v>555.12</v>
      </c>
      <c r="CO29" vm="6047">
        <f ca="1"/>
        <v>564.79999999999995</v>
      </c>
      <c r="CP29" vm="6048">
        <f ca="1"/>
        <v>561.23</v>
      </c>
      <c r="CQ29" vm="6049">
        <f ca="1"/>
        <v>559.49</v>
      </c>
      <c r="CR29" vm="6050">
        <f ca="1"/>
        <v>550.64</v>
      </c>
      <c r="CS29" vm="6051">
        <f ca="1"/>
        <v>551.71</v>
      </c>
      <c r="CT29" vm="6052">
        <f ca="1"/>
        <v>565.15</v>
      </c>
      <c r="CU29" vm="6053">
        <f ca="1"/>
        <v>579.34</v>
      </c>
      <c r="CV29" vm="6054">
        <f ca="1"/>
        <v>596.97</v>
      </c>
      <c r="CW29" vm="6055">
        <f ca="1"/>
        <v>606</v>
      </c>
      <c r="CX29" vm="6056">
        <f ca="1"/>
        <v>609.47</v>
      </c>
      <c r="CY29" vm="6057">
        <f ca="1"/>
        <v>612.09</v>
      </c>
      <c r="CZ29" vm="6058">
        <f ca="1"/>
        <v>610.87</v>
      </c>
      <c r="DA29" vm="6059">
        <f ca="1"/>
        <v>616.59</v>
      </c>
      <c r="DB29" vm="6060">
        <f ca="1"/>
        <v>613.66</v>
      </c>
      <c r="DC29" vm="6061">
        <f ca="1"/>
        <v>613.52</v>
      </c>
      <c r="DD29" vm="6062">
        <f ca="1"/>
        <v>610.52</v>
      </c>
      <c r="DE29" vm="6063">
        <f ca="1"/>
        <v>621.1</v>
      </c>
      <c r="DF29" vm="6064">
        <f ca="1"/>
        <v>640.82000000000005</v>
      </c>
      <c r="DG29" vm="6065">
        <f ca="1"/>
        <v>650.61</v>
      </c>
      <c r="DH29" vm="6066">
        <f ca="1"/>
        <v>640.47</v>
      </c>
      <c r="DI29" vm="6067">
        <f ca="1"/>
        <v>635.66999999999996</v>
      </c>
      <c r="DJ29" vm="6068">
        <f ca="1"/>
        <v>646.75</v>
      </c>
      <c r="DK29" vm="6069">
        <f ca="1"/>
        <v>649</v>
      </c>
      <c r="DL29" vm="6070">
        <f ca="1"/>
        <v>654.62</v>
      </c>
      <c r="DM29" vm="6071">
        <f ca="1"/>
        <v>647.66</v>
      </c>
      <c r="DN29" vm="6072">
        <f ca="1"/>
        <v>641.62</v>
      </c>
      <c r="DO29" vm="6073">
        <f ca="1"/>
        <v>633.79</v>
      </c>
      <c r="DP29" vm="6074">
        <f ca="1"/>
        <v>631.62</v>
      </c>
      <c r="DQ29" vm="6075">
        <f ca="1"/>
        <v>650.27</v>
      </c>
      <c r="DR29" vm="6076">
        <f ca="1"/>
        <v>648.52</v>
      </c>
      <c r="DS29" vm="6077">
        <f ca="1"/>
        <v>641.47</v>
      </c>
      <c r="DT29" vm="6078">
        <f ca="1"/>
        <v>644.5</v>
      </c>
      <c r="DU29" vm="6079">
        <f ca="1"/>
        <v>648.54999999999995</v>
      </c>
      <c r="DV29" vm="6080">
        <f ca="1"/>
        <v>650.05999999999995</v>
      </c>
      <c r="DW29" vm="6081">
        <f ca="1"/>
        <v>653.26</v>
      </c>
      <c r="DX29" vm="6082">
        <f ca="1"/>
        <v>669.38</v>
      </c>
      <c r="DY29" vm="6083">
        <f ca="1"/>
        <v>675.83</v>
      </c>
      <c r="DZ29" vm="6084">
        <f ca="1"/>
        <v>685.67</v>
      </c>
      <c r="EA29" vm="6085">
        <f ca="1"/>
        <v>679.03</v>
      </c>
      <c r="EB29" vm="6086">
        <f ca="1"/>
        <v>686.12</v>
      </c>
      <c r="EC29" vm="6087">
        <f ca="1"/>
        <v>669.02</v>
      </c>
      <c r="ED29" vm="6088">
        <f ca="1"/>
        <v>672.41</v>
      </c>
      <c r="EE29" vm="6089">
        <f ca="1"/>
        <v>677.69</v>
      </c>
      <c r="EF29" vm="6090">
        <f ca="1"/>
        <v>684.34</v>
      </c>
      <c r="EG29" vm="6091">
        <f ca="1"/>
        <v>674.88</v>
      </c>
      <c r="EH29" vm="6092">
        <f ca="1"/>
        <v>673.61</v>
      </c>
      <c r="EI29" vm="6093">
        <f ca="1"/>
        <v>679.58</v>
      </c>
      <c r="EJ29" vm="6094">
        <f ca="1"/>
        <v>682.51</v>
      </c>
      <c r="EK29" vm="6095">
        <f ca="1"/>
        <v>690.65</v>
      </c>
      <c r="EL29" vm="6096">
        <f ca="1"/>
        <v>685.74</v>
      </c>
      <c r="EM29" vm="6096">
        <f ca="1"/>
        <v>685.74</v>
      </c>
      <c r="EN29" vm="6097">
        <f ca="1"/>
        <v>677.65</v>
      </c>
      <c r="EO29" vm="6098">
        <f ca="1"/>
        <v>652.75</v>
      </c>
      <c r="EP29" vm="6099">
        <f ca="1"/>
        <v>647.6</v>
      </c>
      <c r="EQ29" vm="6100">
        <f ca="1"/>
        <v>656.45</v>
      </c>
      <c r="ER29" vm="6101">
        <f ca="1"/>
        <v>656.32</v>
      </c>
      <c r="ES29" vm="6102">
        <f ca="1"/>
        <v>647.46</v>
      </c>
      <c r="ET29" vm="6103">
        <f ca="1"/>
        <v>643.04</v>
      </c>
      <c r="EU29" vm="6104">
        <f ca="1"/>
        <v>633.34</v>
      </c>
      <c r="EV29" vm="6105">
        <f ca="1"/>
        <v>647.5</v>
      </c>
      <c r="EW29" vm="6106">
        <f ca="1"/>
        <v>642.76</v>
      </c>
      <c r="EX29" vm="6107">
        <f ca="1"/>
        <v>635.99</v>
      </c>
      <c r="EY29" vm="6108">
        <f ca="1"/>
        <v>634.09</v>
      </c>
      <c r="EZ29" vm="6109">
        <f ca="1"/>
        <v>631.37</v>
      </c>
      <c r="FA29" vm="6110">
        <f ca="1"/>
        <v>626.96</v>
      </c>
      <c r="FB29" vm="328">
        <f ca="1"/>
        <v>622.58000000000004</v>
      </c>
      <c r="FC29" vm="6111">
        <f ca="1"/>
        <v>628.35</v>
      </c>
      <c r="FD29" vm="6112">
        <f ca="1"/>
        <v>624.85</v>
      </c>
      <c r="FE29" vm="6113">
        <f ca="1"/>
        <v>613.64</v>
      </c>
      <c r="FF29" vm="6114">
        <f ca="1"/>
        <v>598.54999999999995</v>
      </c>
      <c r="FG29" vm="6115">
        <f ca="1"/>
        <v>609.57000000000005</v>
      </c>
      <c r="FH29" vm="6116">
        <f ca="1"/>
        <v>611.48</v>
      </c>
      <c r="FI29" vm="6117">
        <f ca="1"/>
        <v>630.35</v>
      </c>
      <c r="FJ29" vm="6118">
        <f ca="1"/>
        <v>633.94000000000005</v>
      </c>
      <c r="FK29" vm="6119">
        <f ca="1"/>
        <v>633.14</v>
      </c>
      <c r="FL29" vm="6120">
        <f ca="1"/>
        <v>648.02</v>
      </c>
      <c r="FM29" vm="6121">
        <f ca="1"/>
        <v>661.68</v>
      </c>
      <c r="FN29" vm="6122">
        <f ca="1"/>
        <v>663.22</v>
      </c>
      <c r="FO29" vm="6123">
        <f ca="1"/>
        <v>674.07</v>
      </c>
      <c r="FP29" vm="6124">
        <f ca="1"/>
        <v>688.53</v>
      </c>
      <c r="FQ29" vm="6125">
        <f ca="1"/>
        <v>698.54</v>
      </c>
      <c r="FR29" vm="6126">
        <f ca="1"/>
        <v>697.12</v>
      </c>
      <c r="FS29" vm="6127">
        <f ca="1"/>
        <v>688.96</v>
      </c>
      <c r="FT29" vm="6128">
        <f ca="1"/>
        <v>686.73</v>
      </c>
      <c r="FU29" vm="6129">
        <f ca="1"/>
        <v>688.44</v>
      </c>
      <c r="FV29" vm="6130">
        <f ca="1"/>
        <v>695.72</v>
      </c>
      <c r="FW29" vm="6131">
        <f ca="1"/>
        <v>683.84</v>
      </c>
      <c r="FX29" vm="6132">
        <f ca="1"/>
        <v>692.48</v>
      </c>
      <c r="FY29" vm="6133">
        <f ca="1"/>
        <v>701.35</v>
      </c>
      <c r="FZ29" vm="6134">
        <f ca="1"/>
        <v>675.32</v>
      </c>
      <c r="GA29" vm="6135">
        <f ca="1"/>
        <v>679.68</v>
      </c>
      <c r="GB29" vm="6136">
        <f ca="1"/>
        <v>683.62</v>
      </c>
      <c r="GC29" vm="6137">
        <f ca="1"/>
        <v>665.77</v>
      </c>
      <c r="GD29" vm="6138">
        <f ca="1"/>
        <v>675.42</v>
      </c>
      <c r="GE29" vm="6139">
        <f ca="1"/>
        <v>673.62</v>
      </c>
      <c r="GF29" vm="6140">
        <f ca="1"/>
        <v>681.47</v>
      </c>
      <c r="GG29" vm="6141">
        <f ca="1"/>
        <v>686.8</v>
      </c>
      <c r="GH29" vm="6142">
        <f ca="1"/>
        <v>697.06</v>
      </c>
      <c r="GI29" vm="6143">
        <f ca="1"/>
        <v>696.5</v>
      </c>
      <c r="GJ29" vm="6144">
        <f ca="1"/>
        <v>706.91</v>
      </c>
      <c r="GK29" vm="6145">
        <f ca="1"/>
        <v>690.47</v>
      </c>
      <c r="GL29" vm="6146">
        <f ca="1"/>
        <v>704.32</v>
      </c>
      <c r="GM29" vm="6147">
        <f ca="1"/>
        <v>701.03</v>
      </c>
      <c r="GN29" vm="6148">
        <f ca="1"/>
        <v>705.37</v>
      </c>
      <c r="GO29" vm="6149">
        <f ca="1"/>
        <v>722.26</v>
      </c>
      <c r="GP29" vm="6150">
        <f ca="1"/>
        <v>721.56</v>
      </c>
      <c r="GQ29" vm="6151">
        <f ca="1"/>
        <v>711.43</v>
      </c>
      <c r="GR29" vm="6152">
        <f ca="1"/>
        <v>707.35</v>
      </c>
      <c r="GS29" vm="6153">
        <f ca="1"/>
        <v>709.27</v>
      </c>
      <c r="GT29" vm="6154">
        <f ca="1"/>
        <v>706.13</v>
      </c>
      <c r="GU29" vm="6155">
        <f ca="1"/>
        <v>711.09</v>
      </c>
      <c r="GV29" vm="6156">
        <f ca="1"/>
        <v>706.8</v>
      </c>
      <c r="GW29" vm="6157">
        <f ca="1"/>
        <v>719.7</v>
      </c>
      <c r="GX29" vm="6158">
        <f ca="1"/>
        <v>701.92</v>
      </c>
      <c r="GY29" vm="6159">
        <f ca="1"/>
        <v>721.76</v>
      </c>
      <c r="GZ29" vm="6160">
        <f ca="1"/>
        <v>727.43</v>
      </c>
      <c r="HA29" vm="6161">
        <f ca="1"/>
        <v>730.29</v>
      </c>
      <c r="HB29" vm="6162">
        <f ca="1"/>
        <v>722.79</v>
      </c>
      <c r="HC29" vm="6163">
        <f ca="1"/>
        <v>713</v>
      </c>
      <c r="HD29" vm="6164">
        <f ca="1"/>
        <v>705.98</v>
      </c>
      <c r="HE29" vm="6165">
        <f ca="1"/>
        <v>702</v>
      </c>
      <c r="HF29" vm="6166">
        <f ca="1"/>
        <v>687.65</v>
      </c>
      <c r="HG29" vm="6167">
        <f ca="1"/>
        <v>763.89</v>
      </c>
      <c r="HH29" vm="6168">
        <f ca="1"/>
        <v>772.07</v>
      </c>
      <c r="HI29" vm="6169">
        <f ca="1"/>
        <v>764.24</v>
      </c>
      <c r="HJ29" vm="6170">
        <f ca="1"/>
        <v>749.29</v>
      </c>
      <c r="HK29" vm="6171">
        <f ca="1"/>
        <v>754.55</v>
      </c>
      <c r="HL29" vm="6172">
        <f ca="1"/>
        <v>754.68</v>
      </c>
      <c r="HM29" vm="6173">
        <f ca="1"/>
        <v>749.12</v>
      </c>
      <c r="HN29" vm="6174">
        <f ca="1"/>
        <v>759.44</v>
      </c>
      <c r="HO29" vm="6175">
        <f ca="1"/>
        <v>753.74</v>
      </c>
      <c r="HP29" vm="6176">
        <f ca="1"/>
        <v>756.03</v>
      </c>
      <c r="HQ29" vm="6177">
        <f ca="1"/>
        <v>756.1</v>
      </c>
      <c r="HR29" vm="6178">
        <f ca="1"/>
        <v>755.51</v>
      </c>
      <c r="HS29" vm="6179">
        <f ca="1"/>
        <v>763.91</v>
      </c>
      <c r="HT29" vm="6180">
        <f ca="1"/>
        <v>780.21</v>
      </c>
      <c r="HU29" vm="6181">
        <f ca="1"/>
        <v>796.54</v>
      </c>
      <c r="HV29" vm="6182">
        <f ca="1"/>
        <v>795.04</v>
      </c>
      <c r="HW29" vm="6183">
        <f ca="1"/>
        <v>805.44</v>
      </c>
      <c r="HX29" vm="6184">
        <f ca="1"/>
        <v>819.5</v>
      </c>
      <c r="HY29" vm="6185">
        <f ca="1"/>
        <v>830.47</v>
      </c>
      <c r="HZ29" vm="6186">
        <f ca="1"/>
        <v>837.26</v>
      </c>
      <c r="IA29" vm="6187">
        <f ca="1"/>
        <v>823.96</v>
      </c>
      <c r="IB29" vm="6188">
        <f ca="1"/>
        <v>847.05</v>
      </c>
      <c r="IC29" vm="6189">
        <f ca="1"/>
        <v>871.32</v>
      </c>
      <c r="ID29" vm="6190">
        <f ca="1"/>
        <v>883.85</v>
      </c>
      <c r="IE29" vm="6191">
        <f ca="1"/>
        <v>897.48</v>
      </c>
      <c r="IF29" vm="6192">
        <f ca="1"/>
        <v>897.79</v>
      </c>
      <c r="IG29" vm="6193">
        <f ca="1"/>
        <v>865.59</v>
      </c>
      <c r="IH29" vm="6194">
        <f ca="1"/>
        <v>872.6</v>
      </c>
      <c r="II29" vm="6195">
        <f ca="1"/>
        <v>877.34</v>
      </c>
      <c r="IJ29" vm="6196">
        <f ca="1"/>
        <v>886.81</v>
      </c>
      <c r="IK29" vm="6197">
        <f ca="1"/>
        <v>897.74</v>
      </c>
      <c r="IL29" vm="6198">
        <f ca="1"/>
        <v>902.17</v>
      </c>
      <c r="IM29" vm="6199">
        <f ca="1"/>
        <v>911.06</v>
      </c>
      <c r="IN29" vm="6200">
        <f ca="1"/>
        <v>917.87</v>
      </c>
      <c r="IO29" vm="6201">
        <f ca="1"/>
        <v>934.74</v>
      </c>
      <c r="IP29" vm="6202">
        <f ca="1"/>
        <v>913.69</v>
      </c>
      <c r="IQ29" vm="6203">
        <f ca="1"/>
        <v>913.35</v>
      </c>
    </row>
    <row r="30" spans="1:251">
      <c r="A30" cm="1" vm="3555">
        <f t="array" aca="1" ref="A30:IQ30" ca="1">TRANSPOSE(_xlfn.STOCKHISTORY(Table3[[#This Row],[Stock Name ]],TODAY()-365,TODAY(),0,0,1))</f>
        <v>119.64</v>
      </c>
      <c r="B30" vm="6204">
        <f ca="1"/>
        <v>121.17</v>
      </c>
      <c r="C30" vm="6205">
        <f ca="1"/>
        <v>121.02</v>
      </c>
      <c r="D30" vm="6206">
        <f ca="1"/>
        <v>121.55</v>
      </c>
      <c r="E30" vm="6207">
        <f ca="1"/>
        <v>121.14</v>
      </c>
      <c r="F30" vm="6208">
        <f ca="1"/>
        <v>122.64</v>
      </c>
      <c r="G30" vm="6209">
        <f ca="1"/>
        <v>121.43</v>
      </c>
      <c r="H30" vm="6210">
        <f ca="1"/>
        <v>122.53</v>
      </c>
      <c r="I30" vm="6211">
        <f ca="1"/>
        <v>108.04</v>
      </c>
      <c r="J30" vm="6212">
        <f ca="1"/>
        <v>108.02</v>
      </c>
      <c r="K30" vm="6213">
        <f ca="1"/>
        <v>107.13</v>
      </c>
      <c r="L30" vm="6214">
        <f ca="1"/>
        <v>108.82</v>
      </c>
      <c r="M30" vm="6215">
        <f ca="1"/>
        <v>108.57</v>
      </c>
      <c r="N30" vm="6216">
        <f ca="1"/>
        <v>106.55</v>
      </c>
      <c r="O30" vm="6217">
        <f ca="1"/>
        <v>104.04</v>
      </c>
      <c r="P30" vm="6218">
        <f ca="1"/>
        <v>102.3</v>
      </c>
      <c r="Q30" vm="5890">
        <f ca="1"/>
        <v>102.08</v>
      </c>
      <c r="R30" vm="6219">
        <f ca="1"/>
        <v>103.62</v>
      </c>
      <c r="S30" vm="6220">
        <f ca="1"/>
        <v>102.74</v>
      </c>
      <c r="T30" vm="6221">
        <f ca="1"/>
        <v>103.77</v>
      </c>
      <c r="U30" vm="6222">
        <f ca="1"/>
        <v>105.9</v>
      </c>
      <c r="V30" vm="6223">
        <f ca="1"/>
        <v>105.06</v>
      </c>
      <c r="W30" vm="6224">
        <f ca="1"/>
        <v>101.72</v>
      </c>
      <c r="X30" vm="6225">
        <f ca="1"/>
        <v>100.82</v>
      </c>
      <c r="Y30" vm="6226">
        <f ca="1"/>
        <v>100.94</v>
      </c>
      <c r="Z30" vm="6227">
        <f ca="1"/>
        <v>101.78</v>
      </c>
      <c r="AA30" vm="5887">
        <f ca="1"/>
        <v>100.56</v>
      </c>
      <c r="AB30" vm="6228">
        <f ca="1"/>
        <v>101.9</v>
      </c>
      <c r="AC30" vm="6229">
        <f ca="1"/>
        <v>100.76</v>
      </c>
      <c r="AD30" vm="6230">
        <f ca="1"/>
        <v>100.77</v>
      </c>
      <c r="AE30" vm="3509">
        <f ca="1"/>
        <v>102.75</v>
      </c>
      <c r="AF30" vm="6231">
        <f ca="1"/>
        <v>103.88</v>
      </c>
      <c r="AG30" vm="6232">
        <f ca="1"/>
        <v>104.18</v>
      </c>
      <c r="AH30" vm="5827">
        <f ca="1"/>
        <v>101.53</v>
      </c>
      <c r="AI30" vm="5873">
        <f ca="1"/>
        <v>101.76</v>
      </c>
      <c r="AJ30" vm="6233">
        <f ca="1"/>
        <v>100.71</v>
      </c>
      <c r="AK30" vm="6234">
        <f ca="1"/>
        <v>99.68</v>
      </c>
      <c r="AL30" vm="5857">
        <f ca="1"/>
        <v>102.61</v>
      </c>
      <c r="AM30" vm="6235">
        <f ca="1"/>
        <v>103.79</v>
      </c>
      <c r="AN30" vm="6221">
        <f ca="1"/>
        <v>103.77</v>
      </c>
      <c r="AO30" vm="6236">
        <f ca="1"/>
        <v>104.5</v>
      </c>
      <c r="AP30" vm="6237">
        <f ca="1"/>
        <v>107.18</v>
      </c>
      <c r="AQ30" vm="6238">
        <f ca="1"/>
        <v>105</v>
      </c>
      <c r="AR30" vm="6239">
        <f ca="1"/>
        <v>106.33</v>
      </c>
      <c r="AS30" vm="6240">
        <f ca="1"/>
        <v>106.05</v>
      </c>
      <c r="AT30" vm="6241">
        <f ca="1"/>
        <v>103.51</v>
      </c>
      <c r="AU30" vm="6242">
        <f ca="1"/>
        <v>103.3</v>
      </c>
      <c r="AV30" vm="6243">
        <f ca="1"/>
        <v>105.27</v>
      </c>
      <c r="AW30" vm="6244">
        <f ca="1"/>
        <v>105.08</v>
      </c>
      <c r="AX30" vm="6245">
        <f ca="1"/>
        <v>105.63</v>
      </c>
      <c r="AY30" vm="6246">
        <f ca="1"/>
        <v>104.54</v>
      </c>
      <c r="AZ30" vm="6247">
        <f ca="1"/>
        <v>105.15</v>
      </c>
      <c r="BA30" vm="6248">
        <f ca="1"/>
        <v>104.35</v>
      </c>
      <c r="BB30" vm="6249">
        <f ca="1"/>
        <v>103.93</v>
      </c>
      <c r="BC30" vm="6250">
        <f ca="1"/>
        <v>101.88</v>
      </c>
      <c r="BD30" vm="6251">
        <f ca="1"/>
        <v>99.54</v>
      </c>
      <c r="BE30" vm="6252">
        <f ca="1"/>
        <v>98.31</v>
      </c>
      <c r="BF30" vm="6253">
        <f ca="1"/>
        <v>97.63</v>
      </c>
      <c r="BG30" vm="6254">
        <f ca="1"/>
        <v>98.19</v>
      </c>
      <c r="BH30" vm="5852">
        <f ca="1"/>
        <v>99.16</v>
      </c>
      <c r="BI30" vm="6255">
        <f ca="1"/>
        <v>101.08</v>
      </c>
      <c r="BJ30" vm="6256">
        <f ca="1"/>
        <v>100.18</v>
      </c>
      <c r="BK30" vm="6257">
        <f ca="1"/>
        <v>101.36</v>
      </c>
      <c r="BL30" vm="6258">
        <f ca="1"/>
        <v>100.26</v>
      </c>
      <c r="BM30" vm="6259">
        <f ca="1"/>
        <v>99.64</v>
      </c>
      <c r="BN30" vm="6260">
        <f ca="1"/>
        <v>98.74</v>
      </c>
      <c r="BO30" vm="6261">
        <f ca="1"/>
        <v>99.96</v>
      </c>
      <c r="BP30" vm="6262">
        <f ca="1"/>
        <v>100.27</v>
      </c>
      <c r="BQ30" vm="6225">
        <f ca="1"/>
        <v>100.82</v>
      </c>
      <c r="BR30" vm="6263">
        <f ca="1"/>
        <v>93.86</v>
      </c>
      <c r="BS30" vm="6264">
        <f ca="1"/>
        <v>93.75</v>
      </c>
      <c r="BT30" vm="6265">
        <f ca="1"/>
        <v>92.58</v>
      </c>
      <c r="BU30" vm="6266">
        <f ca="1"/>
        <v>94.13</v>
      </c>
      <c r="BV30" vm="6267">
        <f ca="1"/>
        <v>93.98</v>
      </c>
      <c r="BW30" vm="5810">
        <f ca="1"/>
        <v>92.56</v>
      </c>
      <c r="BX30" vm="6268">
        <f ca="1"/>
        <v>90.95</v>
      </c>
      <c r="BY30" vm="6269">
        <f ca="1"/>
        <v>90.33</v>
      </c>
      <c r="BZ30" vm="6270">
        <f ca="1"/>
        <v>89.07</v>
      </c>
      <c r="CA30" vm="6271">
        <f ca="1"/>
        <v>88.84</v>
      </c>
      <c r="CB30" vm="6272">
        <f ca="1"/>
        <v>90</v>
      </c>
      <c r="CC30" vm="6273">
        <f ca="1"/>
        <v>91</v>
      </c>
      <c r="CD30" vm="6274">
        <f ca="1"/>
        <v>89</v>
      </c>
      <c r="CE30" vm="6275">
        <f ca="1"/>
        <v>92</v>
      </c>
      <c r="CF30" vm="6275">
        <f ca="1"/>
        <v>92</v>
      </c>
      <c r="CG30" vm="6276">
        <f ca="1"/>
        <v>93.1</v>
      </c>
      <c r="CH30" vm="6277">
        <f ca="1"/>
        <v>93.39</v>
      </c>
      <c r="CI30" vm="5879">
        <f ca="1"/>
        <v>94.84</v>
      </c>
      <c r="CJ30" vm="6278">
        <f ca="1"/>
        <v>95.74</v>
      </c>
      <c r="CK30" vm="6279">
        <f ca="1"/>
        <v>94.53</v>
      </c>
      <c r="CL30" vm="6280">
        <f ca="1"/>
        <v>94.19</v>
      </c>
      <c r="CM30" vm="6281">
        <f ca="1"/>
        <v>94.02</v>
      </c>
      <c r="CN30" vm="6282">
        <f ca="1"/>
        <v>94.64</v>
      </c>
      <c r="CO30" vm="6283">
        <f ca="1"/>
        <v>93.94</v>
      </c>
      <c r="CP30" vm="6284">
        <f ca="1"/>
        <v>94.12</v>
      </c>
      <c r="CQ30" vm="6285">
        <f ca="1"/>
        <v>94.06</v>
      </c>
      <c r="CR30" vm="2597">
        <f ca="1"/>
        <v>92.26</v>
      </c>
      <c r="CS30" vm="6286">
        <f ca="1"/>
        <v>90.34</v>
      </c>
      <c r="CT30" vm="5731">
        <f ca="1"/>
        <v>92.41</v>
      </c>
      <c r="CU30" vm="5738">
        <f ca="1"/>
        <v>92.15</v>
      </c>
      <c r="CV30" vm="6287">
        <f ca="1"/>
        <v>93.36</v>
      </c>
      <c r="CW30" vm="6288">
        <f ca="1"/>
        <v>93.78</v>
      </c>
      <c r="CX30" vm="6289">
        <f ca="1"/>
        <v>93.59</v>
      </c>
      <c r="CY30" vm="6277">
        <f ca="1"/>
        <v>93.39</v>
      </c>
      <c r="CZ30" vm="6290">
        <f ca="1"/>
        <v>90.94</v>
      </c>
      <c r="DA30" vm="6291">
        <f ca="1"/>
        <v>92.72</v>
      </c>
      <c r="DB30" vm="6292">
        <f ca="1"/>
        <v>92.79</v>
      </c>
      <c r="DC30" vm="6293">
        <f ca="1"/>
        <v>91.67</v>
      </c>
      <c r="DD30" vm="6294">
        <f ca="1"/>
        <v>91.77</v>
      </c>
      <c r="DE30" vm="6295">
        <f ca="1"/>
        <v>92.18</v>
      </c>
      <c r="DF30" vm="6294">
        <f ca="1"/>
        <v>91.77</v>
      </c>
      <c r="DG30" vm="6296">
        <f ca="1"/>
        <v>92.82</v>
      </c>
      <c r="DH30" vm="6297">
        <f ca="1"/>
        <v>92.5</v>
      </c>
      <c r="DI30" vm="6298">
        <f ca="1"/>
        <v>91.4</v>
      </c>
      <c r="DJ30" vm="6299">
        <f ca="1"/>
        <v>91.75</v>
      </c>
      <c r="DK30" vm="6275">
        <f ca="1"/>
        <v>92</v>
      </c>
      <c r="DL30" vm="6293">
        <f ca="1"/>
        <v>91.67</v>
      </c>
      <c r="DM30" vm="6300">
        <f ca="1"/>
        <v>93.45</v>
      </c>
      <c r="DN30" vm="6301">
        <f ca="1"/>
        <v>95.05</v>
      </c>
      <c r="DO30" vm="6302">
        <f ca="1"/>
        <v>94.4</v>
      </c>
      <c r="DP30" vm="6303">
        <f ca="1"/>
        <v>94.74</v>
      </c>
      <c r="DQ30" vm="6304">
        <f ca="1"/>
        <v>94.32</v>
      </c>
      <c r="DR30" vm="6305">
        <f ca="1"/>
        <v>95.72</v>
      </c>
      <c r="DS30" vm="6306">
        <f ca="1"/>
        <v>96.55</v>
      </c>
      <c r="DT30" vm="6307">
        <f ca="1"/>
        <v>96</v>
      </c>
      <c r="DU30" vm="2605">
        <f ca="1"/>
        <v>95.87</v>
      </c>
      <c r="DV30" vm="6308">
        <f ca="1"/>
        <v>93.68</v>
      </c>
      <c r="DW30" vm="6309">
        <f ca="1"/>
        <v>94.18</v>
      </c>
      <c r="DX30" vm="6277">
        <f ca="1"/>
        <v>93.39</v>
      </c>
      <c r="DY30" vm="6310">
        <f ca="1"/>
        <v>95</v>
      </c>
      <c r="DZ30" vm="6311">
        <f ca="1"/>
        <v>94.78</v>
      </c>
      <c r="EA30" vm="6312">
        <f ca="1"/>
        <v>95.57</v>
      </c>
      <c r="EB30" vm="6313">
        <f ca="1"/>
        <v>97.18</v>
      </c>
      <c r="EC30" vm="6314">
        <f ca="1"/>
        <v>97.17</v>
      </c>
      <c r="ED30" vm="6315">
        <f ca="1"/>
        <v>94.75</v>
      </c>
      <c r="EE30" vm="6285">
        <f ca="1"/>
        <v>94.06</v>
      </c>
      <c r="EF30" vm="6280">
        <f ca="1"/>
        <v>94.19</v>
      </c>
      <c r="EG30" vm="6316">
        <f ca="1"/>
        <v>75.37</v>
      </c>
      <c r="EH30" vm="6317">
        <f ca="1"/>
        <v>76.83</v>
      </c>
      <c r="EI30" vm="6318">
        <f ca="1"/>
        <v>76.040000000000006</v>
      </c>
      <c r="EJ30" vm="6319">
        <f ca="1"/>
        <v>75.239999999999995</v>
      </c>
      <c r="EK30" vm="6320">
        <f ca="1"/>
        <v>75.430000000000007</v>
      </c>
      <c r="EL30" vm="6321">
        <f ca="1"/>
        <v>73.05</v>
      </c>
      <c r="EM30" vm="6322">
        <f ca="1"/>
        <v>72.459999999999994</v>
      </c>
      <c r="EN30" vm="6323">
        <f ca="1"/>
        <v>72.540000000000006</v>
      </c>
      <c r="EO30" vm="6324">
        <f ca="1"/>
        <v>73.39</v>
      </c>
      <c r="EP30" vm="6325">
        <f ca="1"/>
        <v>73.42</v>
      </c>
      <c r="EQ30" vm="2476">
        <f ca="1"/>
        <v>71.31</v>
      </c>
      <c r="ER30" vm="6326">
        <f ca="1"/>
        <v>72.81</v>
      </c>
      <c r="ES30" vm="6327">
        <f ca="1"/>
        <v>73.069999999999993</v>
      </c>
      <c r="ET30" vm="2584">
        <f ca="1"/>
        <v>72.38</v>
      </c>
      <c r="EU30" vm="6328">
        <f ca="1"/>
        <v>72.7</v>
      </c>
      <c r="EV30" vm="6329">
        <f ca="1"/>
        <v>74.86</v>
      </c>
      <c r="EW30" vm="6330">
        <f ca="1"/>
        <v>73.400000000000006</v>
      </c>
      <c r="EX30" vm="6331">
        <f ca="1"/>
        <v>71.09</v>
      </c>
      <c r="EY30" vm="6332">
        <f ca="1"/>
        <v>71.41</v>
      </c>
      <c r="EZ30" vm="6333">
        <f ca="1"/>
        <v>72.56</v>
      </c>
      <c r="FA30" vm="6334">
        <f ca="1"/>
        <v>73.55</v>
      </c>
      <c r="FB30" vm="6335">
        <f ca="1"/>
        <v>74.319999999999993</v>
      </c>
      <c r="FC30" vm="6329">
        <f ca="1"/>
        <v>74.86</v>
      </c>
      <c r="FD30" vm="6336">
        <f ca="1"/>
        <v>73.849999999999994</v>
      </c>
      <c r="FE30" vm="6337">
        <f ca="1"/>
        <v>74.010000000000005</v>
      </c>
      <c r="FF30" vm="3209">
        <f ca="1"/>
        <v>71.42</v>
      </c>
      <c r="FG30" vm="3213">
        <f ca="1"/>
        <v>72.5</v>
      </c>
      <c r="FH30" vm="6338">
        <f ca="1"/>
        <v>72.62</v>
      </c>
      <c r="FI30" vm="6339">
        <f ca="1"/>
        <v>74.19</v>
      </c>
      <c r="FJ30" vm="6340">
        <f ca="1"/>
        <v>74.34</v>
      </c>
      <c r="FK30" vm="6341">
        <f ca="1"/>
        <v>74.64</v>
      </c>
      <c r="FL30" vm="6342">
        <f ca="1"/>
        <v>78.5</v>
      </c>
      <c r="FM30" vm="6343">
        <f ca="1"/>
        <v>78.52</v>
      </c>
      <c r="FN30" vm="6344">
        <f ca="1"/>
        <v>82.5</v>
      </c>
      <c r="FO30" vm="6345">
        <f ca="1"/>
        <v>83.23</v>
      </c>
      <c r="FP30" vm="6346">
        <f ca="1"/>
        <v>83.28</v>
      </c>
      <c r="FQ30" vm="6347">
        <f ca="1"/>
        <v>83.56</v>
      </c>
      <c r="FR30" vm="5763">
        <f ca="1"/>
        <v>84</v>
      </c>
      <c r="FS30" vm="6348">
        <f ca="1"/>
        <v>83.41</v>
      </c>
      <c r="FT30" vm="2443">
        <f ca="1"/>
        <v>84.05</v>
      </c>
      <c r="FU30" vm="6349">
        <f ca="1"/>
        <v>84.28</v>
      </c>
      <c r="FV30" vm="6350">
        <f ca="1"/>
        <v>85.29</v>
      </c>
      <c r="FW30" vm="6351">
        <f ca="1"/>
        <v>82.79</v>
      </c>
      <c r="FX30" vm="6352">
        <f ca="1"/>
        <v>83.26</v>
      </c>
      <c r="FY30" vm="6353">
        <f ca="1"/>
        <v>83.32</v>
      </c>
      <c r="FZ30" vm="6354">
        <f ca="1"/>
        <v>81.319999999999993</v>
      </c>
      <c r="GA30" vm="6355">
        <f ca="1"/>
        <v>81.02</v>
      </c>
      <c r="GB30" vm="6356">
        <f ca="1"/>
        <v>80.83</v>
      </c>
      <c r="GC30" vm="6357">
        <f ca="1"/>
        <v>80.63</v>
      </c>
      <c r="GD30" vm="6358">
        <f ca="1"/>
        <v>79.489999999999995</v>
      </c>
      <c r="GE30" vm="6359">
        <f ca="1"/>
        <v>78.09</v>
      </c>
      <c r="GF30" vm="6360">
        <f ca="1"/>
        <v>78.400000000000006</v>
      </c>
      <c r="GG30" vm="6360">
        <f ca="1"/>
        <v>78.400000000000006</v>
      </c>
      <c r="GH30" vm="6361">
        <f ca="1"/>
        <v>79.010000000000005</v>
      </c>
      <c r="GI30" vm="6362">
        <f ca="1"/>
        <v>79.8</v>
      </c>
      <c r="GJ30" vm="6363">
        <f ca="1"/>
        <v>80.64</v>
      </c>
      <c r="GK30" vm="6364">
        <f ca="1"/>
        <v>80.900000000000006</v>
      </c>
      <c r="GL30" vm="6365">
        <f ca="1"/>
        <v>80.98</v>
      </c>
      <c r="GM30" vm="6366">
        <f ca="1"/>
        <v>86.52</v>
      </c>
      <c r="GN30" vm="6367">
        <f ca="1"/>
        <v>86.2</v>
      </c>
      <c r="GO30" vm="6368">
        <f ca="1"/>
        <v>87.46</v>
      </c>
      <c r="GP30" vm="6369">
        <f ca="1"/>
        <v>88</v>
      </c>
      <c r="GQ30" vm="6370">
        <f ca="1"/>
        <v>89.39</v>
      </c>
      <c r="GR30" vm="6371">
        <f ca="1"/>
        <v>89.44</v>
      </c>
      <c r="GS30" vm="6372">
        <f ca="1"/>
        <v>88.4</v>
      </c>
      <c r="GT30" vm="5775">
        <f ca="1"/>
        <v>89.13</v>
      </c>
      <c r="GU30" vm="6373">
        <f ca="1"/>
        <v>83.1</v>
      </c>
      <c r="GV30" vm="6374">
        <f ca="1"/>
        <v>82.1</v>
      </c>
      <c r="GW30" vm="6375">
        <f ca="1"/>
        <v>82.25</v>
      </c>
      <c r="GX30" vm="6356">
        <f ca="1"/>
        <v>80.83</v>
      </c>
      <c r="GY30" vm="2444">
        <f ca="1"/>
        <v>80.77</v>
      </c>
      <c r="GZ30" vm="6376">
        <f ca="1"/>
        <v>82.45</v>
      </c>
      <c r="HA30" vm="6374">
        <f ca="1"/>
        <v>82.1</v>
      </c>
      <c r="HB30" vm="6377">
        <f ca="1"/>
        <v>82.15</v>
      </c>
      <c r="HC30" vm="6378">
        <f ca="1"/>
        <v>81.599999999999994</v>
      </c>
      <c r="HD30" vm="6379">
        <f ca="1"/>
        <v>82.12</v>
      </c>
      <c r="HE30" vm="6380">
        <f ca="1"/>
        <v>83.94</v>
      </c>
      <c r="HF30" vm="2588">
        <f ca="1"/>
        <v>83.4</v>
      </c>
      <c r="HG30" vm="6381">
        <f ca="1"/>
        <v>82.92</v>
      </c>
      <c r="HH30" vm="6382">
        <f ca="1"/>
        <v>81.48</v>
      </c>
      <c r="HI30" vm="6383">
        <f ca="1"/>
        <v>81.42</v>
      </c>
      <c r="HJ30" vm="6384">
        <f ca="1"/>
        <v>80.05</v>
      </c>
      <c r="HK30" vm="6385">
        <f ca="1"/>
        <v>79.040000000000006</v>
      </c>
      <c r="HL30" vm="6386">
        <f ca="1"/>
        <v>78.849999999999994</v>
      </c>
      <c r="HM30" vm="6387">
        <f ca="1"/>
        <v>78.91</v>
      </c>
      <c r="HN30" vm="6360">
        <f ca="1"/>
        <v>78.400000000000006</v>
      </c>
      <c r="HO30" vm="6388">
        <f ca="1"/>
        <v>76.45</v>
      </c>
      <c r="HP30" vm="6389">
        <f ca="1"/>
        <v>77.13</v>
      </c>
      <c r="HQ30" vm="6390">
        <f ca="1"/>
        <v>78.06</v>
      </c>
      <c r="HR30" vm="6391">
        <f ca="1"/>
        <v>77.19</v>
      </c>
      <c r="HS30" vm="6392">
        <f ca="1"/>
        <v>77.98</v>
      </c>
      <c r="HT30" vm="6393">
        <f ca="1"/>
        <v>75.319999999999993</v>
      </c>
      <c r="HU30" vm="6394">
        <f ca="1"/>
        <v>75.92</v>
      </c>
      <c r="HV30" vm="6395">
        <f ca="1"/>
        <v>75.88</v>
      </c>
      <c r="HW30" vm="6396">
        <f ca="1"/>
        <v>76.599999999999994</v>
      </c>
      <c r="HX30" vm="6397">
        <f ca="1"/>
        <v>76.66</v>
      </c>
      <c r="HY30" vm="6398">
        <f ca="1"/>
        <v>76.52</v>
      </c>
      <c r="HZ30" vm="6399">
        <f ca="1"/>
        <v>75.680000000000007</v>
      </c>
      <c r="IA30" vm="6397">
        <f ca="1"/>
        <v>76.66</v>
      </c>
      <c r="IB30" vm="6400">
        <f ca="1"/>
        <v>74.89</v>
      </c>
      <c r="IC30" vm="2574">
        <f ca="1"/>
        <v>73.91</v>
      </c>
      <c r="ID30" vm="6401">
        <f ca="1"/>
        <v>73.36</v>
      </c>
      <c r="IE30" vm="6402">
        <f ca="1"/>
        <v>75.099999999999994</v>
      </c>
      <c r="IF30" vm="6403">
        <f ca="1"/>
        <v>77.400000000000006</v>
      </c>
      <c r="IG30" vm="6404">
        <f ca="1"/>
        <v>79.260000000000005</v>
      </c>
      <c r="IH30" vm="6405">
        <f ca="1"/>
        <v>77.61</v>
      </c>
      <c r="II30" vm="6406">
        <f ca="1"/>
        <v>78.34</v>
      </c>
      <c r="IJ30" vm="6407">
        <f ca="1"/>
        <v>78.77</v>
      </c>
      <c r="IK30" vm="6408">
        <f ca="1"/>
        <v>79.09</v>
      </c>
      <c r="IL30" vm="6409">
        <f ca="1"/>
        <v>78.86</v>
      </c>
      <c r="IM30" vm="6410">
        <f ca="1"/>
        <v>78.37</v>
      </c>
      <c r="IN30" vm="6411">
        <f ca="1"/>
        <v>78.58</v>
      </c>
      <c r="IO30" vm="6412">
        <f ca="1"/>
        <v>78.89</v>
      </c>
      <c r="IP30" vm="2585">
        <f ca="1"/>
        <v>77.64</v>
      </c>
      <c r="IQ30" vm="6413">
        <f ca="1"/>
        <v>76.739999999999995</v>
      </c>
    </row>
    <row r="31" spans="1:251">
      <c r="A31" cm="1" vm="6414">
        <f t="array" aca="1" ref="A31:IQ31" ca="1">TRANSPOSE(_xlfn.STOCKHISTORY(Table3[[#This Row],[Stock Name ]],TODAY()-365,TODAY(),0,0,1))</f>
        <v>47.656999999999996</v>
      </c>
      <c r="B31" vm="6415">
        <f ca="1"/>
        <v>48.088000000000001</v>
      </c>
      <c r="C31" vm="2875">
        <f ca="1"/>
        <v>48.35</v>
      </c>
      <c r="D31" vm="3713">
        <f ca="1"/>
        <v>48.89</v>
      </c>
      <c r="E31" vm="6416">
        <f ca="1"/>
        <v>50.076999999999998</v>
      </c>
      <c r="F31" vm="6417">
        <f ca="1"/>
        <v>49.603999999999999</v>
      </c>
      <c r="G31" vm="6418">
        <f ca="1"/>
        <v>48.110999999999997</v>
      </c>
      <c r="H31" vm="6419">
        <f ca="1"/>
        <v>48.99</v>
      </c>
      <c r="I31" vm="6420">
        <f ca="1"/>
        <v>48.83</v>
      </c>
      <c r="J31" vm="6421">
        <f ca="1"/>
        <v>49.279000000000003</v>
      </c>
      <c r="K31" vm="6422">
        <f ca="1"/>
        <v>49.417000000000002</v>
      </c>
      <c r="L31" vm="6423">
        <f ca="1"/>
        <v>49.521999999999998</v>
      </c>
      <c r="M31" vm="6423">
        <f ca="1"/>
        <v>49.521999999999998</v>
      </c>
      <c r="N31" vm="6424">
        <f ca="1"/>
        <v>48.167999999999999</v>
      </c>
      <c r="O31" vm="6425">
        <f ca="1"/>
        <v>47.569000000000003</v>
      </c>
      <c r="P31" vm="6426">
        <f ca="1"/>
        <v>47.997999999999998</v>
      </c>
      <c r="Q31" vm="6427">
        <f ca="1"/>
        <v>49.097000000000001</v>
      </c>
      <c r="R31" vm="6428">
        <f ca="1"/>
        <v>52.253</v>
      </c>
      <c r="S31" vm="6429">
        <f ca="1"/>
        <v>53.14</v>
      </c>
      <c r="T31" vm="3045">
        <f ca="1"/>
        <v>54.35</v>
      </c>
      <c r="U31" vm="6430">
        <f ca="1"/>
        <v>54.822000000000003</v>
      </c>
      <c r="V31" vm="6431">
        <f ca="1"/>
        <v>54.71</v>
      </c>
      <c r="W31" vm="6432">
        <f ca="1"/>
        <v>56.381999999999998</v>
      </c>
      <c r="X31" vm="6433">
        <f ca="1"/>
        <v>56.052999999999997</v>
      </c>
      <c r="Y31" vm="6434">
        <f ca="1"/>
        <v>57.106999999999999</v>
      </c>
      <c r="Z31" vm="6435">
        <f ca="1"/>
        <v>59.491</v>
      </c>
      <c r="AA31" vm="6436">
        <f ca="1"/>
        <v>59.654000000000003</v>
      </c>
      <c r="AB31" vm="6437">
        <f ca="1"/>
        <v>59.872999999999998</v>
      </c>
      <c r="AC31" vm="6438">
        <f ca="1"/>
        <v>61.362000000000002</v>
      </c>
      <c r="AD31" vm="6439">
        <f ca="1"/>
        <v>61.616999999999997</v>
      </c>
      <c r="AE31" vm="6440">
        <f ca="1"/>
        <v>61.030999999999999</v>
      </c>
      <c r="AF31" vm="6441">
        <f ca="1"/>
        <v>62.465000000000003</v>
      </c>
      <c r="AG31" vm="6442">
        <f ca="1"/>
        <v>62.774000000000001</v>
      </c>
      <c r="AH31" vm="6443">
        <f ca="1"/>
        <v>61.527000000000001</v>
      </c>
      <c r="AI31" vm="6444">
        <f ca="1"/>
        <v>63.027000000000001</v>
      </c>
      <c r="AJ31" vm="6445">
        <f ca="1"/>
        <v>66.16</v>
      </c>
      <c r="AK31" vm="6446">
        <f ca="1"/>
        <v>69.331999999999994</v>
      </c>
      <c r="AL31" vm="6447">
        <f ca="1"/>
        <v>68.222999999999999</v>
      </c>
      <c r="AM31" vm="6448">
        <f ca="1"/>
        <v>70.099000000000004</v>
      </c>
      <c r="AN31" vm="6449">
        <f ca="1"/>
        <v>69.641000000000005</v>
      </c>
      <c r="AO31" vm="6450">
        <f ca="1"/>
        <v>72.132999999999996</v>
      </c>
      <c r="AP31" vm="6451">
        <f ca="1"/>
        <v>72.248000000000005</v>
      </c>
      <c r="AQ31" vm="6452">
        <f ca="1"/>
        <v>72.128</v>
      </c>
      <c r="AR31" vm="6453">
        <f ca="1"/>
        <v>73.900000000000006</v>
      </c>
      <c r="AS31" vm="6454">
        <f ca="1"/>
        <v>72.658000000000001</v>
      </c>
      <c r="AT31" vm="6455">
        <f ca="1"/>
        <v>72.613</v>
      </c>
      <c r="AU31" vm="6456">
        <f ca="1"/>
        <v>69.451999999999998</v>
      </c>
      <c r="AV31" vm="6457">
        <f ca="1"/>
        <v>67.471999999999994</v>
      </c>
      <c r="AW31" vm="6458">
        <f ca="1"/>
        <v>78.537999999999997</v>
      </c>
      <c r="AX31" vm="6459">
        <f ca="1"/>
        <v>78.816999999999993</v>
      </c>
      <c r="AY31" vm="6460">
        <f ca="1"/>
        <v>79.091999999999999</v>
      </c>
      <c r="AZ31" vm="6461">
        <f ca="1"/>
        <v>78.700999999999993</v>
      </c>
      <c r="BA31" vm="6462">
        <f ca="1"/>
        <v>77.662999999999997</v>
      </c>
      <c r="BB31" vm="6463">
        <f ca="1"/>
        <v>79.111999999999995</v>
      </c>
      <c r="BC31" vm="6464">
        <f ca="1"/>
        <v>82.278999999999996</v>
      </c>
      <c r="BD31" vm="6465">
        <f ca="1"/>
        <v>85.236999999999995</v>
      </c>
      <c r="BE31" vm="6466">
        <f ca="1"/>
        <v>85.963999999999999</v>
      </c>
      <c r="BF31" vm="6467">
        <f ca="1"/>
        <v>88.7</v>
      </c>
      <c r="BG31" vm="6468">
        <f ca="1"/>
        <v>92.668999999999997</v>
      </c>
      <c r="BH31" vm="6469">
        <f ca="1"/>
        <v>87.528000000000006</v>
      </c>
      <c r="BI31" vm="6470">
        <f ca="1"/>
        <v>85.774000000000001</v>
      </c>
      <c r="BJ31" vm="6471">
        <f ca="1"/>
        <v>91.912999999999997</v>
      </c>
      <c r="BK31" vm="6472">
        <f ca="1"/>
        <v>90.888000000000005</v>
      </c>
      <c r="BL31" vm="6473">
        <f ca="1"/>
        <v>87.944000000000003</v>
      </c>
      <c r="BM31" vm="6474">
        <f ca="1"/>
        <v>87.836500000000001</v>
      </c>
      <c r="BN31" vm="6475">
        <f ca="1"/>
        <v>88.454999999999998</v>
      </c>
      <c r="BO31" vm="6476">
        <f ca="1"/>
        <v>89.397999999999996</v>
      </c>
      <c r="BP31" vm="6477">
        <f ca="1"/>
        <v>90.372</v>
      </c>
      <c r="BQ31" vm="6478">
        <f ca="1"/>
        <v>91.435000000000002</v>
      </c>
      <c r="BR31" vm="6479">
        <f ca="1"/>
        <v>94.289000000000001</v>
      </c>
      <c r="BS31" vm="6480">
        <f ca="1"/>
        <v>95.001999999999995</v>
      </c>
      <c r="BT31" vm="6481">
        <f ca="1"/>
        <v>92.561000000000007</v>
      </c>
      <c r="BU31" vm="6482">
        <f ca="1"/>
        <v>90.25</v>
      </c>
      <c r="BV31" vm="6483">
        <f ca="1"/>
        <v>90.355999999999995</v>
      </c>
      <c r="BW31" vm="6484">
        <f ca="1"/>
        <v>90.363</v>
      </c>
      <c r="BX31" vm="6485">
        <f ca="1"/>
        <v>89.451999999999998</v>
      </c>
      <c r="BY31" vm="6486">
        <f ca="1"/>
        <v>88.963999999999999</v>
      </c>
      <c r="BZ31" vm="6487">
        <f ca="1"/>
        <v>85.905000000000001</v>
      </c>
      <c r="CA31" vm="6488">
        <f ca="1"/>
        <v>88.007999999999996</v>
      </c>
      <c r="CB31" vm="6489">
        <f ca="1"/>
        <v>87.132999999999996</v>
      </c>
      <c r="CC31" vm="6490">
        <f ca="1"/>
        <v>85.353999999999999</v>
      </c>
      <c r="CD31" vm="6491">
        <f ca="1"/>
        <v>87.039000000000001</v>
      </c>
      <c r="CE31" vm="6492">
        <f ca="1"/>
        <v>90.616</v>
      </c>
      <c r="CF31" vm="6493">
        <f ca="1"/>
        <v>88.186000000000007</v>
      </c>
      <c r="CG31" vm="6494">
        <f ca="1"/>
        <v>86.001000000000005</v>
      </c>
      <c r="CH31" vm="6495">
        <f ca="1"/>
        <v>87.415000000000006</v>
      </c>
      <c r="CI31" vm="6496">
        <f ca="1"/>
        <v>84.034999999999997</v>
      </c>
      <c r="CJ31" vm="6497">
        <f ca="1"/>
        <v>84.671000000000006</v>
      </c>
      <c r="CK31" vm="6498">
        <f ca="1"/>
        <v>76.2</v>
      </c>
      <c r="CL31" vm="6499">
        <f ca="1"/>
        <v>79.518000000000001</v>
      </c>
      <c r="CM31" vm="6500">
        <f ca="1"/>
        <v>82.423000000000002</v>
      </c>
      <c r="CN31" vm="6501">
        <f ca="1"/>
        <v>79.677000000000007</v>
      </c>
      <c r="CO31" vm="6502">
        <f ca="1"/>
        <v>82.632000000000005</v>
      </c>
      <c r="CP31" vm="6503">
        <f ca="1"/>
        <v>87.734999999999999</v>
      </c>
      <c r="CQ31" vm="6504">
        <f ca="1"/>
        <v>87.757000000000005</v>
      </c>
      <c r="CR31" vm="6505">
        <f ca="1"/>
        <v>86.402000000000001</v>
      </c>
      <c r="CS31" vm="6506">
        <f ca="1"/>
        <v>83.040999999999997</v>
      </c>
      <c r="CT31" vm="6507">
        <f ca="1"/>
        <v>85.816999999999993</v>
      </c>
      <c r="CU31" vm="6508">
        <f ca="1"/>
        <v>88.789000000000001</v>
      </c>
      <c r="CV31" vm="6509">
        <f ca="1"/>
        <v>92.14</v>
      </c>
      <c r="CW31" vm="6510">
        <f ca="1"/>
        <v>90.554000000000002</v>
      </c>
      <c r="CX31" vm="6511">
        <f ca="1"/>
        <v>90.412000000000006</v>
      </c>
      <c r="CY31" vm="6512">
        <f ca="1"/>
        <v>88.747</v>
      </c>
      <c r="CZ31" vm="6513">
        <f ca="1"/>
        <v>89.878</v>
      </c>
      <c r="DA31" vm="6514">
        <f ca="1"/>
        <v>90.399000000000001</v>
      </c>
      <c r="DB31" vm="6515">
        <f ca="1"/>
        <v>91.355999999999995</v>
      </c>
      <c r="DC31" vm="5877">
        <f ca="1"/>
        <v>94.63</v>
      </c>
      <c r="DD31" vm="6516">
        <f ca="1"/>
        <v>94.358999999999995</v>
      </c>
      <c r="DE31" vm="6517">
        <f ca="1"/>
        <v>92.478999999999999</v>
      </c>
      <c r="DF31" vm="6311">
        <f ca="1"/>
        <v>94.78</v>
      </c>
      <c r="DG31" vm="6518">
        <f ca="1"/>
        <v>95.385999999999996</v>
      </c>
      <c r="DH31" vm="6519">
        <f ca="1"/>
        <v>94.95</v>
      </c>
      <c r="DI31" vm="6520">
        <f ca="1"/>
        <v>103.79900000000001</v>
      </c>
      <c r="DJ31" vm="6521">
        <f ca="1"/>
        <v>106.46899999999999</v>
      </c>
      <c r="DK31" vm="6522">
        <f ca="1"/>
        <v>113.901</v>
      </c>
      <c r="DL31" vm="6523">
        <f ca="1"/>
        <v>114.825</v>
      </c>
      <c r="DM31" vm="6524">
        <f ca="1"/>
        <v>110.5</v>
      </c>
      <c r="DN31" vm="6525">
        <f ca="1"/>
        <v>109.633</v>
      </c>
      <c r="DO31" vm="6526">
        <f ca="1"/>
        <v>115</v>
      </c>
      <c r="DP31" vm="6527">
        <f ca="1"/>
        <v>116.437</v>
      </c>
      <c r="DQ31" vm="6528">
        <f ca="1"/>
        <v>122.44</v>
      </c>
      <c r="DR31" vm="6529">
        <f ca="1"/>
        <v>120.998</v>
      </c>
      <c r="DS31" vm="6530">
        <f ca="1"/>
        <v>120.88800000000001</v>
      </c>
      <c r="DT31" vm="3543">
        <f ca="1"/>
        <v>121.79</v>
      </c>
      <c r="DU31" vm="6531">
        <f ca="1"/>
        <v>120.91</v>
      </c>
      <c r="DV31" vm="6532">
        <f ca="1"/>
        <v>125.2</v>
      </c>
      <c r="DW31" vm="6533">
        <f ca="1"/>
        <v>129.61000000000001</v>
      </c>
      <c r="DX31" vm="6534">
        <f ca="1"/>
        <v>131.88</v>
      </c>
      <c r="DY31" vm="6535">
        <f ca="1"/>
        <v>130.97999999999999</v>
      </c>
      <c r="DZ31" vm="6536">
        <f ca="1"/>
        <v>135.58000000000001</v>
      </c>
      <c r="EA31" vm="6537">
        <f ca="1"/>
        <v>130.78</v>
      </c>
      <c r="EB31" vm="6538">
        <f ca="1"/>
        <v>126.57</v>
      </c>
      <c r="EC31" vm="6539">
        <f ca="1"/>
        <v>118.11</v>
      </c>
      <c r="ED31" vm="6540">
        <f ca="1"/>
        <v>126.09</v>
      </c>
      <c r="EE31" vm="6541">
        <f ca="1"/>
        <v>126.4</v>
      </c>
      <c r="EF31" vm="6542">
        <f ca="1"/>
        <v>123.99</v>
      </c>
      <c r="EG31" vm="6543">
        <f ca="1"/>
        <v>123.54</v>
      </c>
      <c r="EH31" vm="6544">
        <f ca="1"/>
        <v>124.3</v>
      </c>
      <c r="EI31" vm="6545">
        <f ca="1"/>
        <v>122.67</v>
      </c>
      <c r="EJ31" vm="6546">
        <f ca="1"/>
        <v>128.28</v>
      </c>
      <c r="EK31" vm="6547">
        <f ca="1"/>
        <v>125.83</v>
      </c>
      <c r="EL31" vm="6548">
        <f ca="1"/>
        <v>128.19999999999999</v>
      </c>
      <c r="EM31" vm="6549">
        <f ca="1"/>
        <v>131.38</v>
      </c>
      <c r="EN31" vm="6550">
        <f ca="1"/>
        <v>134.91</v>
      </c>
      <c r="EO31" vm="6551">
        <f ca="1"/>
        <v>127.4</v>
      </c>
      <c r="EP31" vm="6552">
        <f ca="1"/>
        <v>129.24</v>
      </c>
      <c r="EQ31" vm="5935">
        <f ca="1"/>
        <v>128.44</v>
      </c>
      <c r="ER31" vm="6553">
        <f ca="1"/>
        <v>126.36</v>
      </c>
      <c r="ES31" vm="6554">
        <f ca="1"/>
        <v>117.99</v>
      </c>
      <c r="ET31" vm="6555">
        <f ca="1"/>
        <v>121.09</v>
      </c>
      <c r="EU31" vm="6556">
        <f ca="1"/>
        <v>117.93</v>
      </c>
      <c r="EV31" vm="6543">
        <f ca="1"/>
        <v>123.54</v>
      </c>
      <c r="EW31" vm="6557">
        <f ca="1"/>
        <v>122.59</v>
      </c>
      <c r="EX31" vm="6558">
        <f ca="1"/>
        <v>114.25</v>
      </c>
      <c r="EY31" vm="5920">
        <f ca="1"/>
        <v>112.28</v>
      </c>
      <c r="EZ31" vm="6559">
        <f ca="1"/>
        <v>113.06</v>
      </c>
      <c r="FA31" vm="6560">
        <f ca="1"/>
        <v>111.59</v>
      </c>
      <c r="FB31" vm="3508">
        <f ca="1"/>
        <v>103.73</v>
      </c>
      <c r="FC31" vm="6561">
        <f ca="1"/>
        <v>117.02</v>
      </c>
      <c r="FD31" vm="6562">
        <f ca="1"/>
        <v>109.21</v>
      </c>
      <c r="FE31" vm="6563">
        <f ca="1"/>
        <v>107.27</v>
      </c>
      <c r="FF31" vm="6564">
        <f ca="1"/>
        <v>100.45</v>
      </c>
      <c r="FG31" vm="3512">
        <f ca="1"/>
        <v>104.25</v>
      </c>
      <c r="FH31" vm="6565">
        <f ca="1"/>
        <v>98.91</v>
      </c>
      <c r="FI31" vm="6566">
        <f ca="1"/>
        <v>104.97</v>
      </c>
      <c r="FJ31" vm="6567">
        <f ca="1"/>
        <v>104.75</v>
      </c>
      <c r="FK31" vm="3522">
        <f ca="1"/>
        <v>109.02</v>
      </c>
      <c r="FL31" vm="5932">
        <f ca="1"/>
        <v>116.14</v>
      </c>
      <c r="FM31" vm="6568">
        <f ca="1"/>
        <v>118.08</v>
      </c>
      <c r="FN31" vm="6569">
        <f ca="1"/>
        <v>122.86</v>
      </c>
      <c r="FO31" vm="6570">
        <f ca="1"/>
        <v>124.58</v>
      </c>
      <c r="FP31" vm="6571">
        <f ca="1"/>
        <v>130</v>
      </c>
      <c r="FQ31" vm="6572">
        <f ca="1"/>
        <v>127.25</v>
      </c>
      <c r="FR31" vm="6573">
        <f ca="1"/>
        <v>128.5</v>
      </c>
      <c r="FS31" vm="6574">
        <f ca="1"/>
        <v>123.74</v>
      </c>
      <c r="FT31" vm="6575">
        <f ca="1"/>
        <v>129.37</v>
      </c>
      <c r="FU31" vm="6576">
        <f ca="1"/>
        <v>126.46</v>
      </c>
      <c r="FV31" vm="6577">
        <f ca="1"/>
        <v>128.30000000000001</v>
      </c>
      <c r="FW31" vm="6578">
        <f ca="1"/>
        <v>125.61</v>
      </c>
      <c r="FX31" vm="6579">
        <f ca="1"/>
        <v>117.59</v>
      </c>
      <c r="FY31" vm="6580">
        <f ca="1"/>
        <v>119.37</v>
      </c>
      <c r="FZ31" vm="6581">
        <f ca="1"/>
        <v>108</v>
      </c>
      <c r="GA31" vm="6582">
        <f ca="1"/>
        <v>106.21</v>
      </c>
      <c r="GB31" vm="6583">
        <f ca="1"/>
        <v>107.21</v>
      </c>
      <c r="GC31" vm="6584">
        <f ca="1"/>
        <v>102.83</v>
      </c>
      <c r="GD31" vm="6585">
        <f ca="1"/>
        <v>106.47</v>
      </c>
      <c r="GE31" vm="6586">
        <f ca="1"/>
        <v>108.1</v>
      </c>
      <c r="GF31" vm="6587">
        <f ca="1"/>
        <v>116.91</v>
      </c>
      <c r="GG31" vm="6588">
        <f ca="1"/>
        <v>119.14</v>
      </c>
      <c r="GH31" vm="6589">
        <f ca="1"/>
        <v>119.1</v>
      </c>
      <c r="GI31" vm="3673">
        <f ca="1"/>
        <v>116.78</v>
      </c>
      <c r="GJ31" vm="6590">
        <f ca="1"/>
        <v>115.59</v>
      </c>
      <c r="GK31" vm="3598">
        <f ca="1"/>
        <v>113.37</v>
      </c>
      <c r="GL31" vm="3566">
        <f ca="1"/>
        <v>117.87</v>
      </c>
      <c r="GM31" vm="3558">
        <f ca="1"/>
        <v>116</v>
      </c>
      <c r="GN31" vm="6591">
        <f ca="1"/>
        <v>116.26</v>
      </c>
      <c r="GO31" vm="6592">
        <f ca="1"/>
        <v>120.87</v>
      </c>
      <c r="GP31" vm="6593">
        <f ca="1"/>
        <v>123.51</v>
      </c>
      <c r="GQ31" vm="6594">
        <f ca="1"/>
        <v>124.04</v>
      </c>
      <c r="GR31" vm="6595">
        <f ca="1"/>
        <v>121.4</v>
      </c>
      <c r="GS31" vm="6596">
        <f ca="1"/>
        <v>121.44</v>
      </c>
      <c r="GT31" vm="6597">
        <f ca="1"/>
        <v>117</v>
      </c>
      <c r="GU31" vm="3623">
        <f ca="1"/>
        <v>118.85</v>
      </c>
      <c r="GV31" vm="6598">
        <f ca="1"/>
        <v>122.85</v>
      </c>
      <c r="GW31" vm="6599">
        <f ca="1"/>
        <v>124.92</v>
      </c>
      <c r="GX31" vm="6600">
        <f ca="1"/>
        <v>127.72</v>
      </c>
      <c r="GY31" vm="6601">
        <f ca="1"/>
        <v>132.88999999999999</v>
      </c>
      <c r="GZ31" vm="6602">
        <f ca="1"/>
        <v>132.65</v>
      </c>
      <c r="HA31" vm="6603">
        <f ca="1"/>
        <v>134.81</v>
      </c>
      <c r="HB31" vm="6604">
        <f ca="1"/>
        <v>134.80000000000001</v>
      </c>
      <c r="HC31" vm="6605">
        <f ca="1"/>
        <v>138.07</v>
      </c>
      <c r="HD31" vm="6606">
        <f ca="1"/>
        <v>131.6</v>
      </c>
      <c r="HE31" vm="6607">
        <f ca="1"/>
        <v>135.72</v>
      </c>
      <c r="HF31" vm="6608">
        <f ca="1"/>
        <v>136.93</v>
      </c>
      <c r="HG31" vm="551">
        <f ca="1"/>
        <v>138</v>
      </c>
      <c r="HH31" vm="6609">
        <f ca="1"/>
        <v>143.71</v>
      </c>
      <c r="HI31" vm="6610">
        <f ca="1"/>
        <v>143.59</v>
      </c>
      <c r="HJ31" vm="807">
        <f ca="1"/>
        <v>139.56</v>
      </c>
      <c r="HK31" vm="6611">
        <f ca="1"/>
        <v>140.41</v>
      </c>
      <c r="HL31" vm="6612">
        <f ca="1"/>
        <v>141.54</v>
      </c>
      <c r="HM31" vm="1072">
        <f ca="1"/>
        <v>140.52000000000001</v>
      </c>
      <c r="HN31" vm="6613">
        <f ca="1"/>
        <v>141.25</v>
      </c>
      <c r="HO31" vm="6614">
        <f ca="1"/>
        <v>139.33500000000001</v>
      </c>
      <c r="HP31" vm="5939">
        <f ca="1"/>
        <v>132.76</v>
      </c>
      <c r="HQ31" vm="6615">
        <f ca="1"/>
        <v>135.4</v>
      </c>
      <c r="HR31" vm="6616">
        <f ca="1"/>
        <v>136.05000000000001</v>
      </c>
      <c r="HS31" vm="556">
        <f ca="1"/>
        <v>139.91</v>
      </c>
      <c r="HT31" vm="6617">
        <f ca="1"/>
        <v>145.61000000000001</v>
      </c>
      <c r="HU31" vm="2655">
        <f ca="1"/>
        <v>148.88</v>
      </c>
      <c r="HV31" vm="6618">
        <f ca="1"/>
        <v>147.63</v>
      </c>
      <c r="HW31" vm="6619">
        <f ca="1"/>
        <v>145.26</v>
      </c>
      <c r="HX31" vm="736">
        <f ca="1"/>
        <v>148.29</v>
      </c>
      <c r="HY31" vm="6620">
        <f ca="1"/>
        <v>146.27000000000001</v>
      </c>
      <c r="HZ31" vm="4219">
        <f ca="1"/>
        <v>146.76</v>
      </c>
      <c r="IA31" vm="788">
        <f ca="1"/>
        <v>141.97999999999999</v>
      </c>
      <c r="IB31" vm="554">
        <f ca="1"/>
        <v>140.15</v>
      </c>
      <c r="IC31" vm="6621">
        <f ca="1"/>
        <v>147.01</v>
      </c>
      <c r="ID31" vm="6622">
        <f ca="1"/>
        <v>145.88999999999999</v>
      </c>
      <c r="IE31" vm="4212">
        <f ca="1"/>
        <v>146.66999999999999</v>
      </c>
      <c r="IF31" vm="6623">
        <f ca="1"/>
        <v>141.94999999999999</v>
      </c>
      <c r="IG31" vm="6624">
        <f ca="1"/>
        <v>136.02000000000001</v>
      </c>
      <c r="IH31" vm="6625">
        <f ca="1"/>
        <v>136.91999999999999</v>
      </c>
      <c r="II31" vm="6626">
        <f ca="1"/>
        <v>135.34</v>
      </c>
      <c r="IJ31" vm="6627">
        <f ca="1"/>
        <v>138.25</v>
      </c>
      <c r="IK31" vm="6628">
        <f ca="1"/>
        <v>138.63</v>
      </c>
      <c r="IL31" vm="6629">
        <f ca="1"/>
        <v>140.26</v>
      </c>
      <c r="IM31" vm="1069">
        <f ca="1"/>
        <v>145.13999999999999</v>
      </c>
      <c r="IN31" vm="6630">
        <f ca="1"/>
        <v>145.06</v>
      </c>
      <c r="IO31" vm="6631">
        <f ca="1"/>
        <v>142.44</v>
      </c>
      <c r="IP31" vm="6632">
        <f ca="1"/>
        <v>138.81</v>
      </c>
      <c r="IQ31" vm="6633">
        <f ca="1"/>
        <v>135.07</v>
      </c>
    </row>
    <row r="32" spans="1:251">
      <c r="A32" cm="1" vm="6634">
        <f t="array" aca="1" ref="A32:IQ32" ca="1">TRANSPOSE(_xlfn.STOCKHISTORY(Table3[[#This Row],[Stock Name ]],TODAY()-365,TODAY(),0,0,1))</f>
        <v>100.81</v>
      </c>
      <c r="B32" vm="3469">
        <f ca="1"/>
        <v>102.99</v>
      </c>
      <c r="C32" vm="6635">
        <f ca="1"/>
        <v>100.31</v>
      </c>
      <c r="D32" vm="6636">
        <f ca="1"/>
        <v>103.32</v>
      </c>
      <c r="E32" vm="6238">
        <f ca="1"/>
        <v>105</v>
      </c>
      <c r="F32" vm="6637">
        <f ca="1"/>
        <v>106.25</v>
      </c>
      <c r="G32" vm="6638">
        <f ca="1"/>
        <v>104.15</v>
      </c>
      <c r="H32" vm="6639">
        <f ca="1"/>
        <v>105.86</v>
      </c>
      <c r="I32" vm="6640">
        <f ca="1"/>
        <v>106.2</v>
      </c>
      <c r="J32" vm="6641">
        <f ca="1"/>
        <v>106.19</v>
      </c>
      <c r="K32" vm="6642">
        <f ca="1"/>
        <v>105.94</v>
      </c>
      <c r="L32" vm="6637">
        <f ca="1"/>
        <v>106.25</v>
      </c>
      <c r="M32" vm="6643">
        <f ca="1"/>
        <v>105.43</v>
      </c>
      <c r="N32" vm="6644">
        <f ca="1"/>
        <v>104.06</v>
      </c>
      <c r="O32" vm="6645">
        <f ca="1"/>
        <v>102.46</v>
      </c>
      <c r="P32" vm="6646">
        <f ca="1"/>
        <v>102.59</v>
      </c>
      <c r="Q32" vm="6647">
        <f ca="1"/>
        <v>102.73</v>
      </c>
      <c r="R32" vm="6648">
        <f ca="1"/>
        <v>104.66</v>
      </c>
      <c r="S32" vm="6649">
        <f ca="1"/>
        <v>103.63</v>
      </c>
      <c r="T32" vm="6650">
        <f ca="1"/>
        <v>103.92</v>
      </c>
      <c r="U32" vm="6651">
        <f ca="1"/>
        <v>104.77</v>
      </c>
      <c r="V32" vm="6652">
        <f ca="1"/>
        <v>106.6</v>
      </c>
      <c r="W32" vm="6653">
        <f ca="1"/>
        <v>106.57</v>
      </c>
      <c r="X32" vm="6654">
        <f ca="1"/>
        <v>106.43</v>
      </c>
      <c r="Y32" vm="6655">
        <f ca="1"/>
        <v>108.7</v>
      </c>
      <c r="Z32" vm="6656">
        <f ca="1"/>
        <v>109.67</v>
      </c>
      <c r="AA32" vm="6657">
        <f ca="1"/>
        <v>110.1</v>
      </c>
      <c r="AB32" vm="6658">
        <f ca="1"/>
        <v>111.83</v>
      </c>
      <c r="AC32" vm="6659">
        <f ca="1"/>
        <v>114.31</v>
      </c>
      <c r="AD32" vm="6526">
        <f ca="1"/>
        <v>115</v>
      </c>
      <c r="AE32" vm="6660">
        <f ca="1"/>
        <v>114.64</v>
      </c>
      <c r="AF32" vm="6661">
        <f ca="1"/>
        <v>113.75</v>
      </c>
      <c r="AG32" vm="3620">
        <f ca="1"/>
        <v>114.16</v>
      </c>
      <c r="AH32" vm="6662">
        <f ca="1"/>
        <v>111.7</v>
      </c>
      <c r="AI32" vm="6663">
        <f ca="1"/>
        <v>115.53</v>
      </c>
      <c r="AJ32" vm="6664">
        <f ca="1"/>
        <v>115.79</v>
      </c>
      <c r="AK32" vm="6665">
        <f ca="1"/>
        <v>116.39</v>
      </c>
      <c r="AL32" vm="6666">
        <f ca="1"/>
        <v>115.3</v>
      </c>
      <c r="AM32" vm="6667">
        <f ca="1"/>
        <v>117.27</v>
      </c>
      <c r="AN32" vm="6668">
        <f ca="1"/>
        <v>116.68</v>
      </c>
      <c r="AO32" vm="6669">
        <f ca="1"/>
        <v>116.64</v>
      </c>
      <c r="AP32" vm="6670">
        <f ca="1"/>
        <v>115.84</v>
      </c>
      <c r="AQ32" vm="6671">
        <f ca="1"/>
        <v>113.68</v>
      </c>
      <c r="AR32" vm="6672">
        <f ca="1"/>
        <v>114.26</v>
      </c>
      <c r="AS32" vm="6673">
        <f ca="1"/>
        <v>112.78</v>
      </c>
      <c r="AT32" vm="6674">
        <f ca="1"/>
        <v>111.31</v>
      </c>
      <c r="AU32" vm="6675">
        <f ca="1"/>
        <v>108.45</v>
      </c>
      <c r="AV32" vm="6676">
        <f ca="1"/>
        <v>108.16</v>
      </c>
      <c r="AW32" vm="6677">
        <f ca="1"/>
        <v>111.01</v>
      </c>
      <c r="AX32" vm="6678">
        <f ca="1"/>
        <v>111.95</v>
      </c>
      <c r="AY32" vm="6679">
        <f ca="1"/>
        <v>110.97</v>
      </c>
      <c r="AZ32" vm="6680">
        <f ca="1"/>
        <v>111.38</v>
      </c>
      <c r="BA32" vm="6681">
        <f ca="1"/>
        <v>111.68</v>
      </c>
      <c r="BB32" vm="6681">
        <f ca="1"/>
        <v>111.68</v>
      </c>
      <c r="BC32" vm="6682">
        <f ca="1"/>
        <v>113.78</v>
      </c>
      <c r="BD32" vm="3639">
        <f ca="1"/>
        <v>114.06</v>
      </c>
      <c r="BE32" vm="3600">
        <f ca="1"/>
        <v>110.94</v>
      </c>
      <c r="BF32" vm="6683">
        <f ca="1"/>
        <v>112.27</v>
      </c>
      <c r="BG32" vm="6684">
        <f ca="1"/>
        <v>114.54</v>
      </c>
      <c r="BH32" vm="6685">
        <f ca="1"/>
        <v>112.42</v>
      </c>
      <c r="BI32" vm="6686">
        <f ca="1"/>
        <v>114.13</v>
      </c>
      <c r="BJ32" vm="6687">
        <f ca="1"/>
        <v>127.54</v>
      </c>
      <c r="BK32" vm="6688">
        <f ca="1"/>
        <v>125.52</v>
      </c>
      <c r="BL32" vm="6689">
        <f ca="1"/>
        <v>125.53</v>
      </c>
      <c r="BM32" vm="6690">
        <f ca="1"/>
        <v>125.54</v>
      </c>
      <c r="BN32" vm="6691">
        <f ca="1"/>
        <v>127.8</v>
      </c>
      <c r="BO32" vm="6692">
        <f ca="1"/>
        <v>129.19</v>
      </c>
      <c r="BP32" vm="6552">
        <f ca="1"/>
        <v>129.24</v>
      </c>
      <c r="BQ32" vm="6693">
        <f ca="1"/>
        <v>129.01</v>
      </c>
      <c r="BR32" vm="6694">
        <f ca="1"/>
        <v>127.79</v>
      </c>
      <c r="BS32" vm="6695">
        <f ca="1"/>
        <v>126.08</v>
      </c>
      <c r="BT32" vm="6696">
        <f ca="1"/>
        <v>126.47</v>
      </c>
      <c r="BU32" vm="6697">
        <f ca="1"/>
        <v>125.27</v>
      </c>
      <c r="BV32" vm="6578">
        <f ca="1"/>
        <v>125.61</v>
      </c>
      <c r="BW32" vm="6698">
        <f ca="1"/>
        <v>125.48</v>
      </c>
      <c r="BX32" vm="6699">
        <f ca="1"/>
        <v>124.34</v>
      </c>
      <c r="BY32" vm="6700">
        <f ca="1"/>
        <v>126.24</v>
      </c>
      <c r="BZ32" vm="6701">
        <f ca="1"/>
        <v>124.19</v>
      </c>
      <c r="CA32" vm="6702">
        <f ca="1"/>
        <v>124.9</v>
      </c>
      <c r="CB32" vm="6703">
        <f ca="1"/>
        <v>124.35</v>
      </c>
      <c r="CC32" vm="6704">
        <f ca="1"/>
        <v>123.23</v>
      </c>
      <c r="CD32" vm="6705">
        <f ca="1"/>
        <v>121.75</v>
      </c>
      <c r="CE32" vm="6706">
        <f ca="1"/>
        <v>123.24</v>
      </c>
      <c r="CF32" vm="3679">
        <f ca="1"/>
        <v>121.11</v>
      </c>
      <c r="CG32" vm="3549">
        <f ca="1"/>
        <v>119.88</v>
      </c>
      <c r="CH32" vm="6707">
        <f ca="1"/>
        <v>120.62</v>
      </c>
      <c r="CI32" vm="3567">
        <f ca="1"/>
        <v>118.67</v>
      </c>
      <c r="CJ32" vm="3558">
        <f ca="1"/>
        <v>116</v>
      </c>
      <c r="CK32" vm="6708">
        <f ca="1"/>
        <v>114.88</v>
      </c>
      <c r="CL32" vm="6709">
        <f ca="1"/>
        <v>114.53</v>
      </c>
      <c r="CM32" vm="6710">
        <f ca="1"/>
        <v>115.09</v>
      </c>
      <c r="CN32" vm="6711">
        <f ca="1"/>
        <v>115.34</v>
      </c>
      <c r="CO32" vm="6712">
        <f ca="1"/>
        <v>114.89</v>
      </c>
      <c r="CP32" vm="6713">
        <f ca="1"/>
        <v>117.21</v>
      </c>
      <c r="CQ32" vm="6714">
        <f ca="1"/>
        <v>116.49</v>
      </c>
      <c r="CR32" vm="6661">
        <f ca="1"/>
        <v>113.75</v>
      </c>
      <c r="CS32" vm="6715">
        <f ca="1"/>
        <v>114.63</v>
      </c>
      <c r="CT32" vm="3595">
        <f ca="1"/>
        <v>114.96</v>
      </c>
      <c r="CU32" vm="6716">
        <f ca="1"/>
        <v>115.8</v>
      </c>
      <c r="CV32" vm="6717">
        <f ca="1"/>
        <v>118.34</v>
      </c>
      <c r="CW32" vm="6556">
        <f ca="1"/>
        <v>117.93</v>
      </c>
      <c r="CX32" vm="6718">
        <f ca="1"/>
        <v>117.39</v>
      </c>
      <c r="CY32" vm="6669">
        <f ca="1"/>
        <v>116.64</v>
      </c>
      <c r="CZ32" vm="6719">
        <f ca="1"/>
        <v>116.67</v>
      </c>
      <c r="DA32" vm="6720">
        <f ca="1"/>
        <v>116.37</v>
      </c>
      <c r="DB32" vm="6592">
        <f ca="1"/>
        <v>120.87</v>
      </c>
      <c r="DC32" vm="6721">
        <f ca="1"/>
        <v>121.63</v>
      </c>
      <c r="DD32" vm="6722">
        <f ca="1"/>
        <v>122.16</v>
      </c>
      <c r="DE32" vm="6723">
        <f ca="1"/>
        <v>123.5</v>
      </c>
      <c r="DF32" vm="6724">
        <f ca="1"/>
        <v>124.52</v>
      </c>
      <c r="DG32" vm="6725">
        <f ca="1"/>
        <v>124.63</v>
      </c>
      <c r="DH32" vm="6726">
        <f ca="1"/>
        <v>124.6</v>
      </c>
      <c r="DI32" vm="6727">
        <f ca="1"/>
        <v>124.09</v>
      </c>
      <c r="DJ32" vm="6728">
        <f ca="1"/>
        <v>122.91</v>
      </c>
      <c r="DK32" vm="6729">
        <f ca="1"/>
        <v>124.49</v>
      </c>
      <c r="DL32" vm="6574">
        <f ca="1"/>
        <v>123.74</v>
      </c>
      <c r="DM32" vm="6730">
        <f ca="1"/>
        <v>117.09</v>
      </c>
      <c r="DN32" vm="6731">
        <f ca="1"/>
        <v>117.19</v>
      </c>
      <c r="DO32" vm="3536">
        <f ca="1"/>
        <v>119.28</v>
      </c>
      <c r="DP32" vm="6732">
        <f ca="1"/>
        <v>120.07</v>
      </c>
      <c r="DQ32" vm="6733">
        <f ca="1"/>
        <v>122.63</v>
      </c>
      <c r="DR32" vm="6723">
        <f ca="1"/>
        <v>123.5</v>
      </c>
      <c r="DS32" vm="6734">
        <f ca="1"/>
        <v>125.92</v>
      </c>
      <c r="DT32" vm="6735">
        <f ca="1"/>
        <v>124.5</v>
      </c>
      <c r="DU32" vm="6736">
        <f ca="1"/>
        <v>123.88</v>
      </c>
      <c r="DV32" vm="6737">
        <f ca="1"/>
        <v>140.38</v>
      </c>
      <c r="DW32" vm="6738">
        <f ca="1"/>
        <v>139.85</v>
      </c>
      <c r="DX32" vm="6739">
        <f ca="1"/>
        <v>138.13</v>
      </c>
      <c r="DY32" vm="6740">
        <f ca="1"/>
        <v>141.31</v>
      </c>
      <c r="DZ32" vm="6741">
        <f ca="1"/>
        <v>144.63999999999999</v>
      </c>
      <c r="EA32" vm="6742">
        <f ca="1"/>
        <v>142.91</v>
      </c>
      <c r="EB32" vm="6743">
        <f ca="1"/>
        <v>141.5</v>
      </c>
      <c r="EC32" vm="6744">
        <f ca="1"/>
        <v>139.88999999999999</v>
      </c>
      <c r="ED32" vm="6745">
        <f ca="1"/>
        <v>139.16999999999999</v>
      </c>
      <c r="EE32" vm="2748">
        <f ca="1"/>
        <v>138.22999999999999</v>
      </c>
      <c r="EF32" vm="6746">
        <f ca="1"/>
        <v>140.18</v>
      </c>
      <c r="EG32" vm="6747">
        <f ca="1"/>
        <v>141.19999999999999</v>
      </c>
      <c r="EH32" vm="6748">
        <f ca="1"/>
        <v>143.09</v>
      </c>
      <c r="EI32" vm="6749">
        <f ca="1"/>
        <v>143.28</v>
      </c>
      <c r="EJ32" vm="4210">
        <f ca="1"/>
        <v>144.38</v>
      </c>
      <c r="EK32" vm="6750">
        <f ca="1"/>
        <v>144.83000000000001</v>
      </c>
      <c r="EL32" vm="6751">
        <f ca="1"/>
        <v>145.03</v>
      </c>
      <c r="EM32" vm="6752">
        <f ca="1"/>
        <v>140.68</v>
      </c>
      <c r="EN32" vm="2745">
        <f ca="1"/>
        <v>142.07</v>
      </c>
      <c r="EO32" vm="6753">
        <f ca="1"/>
        <v>142.76</v>
      </c>
      <c r="EP32" vm="4185">
        <f ca="1"/>
        <v>144.77000000000001</v>
      </c>
      <c r="EQ32" vm="6754">
        <f ca="1"/>
        <v>143.07</v>
      </c>
      <c r="ER32" vm="6755">
        <f ca="1"/>
        <v>142.61000000000001</v>
      </c>
      <c r="ES32" vm="6756">
        <f ca="1"/>
        <v>139.26</v>
      </c>
      <c r="ET32" vm="6757">
        <f ca="1"/>
        <v>138.03</v>
      </c>
      <c r="EU32" vm="2746">
        <f ca="1"/>
        <v>138.56</v>
      </c>
      <c r="EV32" vm="6758">
        <f ca="1"/>
        <v>140.16999999999999</v>
      </c>
      <c r="EW32" vm="6759">
        <f ca="1"/>
        <v>143.11000000000001</v>
      </c>
      <c r="EX32" vm="6760">
        <f ca="1"/>
        <v>138.77000000000001</v>
      </c>
      <c r="EY32" vm="6761">
        <f ca="1"/>
        <v>137.82</v>
      </c>
      <c r="EZ32" vm="6762">
        <f ca="1"/>
        <v>139.01</v>
      </c>
      <c r="FA32" vm="6763">
        <f ca="1"/>
        <v>138.31</v>
      </c>
      <c r="FB32" vm="6764">
        <f ca="1"/>
        <v>135.66999999999999</v>
      </c>
      <c r="FC32" vm="6765">
        <f ca="1"/>
        <v>139.44999999999999</v>
      </c>
      <c r="FD32" vm="6766">
        <f ca="1"/>
        <v>137.51</v>
      </c>
      <c r="FE32" vm="6767">
        <f ca="1"/>
        <v>133.28</v>
      </c>
      <c r="FF32" vm="6768">
        <f ca="1"/>
        <v>127.86</v>
      </c>
      <c r="FG32" vm="6769">
        <f ca="1"/>
        <v>128.21</v>
      </c>
      <c r="FH32" vm="6770">
        <f ca="1"/>
        <v>125.9</v>
      </c>
      <c r="FI32" vm="6771">
        <f ca="1"/>
        <v>128.96</v>
      </c>
      <c r="FJ32" vm="6772">
        <f ca="1"/>
        <v>132.06</v>
      </c>
      <c r="FK32" vm="6773">
        <f ca="1"/>
        <v>132.58000000000001</v>
      </c>
      <c r="FL32" vm="6774">
        <f ca="1"/>
        <v>134.26</v>
      </c>
      <c r="FM32" vm="6775">
        <f ca="1"/>
        <v>135.6</v>
      </c>
      <c r="FN32" vm="6608">
        <f ca="1"/>
        <v>136.93</v>
      </c>
      <c r="FO32" vm="6776">
        <f ca="1"/>
        <v>137.47</v>
      </c>
      <c r="FP32" vm="6777">
        <f ca="1"/>
        <v>137.91999999999999</v>
      </c>
      <c r="FQ32" vm="6745">
        <f ca="1"/>
        <v>139.16999999999999</v>
      </c>
      <c r="FR32" vm="6778">
        <f ca="1"/>
        <v>140.19999999999999</v>
      </c>
      <c r="FS32" vm="847">
        <f ca="1"/>
        <v>138.08000000000001</v>
      </c>
      <c r="FT32" vm="6779">
        <f ca="1"/>
        <v>139.19</v>
      </c>
      <c r="FU32" vm="553">
        <f ca="1"/>
        <v>138.9</v>
      </c>
      <c r="FV32" vm="6780">
        <f ca="1"/>
        <v>138.47999999999999</v>
      </c>
      <c r="FW32" vm="2749">
        <f ca="1"/>
        <v>137.88</v>
      </c>
      <c r="FX32" vm="6781">
        <f ca="1"/>
        <v>139.41999999999999</v>
      </c>
      <c r="FY32" vm="6782">
        <f ca="1"/>
        <v>141.29</v>
      </c>
      <c r="FZ32" vm="6783">
        <f ca="1"/>
        <v>139.5</v>
      </c>
      <c r="GA32" vm="713">
        <f ca="1"/>
        <v>140.75</v>
      </c>
      <c r="GB32" vm="6755">
        <f ca="1"/>
        <v>142.61000000000001</v>
      </c>
      <c r="GC32" vm="6784">
        <f ca="1"/>
        <v>141.81</v>
      </c>
      <c r="GD32" vm="6744">
        <f ca="1"/>
        <v>139.88999999999999</v>
      </c>
      <c r="GE32" vm="6785">
        <f ca="1"/>
        <v>155.88999999999999</v>
      </c>
      <c r="GF32" vm="6786">
        <f ca="1"/>
        <v>157.18</v>
      </c>
      <c r="GG32" vm="4161">
        <f ca="1"/>
        <v>161.38</v>
      </c>
      <c r="GH32" vm="954">
        <f ca="1"/>
        <v>162.03</v>
      </c>
      <c r="GI32" vm="1559">
        <f ca="1"/>
        <v>170.33</v>
      </c>
      <c r="GJ32" vm="6787">
        <f ca="1"/>
        <v>167.47</v>
      </c>
      <c r="GK32" vm="999">
        <f ca="1"/>
        <v>164.53</v>
      </c>
      <c r="GL32" vm="6788">
        <f ca="1"/>
        <v>167.59</v>
      </c>
      <c r="GM32" vm="1551">
        <f ca="1"/>
        <v>168</v>
      </c>
      <c r="GN32" vm="6789">
        <f ca="1"/>
        <v>165.95</v>
      </c>
      <c r="GO32" vm="996">
        <f ca="1"/>
        <v>165.8</v>
      </c>
      <c r="GP32" vm="6790">
        <f ca="1"/>
        <v>166.28</v>
      </c>
      <c r="GQ32" vm="1121">
        <f ca="1"/>
        <v>168.1</v>
      </c>
      <c r="GR32" vm="6791">
        <f ca="1"/>
        <v>168.74</v>
      </c>
      <c r="GS32" vm="6792">
        <f ca="1"/>
        <v>170.4</v>
      </c>
      <c r="GT32" vm="4256">
        <f ca="1"/>
        <v>167.16</v>
      </c>
      <c r="GU32" vm="6793">
        <f ca="1"/>
        <v>167.71</v>
      </c>
      <c r="GV32" vm="6794">
        <f ca="1"/>
        <v>166.86</v>
      </c>
      <c r="GW32" vm="6795">
        <f ca="1"/>
        <v>170.86</v>
      </c>
      <c r="GX32" vm="6796">
        <f ca="1"/>
        <v>169.97</v>
      </c>
      <c r="GY32" vm="939">
        <f ca="1"/>
        <v>174.37</v>
      </c>
      <c r="GZ32" vm="576">
        <f ca="1"/>
        <v>178.29</v>
      </c>
      <c r="HA32" vm="1142">
        <f ca="1"/>
        <v>175.41</v>
      </c>
      <c r="HB32" vm="6797">
        <f ca="1"/>
        <v>175.77</v>
      </c>
      <c r="HC32" vm="6798">
        <f ca="1"/>
        <v>176.12</v>
      </c>
      <c r="HD32" vm="6799">
        <f ca="1"/>
        <v>174.09</v>
      </c>
      <c r="HE32" vm="6800">
        <f ca="1"/>
        <v>174.77</v>
      </c>
      <c r="HF32" vm="6801">
        <f ca="1"/>
        <v>175.68</v>
      </c>
      <c r="HG32" vm="6802">
        <f ca="1"/>
        <v>174.69</v>
      </c>
      <c r="HH32" vm="6803">
        <f ca="1"/>
        <v>173.76</v>
      </c>
      <c r="HI32" vm="6804">
        <f ca="1"/>
        <v>175.31</v>
      </c>
      <c r="HJ32" vm="6805">
        <f ca="1"/>
        <v>173.1</v>
      </c>
      <c r="HK32" vm="6806">
        <f ca="1"/>
        <v>174.38</v>
      </c>
      <c r="HL32" vm="6807">
        <f ca="1"/>
        <v>173.52</v>
      </c>
      <c r="HM32" vm="6808">
        <f ca="1"/>
        <v>172.42</v>
      </c>
      <c r="HN32" vm="6809">
        <f ca="1"/>
        <v>173.43</v>
      </c>
      <c r="HO32" vm="6810">
        <f ca="1"/>
        <v>174.56</v>
      </c>
      <c r="HP32" vm="6811">
        <f ca="1"/>
        <v>167.84</v>
      </c>
      <c r="HQ32" vm="6812">
        <f ca="1"/>
        <v>170.02</v>
      </c>
      <c r="HR32" vm="6813">
        <f ca="1"/>
        <v>169.59</v>
      </c>
      <c r="HS32" vm="6814">
        <f ca="1"/>
        <v>171.78</v>
      </c>
      <c r="HT32" vm="6815">
        <f ca="1"/>
        <v>181.24</v>
      </c>
      <c r="HU32" vm="6816">
        <f ca="1"/>
        <v>186.37</v>
      </c>
      <c r="HV32" vm="6817">
        <f ca="1"/>
        <v>189.25</v>
      </c>
      <c r="HW32" vm="6818">
        <f ca="1"/>
        <v>189.13</v>
      </c>
      <c r="HX32" vm="6819">
        <f ca="1"/>
        <v>189.58</v>
      </c>
      <c r="HY32" vm="6820">
        <f ca="1"/>
        <v>189.63</v>
      </c>
      <c r="HZ32" vm="6821">
        <f ca="1"/>
        <v>187.05</v>
      </c>
      <c r="IA32" vm="3932">
        <f ca="1"/>
        <v>183.74</v>
      </c>
      <c r="IB32" vm="6822">
        <f ca="1"/>
        <v>185.73</v>
      </c>
      <c r="IC32" vm="6823">
        <f ca="1"/>
        <v>188.9</v>
      </c>
      <c r="ID32" vm="6824">
        <f ca="1"/>
        <v>190.75</v>
      </c>
      <c r="IE32" vm="6825">
        <f ca="1"/>
        <v>192.43</v>
      </c>
      <c r="IF32" vm="6826">
        <f ca="1"/>
        <v>192.29</v>
      </c>
      <c r="IG32" vm="6827">
        <f ca="1"/>
        <v>187.99</v>
      </c>
      <c r="IH32" vm="6828">
        <f ca="1"/>
        <v>190.37</v>
      </c>
      <c r="II32" vm="6829">
        <f ca="1"/>
        <v>182.7</v>
      </c>
      <c r="IJ32" vm="6830">
        <f ca="1"/>
        <v>184.84</v>
      </c>
      <c r="IK32" vm="6831">
        <f ca="1"/>
        <v>181.41</v>
      </c>
      <c r="IL32" vm="4372">
        <f ca="1"/>
        <v>182.89</v>
      </c>
      <c r="IM32" vm="932">
        <f ca="1"/>
        <v>188.19</v>
      </c>
      <c r="IN32" vm="6832">
        <f ca="1"/>
        <v>186.24</v>
      </c>
      <c r="IO32" vm="3957">
        <f ca="1"/>
        <v>191.69</v>
      </c>
      <c r="IP32" vm="6833">
        <f ca="1"/>
        <v>190.45</v>
      </c>
      <c r="IQ32" vm="6834">
        <f ca="1"/>
        <v>177.74</v>
      </c>
    </row>
    <row r="33" spans="1:251">
      <c r="A33" cm="1" vm="6835">
        <f t="array" aca="1" ref="A33:IQ33" ca="1">TRANSPOSE(_xlfn.STOCKHISTORY(Table3[[#This Row],[Stock Name ]],TODAY()-365,TODAY(),0,0,1))</f>
        <v>58.89</v>
      </c>
      <c r="B33" vm="3085">
        <f ca="1"/>
        <v>61.73</v>
      </c>
      <c r="C33" vm="3177">
        <f ca="1"/>
        <v>61.87</v>
      </c>
      <c r="D33" vm="6836">
        <f ca="1"/>
        <v>61.26</v>
      </c>
      <c r="E33" vm="6837">
        <f ca="1"/>
        <v>61.47</v>
      </c>
      <c r="F33" vm="6838">
        <f ca="1"/>
        <v>63.01</v>
      </c>
      <c r="G33" vm="6839">
        <f ca="1"/>
        <v>61.74</v>
      </c>
      <c r="H33" vm="6840">
        <f ca="1"/>
        <v>62.06</v>
      </c>
      <c r="I33" vm="6841">
        <f ca="1"/>
        <v>61.84</v>
      </c>
      <c r="J33" vm="6842">
        <f ca="1"/>
        <v>62.56</v>
      </c>
      <c r="K33" vm="6843">
        <f ca="1"/>
        <v>62.68</v>
      </c>
      <c r="L33" vm="6844">
        <f ca="1"/>
        <v>63.08</v>
      </c>
      <c r="M33" vm="6845">
        <f ca="1"/>
        <v>61.41</v>
      </c>
      <c r="N33" vm="3166">
        <f ca="1"/>
        <v>61.46</v>
      </c>
      <c r="O33" vm="2994">
        <f ca="1"/>
        <v>58.63</v>
      </c>
      <c r="P33" vm="6846">
        <f ca="1"/>
        <v>58.45</v>
      </c>
      <c r="Q33" vm="6847">
        <f ca="1"/>
        <v>60.12</v>
      </c>
      <c r="R33" vm="6839">
        <f ca="1"/>
        <v>61.74</v>
      </c>
      <c r="S33" vm="6848">
        <f ca="1"/>
        <v>61.05</v>
      </c>
      <c r="T33" vm="3167">
        <f ca="1"/>
        <v>60.96</v>
      </c>
      <c r="U33" vm="3098">
        <f ca="1"/>
        <v>61.35</v>
      </c>
      <c r="V33" vm="6849">
        <f ca="1"/>
        <v>61</v>
      </c>
      <c r="W33" vm="6846">
        <f ca="1"/>
        <v>58.45</v>
      </c>
      <c r="X33" vm="3012">
        <f ca="1"/>
        <v>59.89</v>
      </c>
      <c r="Y33" vm="6850">
        <f ca="1"/>
        <v>62.09</v>
      </c>
      <c r="Z33" vm="6851">
        <f ca="1"/>
        <v>65.819999999999993</v>
      </c>
      <c r="AA33" vm="6852">
        <f ca="1"/>
        <v>63.74</v>
      </c>
      <c r="AB33" vm="6853">
        <f ca="1"/>
        <v>64.78</v>
      </c>
      <c r="AC33" vm="3113">
        <f ca="1"/>
        <v>63.02</v>
      </c>
      <c r="AD33" vm="3086">
        <f ca="1"/>
        <v>60.71</v>
      </c>
      <c r="AE33" vm="3123">
        <f ca="1"/>
        <v>61.78</v>
      </c>
      <c r="AF33" vm="6854">
        <f ca="1"/>
        <v>63.76</v>
      </c>
      <c r="AG33" vm="6855">
        <f ca="1"/>
        <v>63.68</v>
      </c>
      <c r="AH33" vm="3098">
        <f ca="1"/>
        <v>61.35</v>
      </c>
      <c r="AI33" vm="6856">
        <f ca="1"/>
        <v>62.02</v>
      </c>
      <c r="AJ33" vm="6857">
        <f ca="1"/>
        <v>62.42</v>
      </c>
      <c r="AK33" vm="3099">
        <f ca="1"/>
        <v>61.54</v>
      </c>
      <c r="AL33" vm="3192">
        <f ca="1"/>
        <v>63.71</v>
      </c>
      <c r="AM33" vm="3079">
        <f ca="1"/>
        <v>63.24</v>
      </c>
      <c r="AN33" vm="6858">
        <f ca="1"/>
        <v>56.13</v>
      </c>
      <c r="AO33" vm="6859">
        <f ca="1"/>
        <v>58.91</v>
      </c>
      <c r="AP33" vm="2528">
        <f ca="1"/>
        <v>60.09</v>
      </c>
      <c r="AQ33" vm="6860">
        <f ca="1"/>
        <v>58.26</v>
      </c>
      <c r="AR33" vm="6861">
        <f ca="1"/>
        <v>58.87</v>
      </c>
      <c r="AS33" vm="6862">
        <f ca="1"/>
        <v>59.7</v>
      </c>
      <c r="AT33" vm="3092">
        <f ca="1"/>
        <v>59.14</v>
      </c>
      <c r="AU33" vm="2994">
        <f ca="1"/>
        <v>58.63</v>
      </c>
      <c r="AV33" vm="6863">
        <f ca="1"/>
        <v>57.48</v>
      </c>
      <c r="AW33" vm="6864">
        <f ca="1"/>
        <v>58.35</v>
      </c>
      <c r="AX33" vm="6865">
        <f ca="1"/>
        <v>59.16</v>
      </c>
      <c r="AY33" vm="3127">
        <f ca="1"/>
        <v>59.33</v>
      </c>
      <c r="AZ33" vm="6866">
        <f ca="1"/>
        <v>60.16</v>
      </c>
      <c r="BA33" vm="6867">
        <f ca="1"/>
        <v>60.25</v>
      </c>
      <c r="BB33" vm="6868">
        <f ca="1"/>
        <v>60.34</v>
      </c>
      <c r="BC33" vm="6869">
        <f ca="1"/>
        <v>60.54</v>
      </c>
      <c r="BD33" vm="6870">
        <f ca="1"/>
        <v>59.98</v>
      </c>
      <c r="BE33" vm="6871">
        <f ca="1"/>
        <v>58.27</v>
      </c>
      <c r="BF33" vm="6872">
        <f ca="1"/>
        <v>58.12</v>
      </c>
      <c r="BG33" vm="6873">
        <f ca="1"/>
        <v>58.5</v>
      </c>
      <c r="BH33" vm="6874">
        <f ca="1"/>
        <v>59.01</v>
      </c>
      <c r="BI33" vm="6875">
        <f ca="1"/>
        <v>60.08</v>
      </c>
      <c r="BJ33" vm="6876">
        <f ca="1"/>
        <v>60.03</v>
      </c>
      <c r="BK33" vm="3115">
        <f ca="1"/>
        <v>62.45</v>
      </c>
      <c r="BL33" vm="3189">
        <f ca="1"/>
        <v>63</v>
      </c>
      <c r="BM33" vm="3185">
        <f ca="1"/>
        <v>62.85</v>
      </c>
      <c r="BN33" vm="2514">
        <f ca="1"/>
        <v>64.23</v>
      </c>
      <c r="BO33" vm="6838">
        <f ca="1"/>
        <v>63.01</v>
      </c>
      <c r="BP33" vm="6877">
        <f ca="1"/>
        <v>65.05</v>
      </c>
      <c r="BQ33" vm="6878">
        <f ca="1"/>
        <v>66.14</v>
      </c>
      <c r="BR33" vm="6879">
        <f ca="1"/>
        <v>64.77</v>
      </c>
      <c r="BS33" vm="6880">
        <f ca="1"/>
        <v>66</v>
      </c>
      <c r="BT33" vm="2411">
        <f ca="1"/>
        <v>66.67</v>
      </c>
      <c r="BU33" vm="6881">
        <f ca="1"/>
        <v>66.569999999999993</v>
      </c>
      <c r="BV33" vm="6882">
        <f ca="1"/>
        <v>66.989999999999995</v>
      </c>
      <c r="BW33" vm="6883">
        <f ca="1"/>
        <v>65.03</v>
      </c>
      <c r="BX33" vm="3146">
        <f ca="1"/>
        <v>64.66</v>
      </c>
      <c r="BY33" vm="6884">
        <f ca="1"/>
        <v>65.34</v>
      </c>
      <c r="BZ33" vm="6885">
        <f ca="1"/>
        <v>64.540000000000006</v>
      </c>
      <c r="CA33" vm="6886">
        <f ca="1"/>
        <v>65.150000000000006</v>
      </c>
      <c r="CB33" vm="2486">
        <f ca="1"/>
        <v>66.34</v>
      </c>
      <c r="CC33" vm="2413">
        <f ca="1"/>
        <v>67</v>
      </c>
      <c r="CD33" vm="6887">
        <f ca="1"/>
        <v>65.88</v>
      </c>
      <c r="CE33" vm="6888">
        <f ca="1"/>
        <v>65.8</v>
      </c>
      <c r="CF33" vm="6889">
        <f ca="1"/>
        <v>64.59</v>
      </c>
      <c r="CG33" vm="6890">
        <f ca="1"/>
        <v>63.51</v>
      </c>
      <c r="CH33" vm="3135">
        <f ca="1"/>
        <v>63.43</v>
      </c>
      <c r="CI33" vm="6891">
        <f ca="1"/>
        <v>63.26</v>
      </c>
      <c r="CJ33" vm="6892">
        <f ca="1"/>
        <v>62.1</v>
      </c>
      <c r="CK33" vm="3118">
        <f ca="1"/>
        <v>62.31</v>
      </c>
      <c r="CL33" vm="6893">
        <f ca="1"/>
        <v>63.19</v>
      </c>
      <c r="CM33" vm="6894">
        <f ca="1"/>
        <v>64.430000000000007</v>
      </c>
      <c r="CN33" vm="6895">
        <f ca="1"/>
        <v>64.84</v>
      </c>
      <c r="CO33" vm="6896">
        <f ca="1"/>
        <v>64.099999999999994</v>
      </c>
      <c r="CP33" vm="6897">
        <f ca="1"/>
        <v>65.959999999999994</v>
      </c>
      <c r="CQ33" vm="6882">
        <f ca="1"/>
        <v>66.989999999999995</v>
      </c>
      <c r="CR33" vm="6898">
        <f ca="1"/>
        <v>67.92</v>
      </c>
      <c r="CS33" vm="6878">
        <f ca="1"/>
        <v>66.14</v>
      </c>
      <c r="CT33" vm="3139">
        <f ca="1"/>
        <v>66.98</v>
      </c>
      <c r="CU33" vm="6899">
        <f ca="1"/>
        <v>65.7</v>
      </c>
      <c r="CV33" vm="6900">
        <f ca="1"/>
        <v>65.61</v>
      </c>
      <c r="CW33" vm="6901">
        <f ca="1"/>
        <v>65.92</v>
      </c>
      <c r="CX33" vm="6902">
        <f ca="1"/>
        <v>63.81</v>
      </c>
      <c r="CY33" vm="6903">
        <f ca="1"/>
        <v>64.45</v>
      </c>
      <c r="CZ33" vm="6904">
        <f ca="1"/>
        <v>62.93</v>
      </c>
      <c r="DA33" vm="6905">
        <f ca="1"/>
        <v>63.95</v>
      </c>
      <c r="DB33" vm="2511">
        <f ca="1"/>
        <v>64.58</v>
      </c>
      <c r="DC33" vm="2400">
        <f ca="1"/>
        <v>63.9</v>
      </c>
      <c r="DD33" vm="6896">
        <f ca="1"/>
        <v>64.099999999999994</v>
      </c>
      <c r="DE33" vm="6906">
        <f ca="1"/>
        <v>64.48</v>
      </c>
      <c r="DF33" vm="6879">
        <f ca="1"/>
        <v>64.77</v>
      </c>
      <c r="DG33" vm="6896">
        <f ca="1"/>
        <v>64.099999999999994</v>
      </c>
      <c r="DH33" vm="6907">
        <f ca="1"/>
        <v>62.19</v>
      </c>
      <c r="DI33" vm="2525">
        <f ca="1"/>
        <v>61.58</v>
      </c>
      <c r="DJ33" vm="6908">
        <f ca="1"/>
        <v>61.64</v>
      </c>
      <c r="DK33" vm="6909">
        <f ca="1"/>
        <v>62.17</v>
      </c>
      <c r="DL33" vm="6848">
        <f ca="1"/>
        <v>61.05</v>
      </c>
      <c r="DM33" vm="6910">
        <f ca="1"/>
        <v>62.51</v>
      </c>
      <c r="DN33" vm="6911">
        <f ca="1"/>
        <v>62.99</v>
      </c>
      <c r="DO33" vm="3080">
        <f ca="1"/>
        <v>63.46</v>
      </c>
      <c r="DP33" vm="6912">
        <f ca="1"/>
        <v>63.33</v>
      </c>
      <c r="DQ33" vm="3104">
        <f ca="1"/>
        <v>63.53</v>
      </c>
      <c r="DR33" vm="2566">
        <f ca="1"/>
        <v>67.02</v>
      </c>
      <c r="DS33" vm="6913">
        <f ca="1"/>
        <v>67.3</v>
      </c>
      <c r="DT33" vm="6914">
        <f ca="1"/>
        <v>67.09</v>
      </c>
      <c r="DU33" vm="6879">
        <f ca="1"/>
        <v>64.77</v>
      </c>
      <c r="DV33" vm="3135">
        <f ca="1"/>
        <v>63.43</v>
      </c>
      <c r="DW33" vm="3099">
        <f ca="1"/>
        <v>61.54</v>
      </c>
      <c r="DX33" vm="6915">
        <f ca="1"/>
        <v>60.634999999999998</v>
      </c>
      <c r="DY33" vm="3073">
        <f ca="1"/>
        <v>60.13</v>
      </c>
      <c r="DZ33" vm="6916">
        <f ca="1"/>
        <v>59.12</v>
      </c>
      <c r="EA33" vm="6917">
        <f ca="1"/>
        <v>59.8</v>
      </c>
      <c r="EB33" vm="6918">
        <f ca="1"/>
        <v>60.61</v>
      </c>
      <c r="EC33" vm="6919">
        <f ca="1"/>
        <v>59.49</v>
      </c>
      <c r="ED33" vm="3127">
        <f ca="1"/>
        <v>59.33</v>
      </c>
      <c r="EE33" vm="6860">
        <f ca="1"/>
        <v>58.26</v>
      </c>
      <c r="EF33" vm="6920">
        <f ca="1"/>
        <v>58.37</v>
      </c>
      <c r="EG33" vm="6921">
        <f ca="1"/>
        <v>58.03</v>
      </c>
      <c r="EH33" vm="6922">
        <f ca="1"/>
        <v>57.81</v>
      </c>
      <c r="EI33" vm="6923">
        <f ca="1"/>
        <v>58.97</v>
      </c>
      <c r="EJ33" vm="6924">
        <f ca="1"/>
        <v>59.64</v>
      </c>
      <c r="EK33" vm="6925">
        <f ca="1"/>
        <v>59.76</v>
      </c>
      <c r="EL33" vm="3169">
        <f ca="1"/>
        <v>59.09</v>
      </c>
      <c r="EM33" vm="6926">
        <f ca="1"/>
        <v>59</v>
      </c>
      <c r="EN33" vm="6927">
        <f ca="1"/>
        <v>58.9</v>
      </c>
      <c r="EO33" vm="3131">
        <f ca="1"/>
        <v>59.99</v>
      </c>
      <c r="EP33" vm="6928">
        <f ca="1"/>
        <v>60.27</v>
      </c>
      <c r="EQ33" vm="6929">
        <f ca="1"/>
        <v>60.47</v>
      </c>
      <c r="ER33" vm="3179">
        <f ca="1"/>
        <v>61.81</v>
      </c>
      <c r="ES33" vm="2548">
        <f ca="1"/>
        <v>61.24</v>
      </c>
      <c r="ET33" vm="6930">
        <f ca="1"/>
        <v>60</v>
      </c>
      <c r="EU33" vm="3127">
        <f ca="1"/>
        <v>59.33</v>
      </c>
      <c r="EV33" vm="6931">
        <f ca="1"/>
        <v>60.77</v>
      </c>
      <c r="EW33" vm="6932">
        <f ca="1"/>
        <v>59.71</v>
      </c>
      <c r="EX33" vm="6933">
        <f ca="1"/>
        <v>58.07</v>
      </c>
      <c r="EY33" vm="6934">
        <f ca="1"/>
        <v>57.22</v>
      </c>
      <c r="EZ33" vm="6935">
        <f ca="1"/>
        <v>58.29</v>
      </c>
      <c r="FA33" vm="6936">
        <f ca="1"/>
        <v>58.94</v>
      </c>
      <c r="FB33" vm="6937">
        <f ca="1"/>
        <v>64</v>
      </c>
      <c r="FC33" vm="2513">
        <f ca="1"/>
        <v>65.78</v>
      </c>
      <c r="FD33" vm="6938">
        <f ca="1"/>
        <v>65.31</v>
      </c>
      <c r="FE33" vm="6939">
        <f ca="1"/>
        <v>61.98</v>
      </c>
      <c r="FF33" vm="6940">
        <f ca="1"/>
        <v>60.46</v>
      </c>
      <c r="FG33" vm="3078">
        <f ca="1"/>
        <v>62.75</v>
      </c>
      <c r="FH33" vm="2503">
        <f ca="1"/>
        <v>62.74</v>
      </c>
      <c r="FI33" vm="6941">
        <f ca="1"/>
        <v>64.28</v>
      </c>
      <c r="FJ33" vm="6942">
        <f ca="1"/>
        <v>64.72</v>
      </c>
      <c r="FK33" vm="3080">
        <f ca="1"/>
        <v>63.46</v>
      </c>
      <c r="FL33" vm="6943">
        <f ca="1"/>
        <v>65.11</v>
      </c>
      <c r="FM33" vm="6878">
        <f ca="1"/>
        <v>66.14</v>
      </c>
      <c r="FN33" vm="6944">
        <f ca="1"/>
        <v>67.94</v>
      </c>
      <c r="FO33" vm="2423">
        <f ca="1"/>
        <v>67.959999999999994</v>
      </c>
      <c r="FP33" vm="6945">
        <f ca="1"/>
        <v>69.430000000000007</v>
      </c>
      <c r="FQ33" vm="6946">
        <f ca="1"/>
        <v>71.89</v>
      </c>
      <c r="FR33" vm="6947">
        <f ca="1"/>
        <v>71.459999999999994</v>
      </c>
      <c r="FS33" vm="2479">
        <f ca="1"/>
        <v>71.52</v>
      </c>
      <c r="FT33" vm="6948">
        <f ca="1"/>
        <v>71.7</v>
      </c>
      <c r="FU33" vm="6949">
        <f ca="1"/>
        <v>72.040000000000006</v>
      </c>
      <c r="FV33" vm="6950">
        <f ca="1"/>
        <v>71.59</v>
      </c>
      <c r="FW33" vm="6951">
        <f ca="1"/>
        <v>70.430000000000007</v>
      </c>
      <c r="FX33" vm="6952">
        <f ca="1"/>
        <v>73.16</v>
      </c>
      <c r="FY33" vm="6953">
        <f ca="1"/>
        <v>72.430000000000007</v>
      </c>
      <c r="FZ33" vm="6954">
        <f ca="1"/>
        <v>72</v>
      </c>
      <c r="GA33" vm="2578">
        <f ca="1"/>
        <v>72.61</v>
      </c>
      <c r="GB33" vm="6955">
        <f ca="1"/>
        <v>72.03</v>
      </c>
      <c r="GC33" vm="3198">
        <f ca="1"/>
        <v>68.89</v>
      </c>
      <c r="GD33" vm="6956">
        <f ca="1"/>
        <v>69.349999999999994</v>
      </c>
      <c r="GE33" vm="6957">
        <f ca="1"/>
        <v>68.849999999999994</v>
      </c>
      <c r="GF33" vm="6956">
        <f ca="1"/>
        <v>69.349999999999994</v>
      </c>
      <c r="GG33" vm="6958">
        <f ca="1"/>
        <v>70.36</v>
      </c>
      <c r="GH33" vm="6959">
        <f ca="1"/>
        <v>70.099999999999994</v>
      </c>
      <c r="GI33" vm="6960">
        <f ca="1"/>
        <v>71.069999999999993</v>
      </c>
      <c r="GJ33" vm="6961">
        <f ca="1"/>
        <v>71.77</v>
      </c>
      <c r="GK33" vm="6962">
        <f ca="1"/>
        <v>73.12</v>
      </c>
      <c r="GL33" vm="6963">
        <f ca="1"/>
        <v>77.569999999999993</v>
      </c>
      <c r="GM33" vm="6964">
        <f ca="1"/>
        <v>76.760000000000005</v>
      </c>
      <c r="GN33" vm="6965">
        <f ca="1"/>
        <v>77.67</v>
      </c>
      <c r="GO33" vm="6406">
        <f ca="1"/>
        <v>78.34</v>
      </c>
      <c r="GP33" vm="6966">
        <f ca="1"/>
        <v>77.36</v>
      </c>
      <c r="GQ33" vm="6967">
        <f ca="1"/>
        <v>80.08</v>
      </c>
      <c r="GR33" vm="6968">
        <f ca="1"/>
        <v>77.88</v>
      </c>
      <c r="GS33" vm="6969">
        <f ca="1"/>
        <v>78.03</v>
      </c>
      <c r="GT33" vm="6970">
        <f ca="1"/>
        <v>77.47</v>
      </c>
      <c r="GU33" vm="6971">
        <f ca="1"/>
        <v>77.44</v>
      </c>
      <c r="GV33" vm="2382">
        <f ca="1"/>
        <v>77.31</v>
      </c>
      <c r="GW33" vm="6972">
        <f ca="1"/>
        <v>79.36</v>
      </c>
      <c r="GX33" vm="6973">
        <f ca="1"/>
        <v>80.260000000000005</v>
      </c>
      <c r="GY33" vm="6974">
        <f ca="1"/>
        <v>81.16</v>
      </c>
      <c r="GZ33" vm="6975">
        <f ca="1"/>
        <v>81.650000000000006</v>
      </c>
      <c r="HA33" vm="6976">
        <f ca="1"/>
        <v>78.98</v>
      </c>
      <c r="HB33" vm="6977">
        <f ca="1"/>
        <v>80.510000000000005</v>
      </c>
      <c r="HC33" vm="6978">
        <f ca="1"/>
        <v>80.67</v>
      </c>
      <c r="HD33" vm="6979">
        <f ca="1"/>
        <v>79.55</v>
      </c>
      <c r="HE33" vm="6980">
        <f ca="1"/>
        <v>80.819999999999993</v>
      </c>
      <c r="HF33" vm="6981">
        <f ca="1"/>
        <v>79.819999999999993</v>
      </c>
      <c r="HG33" vm="6982">
        <f ca="1"/>
        <v>80.94</v>
      </c>
      <c r="HH33" vm="6983">
        <f ca="1"/>
        <v>80.56</v>
      </c>
      <c r="HI33" vm="6984">
        <f ca="1"/>
        <v>80.91</v>
      </c>
      <c r="HJ33" vm="6356">
        <f ca="1"/>
        <v>80.83</v>
      </c>
      <c r="HK33" vm="6985">
        <f ca="1"/>
        <v>81.39</v>
      </c>
      <c r="HL33" vm="6986">
        <f ca="1"/>
        <v>81.7</v>
      </c>
      <c r="HM33" vm="6987">
        <f ca="1"/>
        <v>83.59</v>
      </c>
      <c r="HN33" vm="6988">
        <f ca="1"/>
        <v>80.28</v>
      </c>
      <c r="HO33" vm="6989">
        <f ca="1"/>
        <v>78.22</v>
      </c>
      <c r="HP33" vm="6990">
        <f ca="1"/>
        <v>79.3</v>
      </c>
      <c r="HQ33" vm="6991">
        <f ca="1"/>
        <v>77.25</v>
      </c>
      <c r="HR33" vm="6992">
        <f ca="1"/>
        <v>78.13</v>
      </c>
      <c r="HS33" vm="2429">
        <f ca="1"/>
        <v>79.25</v>
      </c>
      <c r="HT33" vm="6993">
        <f ca="1"/>
        <v>81.41</v>
      </c>
      <c r="HU33" vm="6994">
        <f ca="1"/>
        <v>81.349999999999994</v>
      </c>
      <c r="HV33" vm="6995">
        <f ca="1"/>
        <v>83.01</v>
      </c>
      <c r="HW33" vm="5779">
        <f ca="1"/>
        <v>86.94</v>
      </c>
      <c r="HX33" vm="6996">
        <f ca="1"/>
        <v>86.4</v>
      </c>
      <c r="HY33" vm="6997">
        <f ca="1"/>
        <v>87.31</v>
      </c>
      <c r="HZ33" vm="6998">
        <f ca="1"/>
        <v>85.79</v>
      </c>
      <c r="IA33" vm="6999">
        <f ca="1"/>
        <v>85.83</v>
      </c>
      <c r="IB33" vm="7000">
        <f ca="1"/>
        <v>84.67</v>
      </c>
      <c r="IC33" vm="7001">
        <f ca="1"/>
        <v>84.09</v>
      </c>
      <c r="ID33" vm="7002">
        <f ca="1"/>
        <v>84.74</v>
      </c>
      <c r="IE33" vm="7003">
        <f ca="1"/>
        <v>84.82</v>
      </c>
      <c r="IF33" vm="7004">
        <f ca="1"/>
        <v>86.77</v>
      </c>
      <c r="IG33" vm="7005">
        <f ca="1"/>
        <v>87.77</v>
      </c>
      <c r="IH33" vm="5779">
        <f ca="1"/>
        <v>86.94</v>
      </c>
      <c r="II33" vm="7006">
        <f ca="1"/>
        <v>86.57</v>
      </c>
      <c r="IJ33" vm="7004">
        <f ca="1"/>
        <v>86.77</v>
      </c>
      <c r="IK33" vm="7007">
        <f ca="1"/>
        <v>86.53</v>
      </c>
      <c r="IL33" vm="7008">
        <f ca="1"/>
        <v>85.14</v>
      </c>
      <c r="IM33" vm="7009">
        <f ca="1"/>
        <v>89.33</v>
      </c>
      <c r="IN33" vm="7010">
        <f ca="1"/>
        <v>89.045000000000002</v>
      </c>
      <c r="IO33" vm="7011">
        <f ca="1"/>
        <v>89.88</v>
      </c>
      <c r="IP33" vm="6272">
        <f ca="1"/>
        <v>90</v>
      </c>
      <c r="IQ33" vm="7012">
        <f ca="1"/>
        <v>88.76</v>
      </c>
    </row>
    <row r="34" spans="1:251">
      <c r="A34" cm="1" vm="7013">
        <f t="array" aca="1" ref="A34:IQ34" ca="1">TRANSPOSE(_xlfn.STOCKHISTORY(Table3[[#This Row],[Stock Name ]],TODAY()-365,TODAY(),0,0,1))</f>
        <v>28.58</v>
      </c>
      <c r="B34" vm="7014">
        <f ca="1"/>
        <v>26.66</v>
      </c>
      <c r="C34" vm="7015">
        <f ca="1"/>
        <v>26.13</v>
      </c>
      <c r="D34" vm="7016">
        <f ca="1"/>
        <v>26.63</v>
      </c>
      <c r="E34" vm="7017">
        <f ca="1"/>
        <v>27.06</v>
      </c>
      <c r="F34" vm="7018">
        <f ca="1"/>
        <v>28.16</v>
      </c>
      <c r="G34" vm="7019">
        <f ca="1"/>
        <v>27.63</v>
      </c>
      <c r="H34" vm="7020">
        <f ca="1"/>
        <v>28.31</v>
      </c>
      <c r="I34" vm="7021">
        <f ca="1"/>
        <v>28.4</v>
      </c>
      <c r="J34" vm="7022">
        <f ca="1"/>
        <v>28.41</v>
      </c>
      <c r="K34" vm="7023">
        <f ca="1"/>
        <v>28.61</v>
      </c>
      <c r="L34" vm="7024">
        <f ca="1"/>
        <v>28.79</v>
      </c>
      <c r="M34" vm="7024">
        <f ca="1"/>
        <v>28.79</v>
      </c>
      <c r="N34" vm="7025">
        <f ca="1"/>
        <v>29.73</v>
      </c>
      <c r="O34" vm="7025">
        <f ca="1"/>
        <v>29.73</v>
      </c>
      <c r="P34" vm="7026">
        <f ca="1"/>
        <v>29.09</v>
      </c>
      <c r="Q34" vm="7027">
        <f ca="1"/>
        <v>29.47</v>
      </c>
      <c r="R34" vm="7028">
        <f ca="1"/>
        <v>29.58</v>
      </c>
      <c r="S34" vm="7029">
        <f ca="1"/>
        <v>29.4</v>
      </c>
      <c r="T34" vm="7030">
        <f ca="1"/>
        <v>28.99</v>
      </c>
      <c r="U34" vm="7021">
        <f ca="1"/>
        <v>28.4</v>
      </c>
      <c r="V34" vm="7031">
        <f ca="1"/>
        <v>28.7</v>
      </c>
      <c r="W34" vm="7032">
        <f ca="1"/>
        <v>28.32</v>
      </c>
      <c r="X34" vm="7033">
        <f ca="1"/>
        <v>28.15</v>
      </c>
      <c r="Y34" vm="7034">
        <f ca="1"/>
        <v>28.09</v>
      </c>
      <c r="Z34" vm="7035">
        <f ca="1"/>
        <v>28.28</v>
      </c>
      <c r="AA34" vm="7020">
        <f ca="1"/>
        <v>28.31</v>
      </c>
      <c r="AB34" vm="7036">
        <f ca="1"/>
        <v>28.43</v>
      </c>
      <c r="AC34" vm="7037">
        <f ca="1"/>
        <v>28.33</v>
      </c>
      <c r="AD34" vm="7038">
        <f ca="1"/>
        <v>27.47</v>
      </c>
      <c r="AE34" vm="7038">
        <f ca="1"/>
        <v>27.47</v>
      </c>
      <c r="AF34" vm="7039">
        <f ca="1"/>
        <v>27.48</v>
      </c>
      <c r="AG34" vm="7040">
        <f ca="1"/>
        <v>27.02</v>
      </c>
      <c r="AH34" vm="7041">
        <f ca="1"/>
        <v>27.08</v>
      </c>
      <c r="AI34" vm="7042">
        <f ca="1"/>
        <v>27.29</v>
      </c>
      <c r="AJ34" vm="7043">
        <f ca="1"/>
        <v>26.93</v>
      </c>
      <c r="AK34" vm="7044">
        <f ca="1"/>
        <v>26.57</v>
      </c>
      <c r="AL34" vm="7045">
        <f ca="1"/>
        <v>27.5</v>
      </c>
      <c r="AM34" vm="7046">
        <f ca="1"/>
        <v>27.56</v>
      </c>
      <c r="AN34" vm="7047">
        <f ca="1"/>
        <v>27.57</v>
      </c>
      <c r="AO34" vm="7046">
        <f ca="1"/>
        <v>27.56</v>
      </c>
      <c r="AP34" vm="7048">
        <f ca="1"/>
        <v>27.66</v>
      </c>
      <c r="AQ34" vm="7049">
        <f ca="1"/>
        <v>26.97</v>
      </c>
      <c r="AR34" vm="7050">
        <f ca="1"/>
        <v>27.11</v>
      </c>
      <c r="AS34" vm="7051">
        <f ca="1"/>
        <v>27.51</v>
      </c>
      <c r="AT34" vm="7052">
        <f ca="1"/>
        <v>27.62</v>
      </c>
      <c r="AU34" vm="7053">
        <f ca="1"/>
        <v>27.59</v>
      </c>
      <c r="AV34" vm="7054">
        <f ca="1"/>
        <v>27.67</v>
      </c>
      <c r="AW34" vm="7055">
        <f ca="1"/>
        <v>27.55</v>
      </c>
      <c r="AX34" vm="7056">
        <f ca="1"/>
        <v>27.76</v>
      </c>
      <c r="AY34" vm="7057">
        <f ca="1"/>
        <v>27.18</v>
      </c>
      <c r="AZ34" vm="7058">
        <f ca="1"/>
        <v>26.89</v>
      </c>
      <c r="BA34" vm="7059">
        <f ca="1"/>
        <v>27.04</v>
      </c>
      <c r="BB34" vm="7060">
        <f ca="1"/>
        <v>26.56</v>
      </c>
      <c r="BC34" vm="7061">
        <f ca="1"/>
        <v>26.59</v>
      </c>
      <c r="BD34" vm="7062">
        <f ca="1"/>
        <v>25.89</v>
      </c>
      <c r="BE34" vm="7063">
        <f ca="1"/>
        <v>26.08</v>
      </c>
      <c r="BF34" vm="7064">
        <f ca="1"/>
        <v>27.19</v>
      </c>
      <c r="BG34" vm="7065">
        <f ca="1"/>
        <v>26.79</v>
      </c>
      <c r="BH34" vm="7066">
        <f ca="1"/>
        <v>27.22</v>
      </c>
      <c r="BI34" vm="7067">
        <f ca="1"/>
        <v>28.37</v>
      </c>
      <c r="BJ34" vm="7068">
        <f ca="1"/>
        <v>28.01</v>
      </c>
      <c r="BK34" vm="7069">
        <f ca="1"/>
        <v>28.22</v>
      </c>
      <c r="BL34" vm="7070">
        <f ca="1"/>
        <v>28.13</v>
      </c>
      <c r="BM34" vm="7071">
        <f ca="1"/>
        <v>27.94</v>
      </c>
      <c r="BN34" vm="7072">
        <f ca="1"/>
        <v>27.72</v>
      </c>
      <c r="BO34" vm="7019">
        <f ca="1"/>
        <v>27.63</v>
      </c>
      <c r="BP34" vm="7073">
        <f ca="1"/>
        <v>27.7</v>
      </c>
      <c r="BQ34" vm="7048">
        <f ca="1"/>
        <v>27.66</v>
      </c>
      <c r="BR34" vm="7074">
        <f ca="1"/>
        <v>27.36</v>
      </c>
      <c r="BS34" vm="7075">
        <f ca="1"/>
        <v>27.43</v>
      </c>
      <c r="BT34" vm="7053">
        <f ca="1"/>
        <v>27.59</v>
      </c>
      <c r="BU34" vm="7076">
        <f ca="1"/>
        <v>27.78</v>
      </c>
      <c r="BV34" vm="7077">
        <f ca="1"/>
        <v>27.75</v>
      </c>
      <c r="BW34" vm="7072">
        <f ca="1"/>
        <v>27.72</v>
      </c>
      <c r="BX34" vm="7055">
        <f ca="1"/>
        <v>27.55</v>
      </c>
      <c r="BY34" vm="7066">
        <f ca="1"/>
        <v>27.22</v>
      </c>
      <c r="BZ34" vm="7078">
        <f ca="1"/>
        <v>26.65</v>
      </c>
      <c r="CA34" vm="7014">
        <f ca="1"/>
        <v>26.66</v>
      </c>
      <c r="CB34" vm="7079">
        <f ca="1"/>
        <v>26.58</v>
      </c>
      <c r="CC34" vm="7080">
        <f ca="1"/>
        <v>26.78</v>
      </c>
      <c r="CD34" vm="7081">
        <f ca="1"/>
        <v>26.32</v>
      </c>
      <c r="CE34" vm="7082">
        <f ca="1"/>
        <v>26.34</v>
      </c>
      <c r="CF34" vm="7083">
        <f ca="1"/>
        <v>25.86</v>
      </c>
      <c r="CG34" vm="7084">
        <f ca="1"/>
        <v>25.91</v>
      </c>
      <c r="CH34" vm="7085">
        <f ca="1"/>
        <v>25.69</v>
      </c>
      <c r="CI34" vm="7086">
        <f ca="1"/>
        <v>25.42</v>
      </c>
      <c r="CJ34" vm="7087">
        <f ca="1"/>
        <v>25.39</v>
      </c>
      <c r="CK34" vm="7088">
        <f ca="1"/>
        <v>26</v>
      </c>
      <c r="CL34" vm="7089">
        <f ca="1"/>
        <v>26.26</v>
      </c>
      <c r="CM34" vm="7081">
        <f ca="1"/>
        <v>26.32</v>
      </c>
      <c r="CN34" vm="7090">
        <f ca="1"/>
        <v>26.27</v>
      </c>
      <c r="CO34" vm="7091">
        <f ca="1"/>
        <v>25.26</v>
      </c>
      <c r="CP34" vm="7092">
        <f ca="1"/>
        <v>25.4</v>
      </c>
      <c r="CQ34" vm="7093">
        <f ca="1"/>
        <v>25.64</v>
      </c>
      <c r="CR34" vm="7094">
        <f ca="1"/>
        <v>25.62</v>
      </c>
      <c r="CS34" vm="7057">
        <f ca="1"/>
        <v>27.18</v>
      </c>
      <c r="CT34" vm="7073">
        <f ca="1"/>
        <v>27.7</v>
      </c>
      <c r="CU34" vm="7095">
        <f ca="1"/>
        <v>27.81</v>
      </c>
      <c r="CV34" vm="7018">
        <f ca="1"/>
        <v>28.16</v>
      </c>
      <c r="CW34" vm="7096">
        <f ca="1"/>
        <v>27.77</v>
      </c>
      <c r="CX34" vm="7097">
        <f ca="1"/>
        <v>28.27</v>
      </c>
      <c r="CY34" vm="7098">
        <f ca="1"/>
        <v>28.18</v>
      </c>
      <c r="CZ34" vm="7068">
        <f ca="1"/>
        <v>28.01</v>
      </c>
      <c r="DA34" vm="7099">
        <f ca="1"/>
        <v>28.44</v>
      </c>
      <c r="DB34" vm="7100">
        <f ca="1"/>
        <v>28.38</v>
      </c>
      <c r="DC34" vm="7101">
        <f ca="1"/>
        <v>28.82</v>
      </c>
      <c r="DD34" vm="7102">
        <f ca="1"/>
        <v>28.92</v>
      </c>
      <c r="DE34" vm="7103">
        <f ca="1"/>
        <v>28.64</v>
      </c>
      <c r="DF34" vm="7104">
        <f ca="1"/>
        <v>28.53</v>
      </c>
      <c r="DG34" vm="7105">
        <f ca="1"/>
        <v>28.56</v>
      </c>
      <c r="DH34" vm="7106">
        <f ca="1"/>
        <v>29.6</v>
      </c>
      <c r="DI34" vm="7107">
        <f ca="1"/>
        <v>28.69</v>
      </c>
      <c r="DJ34" vm="7108">
        <f ca="1"/>
        <v>28.88</v>
      </c>
      <c r="DK34" vm="7109">
        <f ca="1"/>
        <v>28.3</v>
      </c>
      <c r="DL34" vm="7110">
        <f ca="1"/>
        <v>27.82</v>
      </c>
      <c r="DM34" vm="7111">
        <f ca="1"/>
        <v>28.2</v>
      </c>
      <c r="DN34" vm="7112">
        <f ca="1"/>
        <v>28.66</v>
      </c>
      <c r="DO34" vm="7113">
        <f ca="1"/>
        <v>29.31</v>
      </c>
      <c r="DP34" vm="7114">
        <f ca="1"/>
        <v>29.49</v>
      </c>
      <c r="DQ34" vm="7115">
        <f ca="1"/>
        <v>29.55</v>
      </c>
      <c r="DR34" vm="7116">
        <f ca="1"/>
        <v>28.8</v>
      </c>
      <c r="DS34" vm="7013">
        <f ca="1"/>
        <v>28.58</v>
      </c>
      <c r="DT34" vm="7117">
        <f ca="1"/>
        <v>28.07</v>
      </c>
      <c r="DU34" vm="7118">
        <f ca="1"/>
        <v>28.03</v>
      </c>
      <c r="DV34" vm="7048">
        <f ca="1"/>
        <v>27.66</v>
      </c>
      <c r="DW34" vm="7119">
        <f ca="1"/>
        <v>27.65</v>
      </c>
      <c r="DX34" vm="7120">
        <f ca="1"/>
        <v>27.53</v>
      </c>
      <c r="DY34" vm="7121">
        <f ca="1"/>
        <v>26.98</v>
      </c>
      <c r="DZ34" vm="7122">
        <f ca="1"/>
        <v>27.41</v>
      </c>
      <c r="EA34" vm="7123">
        <f ca="1"/>
        <v>27.74</v>
      </c>
      <c r="EB34" vm="7123">
        <f ca="1"/>
        <v>27.74</v>
      </c>
      <c r="EC34" vm="7124">
        <f ca="1"/>
        <v>28.36</v>
      </c>
      <c r="ED34" vm="7125">
        <f ca="1"/>
        <v>27.99</v>
      </c>
      <c r="EE34" vm="7126">
        <f ca="1"/>
        <v>27.42</v>
      </c>
      <c r="EF34" vm="7127">
        <f ca="1"/>
        <v>27.8</v>
      </c>
      <c r="EG34" vm="7128">
        <f ca="1"/>
        <v>27.98</v>
      </c>
      <c r="EH34" vm="7069">
        <f ca="1"/>
        <v>28.22</v>
      </c>
      <c r="EI34" vm="7129">
        <f ca="1"/>
        <v>27.83</v>
      </c>
      <c r="EJ34" vm="7073">
        <f ca="1"/>
        <v>27.7</v>
      </c>
      <c r="EK34" vm="7130">
        <f ca="1"/>
        <v>28.05</v>
      </c>
      <c r="EL34" vm="7131">
        <f ca="1"/>
        <v>27.93</v>
      </c>
      <c r="EM34" vm="7072">
        <f ca="1"/>
        <v>27.72</v>
      </c>
      <c r="EN34" vm="7132">
        <f ca="1"/>
        <v>28.35</v>
      </c>
      <c r="EO34" vm="7112">
        <f ca="1"/>
        <v>28.66</v>
      </c>
      <c r="EP34" vm="7102">
        <f ca="1"/>
        <v>28.92</v>
      </c>
      <c r="EQ34" vm="7133">
        <f ca="1"/>
        <v>29.1</v>
      </c>
      <c r="ER34" vm="7134">
        <f ca="1"/>
        <v>29.5</v>
      </c>
      <c r="ES34" vm="3795">
        <f ca="1"/>
        <v>30.03</v>
      </c>
      <c r="ET34" vm="7135">
        <f ca="1"/>
        <v>29.71</v>
      </c>
      <c r="EU34" vm="7136">
        <f ca="1"/>
        <v>29.97</v>
      </c>
      <c r="EV34" vm="7106">
        <f ca="1"/>
        <v>29.6</v>
      </c>
      <c r="EW34" vm="7134">
        <f ca="1"/>
        <v>29.5</v>
      </c>
      <c r="EX34" vm="7137">
        <f ca="1"/>
        <v>29.98</v>
      </c>
      <c r="EY34" vm="7138">
        <f ca="1"/>
        <v>30.18</v>
      </c>
      <c r="EZ34" vm="7139">
        <f ca="1"/>
        <v>30.77</v>
      </c>
      <c r="FA34" vm="3789">
        <f ca="1"/>
        <v>30.72</v>
      </c>
      <c r="FB34" vm="7140">
        <f ca="1"/>
        <v>31.39</v>
      </c>
      <c r="FC34" vm="3808">
        <f ca="1"/>
        <v>30.54</v>
      </c>
      <c r="FD34" vm="7141">
        <f ca="1"/>
        <v>30.65</v>
      </c>
      <c r="FE34" vm="7142">
        <f ca="1"/>
        <v>30.43</v>
      </c>
      <c r="FF34" vm="7143">
        <f ca="1"/>
        <v>29.74</v>
      </c>
      <c r="FG34" vm="7144">
        <f ca="1"/>
        <v>29.32</v>
      </c>
      <c r="FH34" vm="7145">
        <f ca="1"/>
        <v>28.85</v>
      </c>
      <c r="FI34" vm="7146">
        <f ca="1"/>
        <v>28.76</v>
      </c>
      <c r="FJ34" vm="7147">
        <f ca="1"/>
        <v>28.55</v>
      </c>
      <c r="FK34" vm="7148">
        <f ca="1"/>
        <v>28.45</v>
      </c>
      <c r="FL34" vm="7145">
        <f ca="1"/>
        <v>28.85</v>
      </c>
      <c r="FM34" vm="7108">
        <f ca="1"/>
        <v>28.88</v>
      </c>
      <c r="FN34" vm="7149">
        <f ca="1"/>
        <v>28.71</v>
      </c>
      <c r="FO34" vm="7109">
        <f ca="1"/>
        <v>28.3</v>
      </c>
      <c r="FP34" vm="7116">
        <f ca="1"/>
        <v>28.8</v>
      </c>
      <c r="FQ34" vm="7150">
        <f ca="1"/>
        <v>28.9</v>
      </c>
      <c r="FR34" vm="7151">
        <f ca="1"/>
        <v>29.03</v>
      </c>
      <c r="FS34" vm="7152">
        <f ca="1"/>
        <v>28.78</v>
      </c>
      <c r="FT34" vm="7150">
        <f ca="1"/>
        <v>28.9</v>
      </c>
      <c r="FU34" vm="7102">
        <f ca="1"/>
        <v>28.92</v>
      </c>
      <c r="FV34" vm="7101">
        <f ca="1"/>
        <v>28.82</v>
      </c>
      <c r="FW34" vm="7153">
        <f ca="1"/>
        <v>28.75</v>
      </c>
      <c r="FX34" vm="7154">
        <f ca="1"/>
        <v>28.72</v>
      </c>
      <c r="FY34" vm="7155">
        <f ca="1"/>
        <v>29.01</v>
      </c>
      <c r="FZ34" vm="7109">
        <f ca="1"/>
        <v>28.3</v>
      </c>
      <c r="GA34" vm="7156">
        <f ca="1"/>
        <v>28.39</v>
      </c>
      <c r="GB34" vm="7157">
        <f ca="1"/>
        <v>28.51</v>
      </c>
      <c r="GC34" vm="7105">
        <f ca="1"/>
        <v>28.56</v>
      </c>
      <c r="GD34" vm="7158">
        <f ca="1"/>
        <v>29.41</v>
      </c>
      <c r="GE34" vm="7143">
        <f ca="1"/>
        <v>29.74</v>
      </c>
      <c r="GF34" vm="7159">
        <f ca="1"/>
        <v>29.66</v>
      </c>
      <c r="GG34" vm="7160">
        <f ca="1"/>
        <v>29.16</v>
      </c>
      <c r="GH34" vm="7161">
        <f ca="1"/>
        <v>29.27</v>
      </c>
      <c r="GI34" vm="7162">
        <f ca="1"/>
        <v>30.07</v>
      </c>
      <c r="GJ34" vm="7163">
        <f ca="1"/>
        <v>29.83</v>
      </c>
      <c r="GK34" vm="7164">
        <f ca="1"/>
        <v>29.75</v>
      </c>
      <c r="GL34" vm="7159">
        <f ca="1"/>
        <v>29.66</v>
      </c>
      <c r="GM34" vm="7165">
        <f ca="1"/>
        <v>29.42</v>
      </c>
      <c r="GN34" vm="7113">
        <f ca="1"/>
        <v>29.31</v>
      </c>
      <c r="GO34" vm="7134">
        <f ca="1"/>
        <v>29.5</v>
      </c>
      <c r="GP34" vm="7166">
        <f ca="1"/>
        <v>28.93</v>
      </c>
      <c r="GQ34" vm="7167">
        <f ca="1"/>
        <v>28.97</v>
      </c>
      <c r="GR34" vm="7026">
        <f ca="1"/>
        <v>29.09</v>
      </c>
      <c r="GS34" vm="7168">
        <f ca="1"/>
        <v>28.94</v>
      </c>
      <c r="GT34" vm="7169">
        <f ca="1"/>
        <v>28.67</v>
      </c>
      <c r="GU34" vm="7023">
        <f ca="1"/>
        <v>28.61</v>
      </c>
      <c r="GV34" vm="7170">
        <f ca="1"/>
        <v>28.34</v>
      </c>
      <c r="GW34" vm="7013">
        <f ca="1"/>
        <v>28.58</v>
      </c>
      <c r="GX34" vm="7171">
        <f ca="1"/>
        <v>29.2</v>
      </c>
      <c r="GY34" vm="7172">
        <f ca="1"/>
        <v>29.18</v>
      </c>
      <c r="GZ34" vm="3792">
        <f ca="1"/>
        <v>30.19</v>
      </c>
      <c r="HA34" vm="7173">
        <f ca="1"/>
        <v>29.34</v>
      </c>
      <c r="HB34" vm="7160">
        <f ca="1"/>
        <v>29.16</v>
      </c>
      <c r="HC34" vm="7174">
        <f ca="1"/>
        <v>29.08</v>
      </c>
      <c r="HD34" vm="7175">
        <f ca="1"/>
        <v>29.44</v>
      </c>
      <c r="HE34" vm="7176">
        <f ca="1"/>
        <v>29.67</v>
      </c>
      <c r="HF34" vm="7161">
        <f ca="1"/>
        <v>29.27</v>
      </c>
      <c r="HG34" vm="7177">
        <f ca="1"/>
        <v>29.22</v>
      </c>
      <c r="HH34" vm="7166">
        <f ca="1"/>
        <v>28.93</v>
      </c>
      <c r="HI34" vm="7178">
        <f ca="1"/>
        <v>28.84</v>
      </c>
      <c r="HJ34" vm="7179">
        <f ca="1"/>
        <v>28.86</v>
      </c>
      <c r="HK34" vm="7103">
        <f ca="1"/>
        <v>28.64</v>
      </c>
      <c r="HL34" vm="7148">
        <f ca="1"/>
        <v>28.45</v>
      </c>
      <c r="HM34" vm="7179">
        <f ca="1"/>
        <v>28.86</v>
      </c>
      <c r="HN34" vm="7180">
        <f ca="1"/>
        <v>28.46</v>
      </c>
      <c r="HO34" vm="7181">
        <f ca="1"/>
        <v>28.52</v>
      </c>
      <c r="HP34" vm="7109">
        <f ca="1"/>
        <v>28.3</v>
      </c>
      <c r="HQ34" vm="7034">
        <f ca="1"/>
        <v>28.09</v>
      </c>
      <c r="HR34" vm="7056">
        <f ca="1"/>
        <v>27.76</v>
      </c>
      <c r="HS34" vm="7125">
        <f ca="1"/>
        <v>27.99</v>
      </c>
      <c r="HT34" vm="7074">
        <f ca="1"/>
        <v>27.36</v>
      </c>
      <c r="HU34" vm="7182">
        <f ca="1"/>
        <v>27.46</v>
      </c>
      <c r="HV34" vm="7183">
        <f ca="1"/>
        <v>26.72</v>
      </c>
      <c r="HW34" vm="7184">
        <f ca="1"/>
        <v>26.24</v>
      </c>
      <c r="HX34" vm="7185">
        <f ca="1"/>
        <v>26.19</v>
      </c>
      <c r="HY34" vm="7183">
        <f ca="1"/>
        <v>26.72</v>
      </c>
      <c r="HZ34" vm="7186">
        <f ca="1"/>
        <v>26.02</v>
      </c>
      <c r="IA34" vm="7187">
        <f ca="1"/>
        <v>24.8</v>
      </c>
      <c r="IB34" vm="7188">
        <f ca="1"/>
        <v>24.86</v>
      </c>
      <c r="IC34" vm="7189">
        <f ca="1"/>
        <v>25.1</v>
      </c>
      <c r="ID34" vm="7190">
        <f ca="1"/>
        <v>24.94</v>
      </c>
      <c r="IE34" vm="7191">
        <f ca="1"/>
        <v>25.13</v>
      </c>
      <c r="IF34" vm="7192">
        <f ca="1"/>
        <v>25.65</v>
      </c>
      <c r="IG34" vm="7193">
        <f ca="1"/>
        <v>26.17</v>
      </c>
      <c r="IH34" vm="7194">
        <f ca="1"/>
        <v>25.77</v>
      </c>
      <c r="II34" vm="7195">
        <f ca="1"/>
        <v>25.83</v>
      </c>
      <c r="IJ34" vm="7196">
        <f ca="1"/>
        <v>26.21</v>
      </c>
      <c r="IK34" vm="7197">
        <f ca="1"/>
        <v>25.82</v>
      </c>
      <c r="IL34" vm="7198">
        <f ca="1"/>
        <v>25.56</v>
      </c>
      <c r="IM34" vm="7199">
        <f ca="1"/>
        <v>25.23</v>
      </c>
      <c r="IN34" vm="7200">
        <f ca="1"/>
        <v>25.7</v>
      </c>
      <c r="IO34" vm="7201">
        <f ca="1"/>
        <v>25.73</v>
      </c>
      <c r="IP34" vm="7202">
        <f ca="1"/>
        <v>26.1</v>
      </c>
      <c r="IQ34" vm="7203">
        <f ca="1"/>
        <v>25.57</v>
      </c>
    </row>
    <row r="35" spans="1:251">
      <c r="A35" cm="1" vm="7204">
        <f t="array" aca="1" ref="A35:IQ35" ca="1">TRANSPOSE(_xlfn.STOCKHISTORY(Table3[[#This Row],[Stock Name ]],TODAY()-365,TODAY(),0,0,1))</f>
        <v>122.07</v>
      </c>
      <c r="B35" vm="6552">
        <f ca="1"/>
        <v>129.24</v>
      </c>
      <c r="C35" vm="7205">
        <f ca="1"/>
        <v>137.12</v>
      </c>
      <c r="D35" vm="6774">
        <f ca="1"/>
        <v>134.26</v>
      </c>
      <c r="E35" vm="7206">
        <f ca="1"/>
        <v>132.68</v>
      </c>
      <c r="F35" vm="7207">
        <f ca="1"/>
        <v>133.75</v>
      </c>
      <c r="G35" vm="7208">
        <f ca="1"/>
        <v>130.47</v>
      </c>
      <c r="H35" vm="7209">
        <f ca="1"/>
        <v>130.96</v>
      </c>
      <c r="I35" vm="7210">
        <f ca="1"/>
        <v>132.4</v>
      </c>
      <c r="J35" vm="7211">
        <f ca="1"/>
        <v>133.46</v>
      </c>
      <c r="K35" vm="7212">
        <f ca="1"/>
        <v>134.18</v>
      </c>
      <c r="L35" vm="7213">
        <f ca="1"/>
        <v>135.19</v>
      </c>
      <c r="M35" vm="7214">
        <f ca="1"/>
        <v>133.30000000000001</v>
      </c>
      <c r="N35" vm="7215">
        <f ca="1"/>
        <v>134.62</v>
      </c>
      <c r="O35" vm="7216">
        <f ca="1"/>
        <v>130.52000000000001</v>
      </c>
      <c r="P35" vm="7217">
        <f ca="1"/>
        <v>130.29</v>
      </c>
      <c r="Q35" vm="7218">
        <f ca="1"/>
        <v>130.56</v>
      </c>
      <c r="R35" vm="7219">
        <f ca="1"/>
        <v>133.16999999999999</v>
      </c>
      <c r="S35" vm="7220">
        <f ca="1"/>
        <v>133.07</v>
      </c>
      <c r="T35" vm="7221">
        <f ca="1"/>
        <v>133.55000000000001</v>
      </c>
      <c r="U35" vm="7222">
        <f ca="1"/>
        <v>131.32</v>
      </c>
      <c r="V35" vm="7223">
        <f ca="1"/>
        <v>131.55000000000001</v>
      </c>
      <c r="W35" vm="7224">
        <f ca="1"/>
        <v>129.97</v>
      </c>
      <c r="X35" vm="7225">
        <f ca="1"/>
        <v>126.86</v>
      </c>
      <c r="Y35" vm="7226">
        <f ca="1"/>
        <v>126.26</v>
      </c>
      <c r="Z35" vm="5935">
        <f ca="1"/>
        <v>128.44</v>
      </c>
      <c r="AA35" vm="7227">
        <f ca="1"/>
        <v>128.74</v>
      </c>
      <c r="AB35" vm="7228">
        <f ca="1"/>
        <v>128.01</v>
      </c>
      <c r="AC35" vm="7229">
        <f ca="1"/>
        <v>125.44</v>
      </c>
      <c r="AD35" vm="7230">
        <f ca="1"/>
        <v>126.2</v>
      </c>
      <c r="AE35" vm="7231">
        <f ca="1"/>
        <v>126.87</v>
      </c>
      <c r="AF35" vm="7232">
        <f ca="1"/>
        <v>127.89</v>
      </c>
      <c r="AG35" vm="7233">
        <f ca="1"/>
        <v>126.53</v>
      </c>
      <c r="AH35" vm="7234">
        <f ca="1"/>
        <v>126.69</v>
      </c>
      <c r="AI35" vm="5951">
        <f ca="1"/>
        <v>130.44</v>
      </c>
      <c r="AJ35" vm="7235">
        <f ca="1"/>
        <v>129.25</v>
      </c>
      <c r="AK35" vm="7236">
        <f ca="1"/>
        <v>126.91</v>
      </c>
      <c r="AL35" vm="7237">
        <f ca="1"/>
        <v>130.5</v>
      </c>
      <c r="AM35" vm="7238">
        <f ca="1"/>
        <v>129.09</v>
      </c>
      <c r="AN35" vm="7239">
        <f ca="1"/>
        <v>131.66</v>
      </c>
      <c r="AO35" vm="7240">
        <f ca="1"/>
        <v>132.47999999999999</v>
      </c>
      <c r="AP35" vm="7241">
        <f ca="1"/>
        <v>132.05000000000001</v>
      </c>
      <c r="AQ35" vm="7242">
        <f ca="1"/>
        <v>130.88</v>
      </c>
      <c r="AR35" vm="7237">
        <f ca="1"/>
        <v>130.5</v>
      </c>
      <c r="AS35" vm="7243">
        <f ca="1"/>
        <v>133.1</v>
      </c>
      <c r="AT35" vm="7244">
        <f ca="1"/>
        <v>133.38999999999999</v>
      </c>
      <c r="AU35" vm="1082">
        <f ca="1"/>
        <v>133.35</v>
      </c>
      <c r="AV35" vm="7245">
        <f ca="1"/>
        <v>133.41999999999999</v>
      </c>
      <c r="AW35" vm="7246">
        <f ca="1"/>
        <v>133.44</v>
      </c>
      <c r="AX35" vm="7247">
        <f ca="1"/>
        <v>133.21</v>
      </c>
      <c r="AY35" vm="850">
        <f ca="1"/>
        <v>132.56</v>
      </c>
      <c r="AZ35" vm="7248">
        <f ca="1"/>
        <v>132.49</v>
      </c>
      <c r="BA35" vm="7249">
        <f ca="1"/>
        <v>133.99</v>
      </c>
      <c r="BB35" vm="7250">
        <f ca="1"/>
        <v>133.27000000000001</v>
      </c>
      <c r="BC35" vm="7251">
        <f ca="1"/>
        <v>134.6</v>
      </c>
      <c r="BD35" vm="7252">
        <f ca="1"/>
        <v>133.61000000000001</v>
      </c>
      <c r="BE35" vm="7253">
        <f ca="1"/>
        <v>132.44</v>
      </c>
      <c r="BF35" vm="7254">
        <f ca="1"/>
        <v>133.08000000000001</v>
      </c>
      <c r="BG35" vm="7255">
        <f ca="1"/>
        <v>132.74</v>
      </c>
      <c r="BH35" vm="6633">
        <f ca="1"/>
        <v>135.07</v>
      </c>
      <c r="BI35" vm="7256">
        <f ca="1"/>
        <v>134.12</v>
      </c>
      <c r="BJ35" vm="7257">
        <f ca="1"/>
        <v>134.57</v>
      </c>
      <c r="BK35" vm="7258">
        <f ca="1"/>
        <v>133.33000000000001</v>
      </c>
      <c r="BL35" vm="7259">
        <f ca="1"/>
        <v>130.75</v>
      </c>
      <c r="BM35" vm="7260">
        <f ca="1"/>
        <v>129.02000000000001</v>
      </c>
      <c r="BN35" vm="7261">
        <f ca="1"/>
        <v>128.13999999999999</v>
      </c>
      <c r="BO35" vm="7262">
        <f ca="1"/>
        <v>127.85</v>
      </c>
      <c r="BP35" vm="7263">
        <f ca="1"/>
        <v>128.69999999999999</v>
      </c>
      <c r="BQ35" vm="7264">
        <f ca="1"/>
        <v>129.88999999999999</v>
      </c>
      <c r="BR35" vm="7265">
        <f ca="1"/>
        <v>128.62</v>
      </c>
      <c r="BS35" vm="7266">
        <f ca="1"/>
        <v>127.13</v>
      </c>
      <c r="BT35" vm="7267">
        <f ca="1"/>
        <v>125.14</v>
      </c>
      <c r="BU35" vm="7268">
        <f ca="1"/>
        <v>128.86000000000001</v>
      </c>
      <c r="BV35" vm="7269">
        <f ca="1"/>
        <v>130.22</v>
      </c>
      <c r="BW35" vm="7270">
        <f ca="1"/>
        <v>127.92</v>
      </c>
      <c r="BX35" vm="7271">
        <f ca="1"/>
        <v>125.58</v>
      </c>
      <c r="BY35" vm="6540">
        <f ca="1"/>
        <v>126.09</v>
      </c>
      <c r="BZ35" vm="7272">
        <f ca="1"/>
        <v>124.69</v>
      </c>
      <c r="CA35" vm="7273">
        <f ca="1"/>
        <v>124.74</v>
      </c>
      <c r="CB35" vm="7274">
        <f ca="1"/>
        <v>126.17</v>
      </c>
      <c r="CC35" vm="7226">
        <f ca="1"/>
        <v>126.26</v>
      </c>
      <c r="CD35" vm="6707">
        <f ca="1"/>
        <v>120.62</v>
      </c>
      <c r="CE35" vm="7275">
        <f ca="1"/>
        <v>120.25</v>
      </c>
      <c r="CF35" vm="3624">
        <f ca="1"/>
        <v>119</v>
      </c>
      <c r="CG35" vm="6664">
        <f ca="1"/>
        <v>115.79</v>
      </c>
      <c r="CH35" vm="7276">
        <f ca="1"/>
        <v>114.74</v>
      </c>
      <c r="CI35" vm="7277">
        <f ca="1"/>
        <v>106.49</v>
      </c>
      <c r="CJ35" vm="7278">
        <f ca="1"/>
        <v>104.69</v>
      </c>
      <c r="CK35" vm="7279">
        <f ca="1"/>
        <v>103.49</v>
      </c>
      <c r="CL35" vm="7280">
        <f ca="1"/>
        <v>104.08</v>
      </c>
      <c r="CM35" vm="7281">
        <f ca="1"/>
        <v>104.83</v>
      </c>
      <c r="CN35" vm="7282">
        <f ca="1"/>
        <v>103.18</v>
      </c>
      <c r="CO35" vm="7283">
        <f ca="1"/>
        <v>103.35</v>
      </c>
      <c r="CP35" vm="6644">
        <f ca="1"/>
        <v>104.06</v>
      </c>
      <c r="CQ35" vm="7284">
        <f ca="1"/>
        <v>105.01</v>
      </c>
      <c r="CR35" vm="7285">
        <f ca="1"/>
        <v>102.05</v>
      </c>
      <c r="CS35" vm="6250">
        <f ca="1"/>
        <v>101.88</v>
      </c>
      <c r="CT35" vm="7286">
        <f ca="1"/>
        <v>104.53</v>
      </c>
      <c r="CU35" vm="7287">
        <f ca="1"/>
        <v>105.89</v>
      </c>
      <c r="CV35" vm="7288">
        <f ca="1"/>
        <v>104.67</v>
      </c>
      <c r="CW35" vm="7289">
        <f ca="1"/>
        <v>107.76</v>
      </c>
      <c r="CX35" vm="7290">
        <f ca="1"/>
        <v>105.88</v>
      </c>
      <c r="CY35" vm="7291">
        <f ca="1"/>
        <v>108.15</v>
      </c>
      <c r="CZ35" vm="5916">
        <f ca="1"/>
        <v>107.49</v>
      </c>
      <c r="DA35" vm="7292">
        <f ca="1"/>
        <v>107.68</v>
      </c>
      <c r="DB35" vm="7293">
        <f ca="1"/>
        <v>108.28</v>
      </c>
      <c r="DC35" vm="7294">
        <f ca="1"/>
        <v>109.99</v>
      </c>
      <c r="DD35" vm="7295">
        <f ca="1"/>
        <v>110.79</v>
      </c>
      <c r="DE35" vm="7296">
        <f ca="1"/>
        <v>111.5</v>
      </c>
      <c r="DF35" vm="7297">
        <f ca="1"/>
        <v>112.05</v>
      </c>
      <c r="DG35" vm="7298">
        <f ca="1"/>
        <v>110.6</v>
      </c>
      <c r="DH35" vm="7299">
        <f ca="1"/>
        <v>109.22</v>
      </c>
      <c r="DI35" vm="3518">
        <f ca="1"/>
        <v>105.64</v>
      </c>
      <c r="DJ35" vm="6567">
        <f ca="1"/>
        <v>104.75</v>
      </c>
      <c r="DK35" vm="6238">
        <f ca="1"/>
        <v>105</v>
      </c>
      <c r="DL35" vm="6238">
        <f ca="1"/>
        <v>105</v>
      </c>
      <c r="DM35" vm="7300">
        <f ca="1"/>
        <v>107.57</v>
      </c>
      <c r="DN35" vm="7301">
        <f ca="1"/>
        <v>110.49</v>
      </c>
      <c r="DO35" vm="7302">
        <f ca="1"/>
        <v>107.4</v>
      </c>
      <c r="DP35" vm="7303">
        <f ca="1"/>
        <v>108.77</v>
      </c>
      <c r="DQ35" vm="7304">
        <f ca="1"/>
        <v>108.74</v>
      </c>
      <c r="DR35" vm="7305">
        <f ca="1"/>
        <v>110.01</v>
      </c>
      <c r="DS35" vm="7306">
        <f ca="1"/>
        <v>110.2</v>
      </c>
      <c r="DT35" vm="7307">
        <f ca="1"/>
        <v>111.17</v>
      </c>
      <c r="DU35" vm="7308">
        <f ca="1"/>
        <v>111.58</v>
      </c>
      <c r="DV35" vm="7309">
        <f ca="1"/>
        <v>112.81</v>
      </c>
      <c r="DW35" vm="7310">
        <f ca="1"/>
        <v>112.38</v>
      </c>
      <c r="DX35" vm="7311">
        <f ca="1"/>
        <v>112.29</v>
      </c>
      <c r="DY35" vm="7312">
        <f ca="1"/>
        <v>111.28</v>
      </c>
      <c r="DZ35" vm="7313">
        <f ca="1"/>
        <v>110.05</v>
      </c>
      <c r="EA35" vm="7314">
        <f ca="1"/>
        <v>109.16</v>
      </c>
      <c r="EB35" vm="7315">
        <f ca="1"/>
        <v>109.4</v>
      </c>
      <c r="EC35" vm="7316">
        <f ca="1"/>
        <v>111.63</v>
      </c>
      <c r="ED35" vm="7317">
        <f ca="1"/>
        <v>109.83</v>
      </c>
      <c r="EE35" vm="7318">
        <f ca="1"/>
        <v>110.41</v>
      </c>
      <c r="EF35" vm="7319">
        <f ca="1"/>
        <v>111.35</v>
      </c>
      <c r="EG35" vm="7320">
        <f ca="1"/>
        <v>112.31</v>
      </c>
      <c r="EH35" vm="6678">
        <f ca="1"/>
        <v>111.95</v>
      </c>
      <c r="EI35" vm="7321">
        <f ca="1"/>
        <v>113.21</v>
      </c>
      <c r="EJ35" vm="7322">
        <f ca="1"/>
        <v>113.3</v>
      </c>
      <c r="EK35" vm="7323">
        <f ca="1"/>
        <v>114.46</v>
      </c>
      <c r="EL35" vm="3592">
        <f ca="1"/>
        <v>114.41</v>
      </c>
      <c r="EM35" vm="3576">
        <f ca="1"/>
        <v>114.45</v>
      </c>
      <c r="EN35" vm="7324">
        <f ca="1"/>
        <v>116.54</v>
      </c>
      <c r="EO35" vm="7325">
        <f ca="1"/>
        <v>120.41</v>
      </c>
      <c r="EP35" vm="7326">
        <f ca="1"/>
        <v>120.15</v>
      </c>
      <c r="EQ35" vm="6207">
        <f ca="1"/>
        <v>121.14</v>
      </c>
      <c r="ER35" vm="7327">
        <f ca="1"/>
        <v>121.49</v>
      </c>
      <c r="ES35" vm="7328">
        <f ca="1"/>
        <v>123.21</v>
      </c>
      <c r="ET35" vm="7329">
        <f ca="1"/>
        <v>122.62</v>
      </c>
      <c r="EU35" vm="7330">
        <f ca="1"/>
        <v>123.75</v>
      </c>
      <c r="EV35" vm="7331">
        <f ca="1"/>
        <v>126.66</v>
      </c>
      <c r="EW35" vm="7332">
        <f ca="1"/>
        <v>125.68</v>
      </c>
      <c r="EX35" vm="7333">
        <f ca="1"/>
        <v>123.08</v>
      </c>
      <c r="EY35" vm="7334">
        <f ca="1"/>
        <v>120.43</v>
      </c>
      <c r="EZ35" vm="7335">
        <f ca="1"/>
        <v>122.68</v>
      </c>
      <c r="FA35" vm="7336">
        <f ca="1"/>
        <v>123.95</v>
      </c>
      <c r="FB35" vm="6540">
        <f ca="1"/>
        <v>126.09</v>
      </c>
      <c r="FC35" vm="7337">
        <f ca="1"/>
        <v>126.05</v>
      </c>
      <c r="FD35" vm="6600">
        <f ca="1"/>
        <v>127.72</v>
      </c>
      <c r="FE35" vm="7338">
        <f ca="1"/>
        <v>123.98</v>
      </c>
      <c r="FF35" vm="7339">
        <f ca="1"/>
        <v>118.94</v>
      </c>
      <c r="FG35" vm="3552">
        <f ca="1"/>
        <v>121.05</v>
      </c>
      <c r="FH35" vm="7326">
        <f ca="1"/>
        <v>120.15</v>
      </c>
      <c r="FI35" vm="7340">
        <f ca="1"/>
        <v>121.99</v>
      </c>
      <c r="FJ35" vm="7341">
        <f ca="1"/>
        <v>121.9</v>
      </c>
      <c r="FK35" vm="7342">
        <f ca="1"/>
        <v>119.99</v>
      </c>
      <c r="FL35" vm="7335">
        <f ca="1"/>
        <v>122.68</v>
      </c>
      <c r="FM35" vm="7343">
        <f ca="1"/>
        <v>123.42</v>
      </c>
      <c r="FN35" vm="7344">
        <f ca="1"/>
        <v>124.77</v>
      </c>
      <c r="FO35" vm="6598">
        <f ca="1"/>
        <v>122.85</v>
      </c>
      <c r="FP35" vm="7345">
        <f ca="1"/>
        <v>124.7</v>
      </c>
      <c r="FQ35" vm="7346">
        <f ca="1"/>
        <v>124.15</v>
      </c>
      <c r="FR35" vm="7347">
        <f ca="1"/>
        <v>124.47</v>
      </c>
      <c r="FS35" vm="7348">
        <f ca="1"/>
        <v>125.98</v>
      </c>
      <c r="FT35" vm="7268">
        <f ca="1"/>
        <v>128.86000000000001</v>
      </c>
      <c r="FU35" vm="7349">
        <f ca="1"/>
        <v>128.9</v>
      </c>
      <c r="FV35" vm="7350">
        <f ca="1"/>
        <v>128.94</v>
      </c>
      <c r="FW35" vm="7351">
        <f ca="1"/>
        <v>126.9</v>
      </c>
      <c r="FX35" vm="7352">
        <f ca="1"/>
        <v>125.33</v>
      </c>
      <c r="FY35" vm="7353">
        <f ca="1"/>
        <v>127.82</v>
      </c>
      <c r="FZ35" vm="7354">
        <f ca="1"/>
        <v>128.37</v>
      </c>
      <c r="GA35" vm="7355">
        <f ca="1"/>
        <v>128.27000000000001</v>
      </c>
      <c r="GB35" vm="7356">
        <f ca="1"/>
        <v>127.41</v>
      </c>
      <c r="GC35" vm="7357">
        <f ca="1"/>
        <v>127.23</v>
      </c>
      <c r="GD35" vm="7358">
        <f ca="1"/>
        <v>130.25</v>
      </c>
      <c r="GE35" vm="7210">
        <f ca="1"/>
        <v>132.4</v>
      </c>
      <c r="GF35" vm="7359">
        <f ca="1"/>
        <v>130.69</v>
      </c>
      <c r="GG35" vm="7217">
        <f ca="1"/>
        <v>130.29</v>
      </c>
      <c r="GH35" vm="7360">
        <f ca="1"/>
        <v>129.97999999999999</v>
      </c>
      <c r="GI35" vm="7361">
        <f ca="1"/>
        <v>129.28</v>
      </c>
      <c r="GJ35" vm="7362">
        <f ca="1"/>
        <v>128.87</v>
      </c>
      <c r="GK35" vm="7363">
        <f ca="1"/>
        <v>127.02</v>
      </c>
      <c r="GL35" vm="6573">
        <f ca="1"/>
        <v>128.5</v>
      </c>
      <c r="GM35" vm="7364">
        <f ca="1"/>
        <v>125.47</v>
      </c>
      <c r="GN35" vm="7365">
        <f ca="1"/>
        <v>126.63</v>
      </c>
      <c r="GO35" vm="7366">
        <f ca="1"/>
        <v>126.68</v>
      </c>
      <c r="GP35" vm="7367">
        <f ca="1"/>
        <v>125.39</v>
      </c>
      <c r="GQ35" vm="7368">
        <f ca="1"/>
        <v>125.23</v>
      </c>
      <c r="GR35" vm="7369">
        <f ca="1"/>
        <v>125.59</v>
      </c>
      <c r="GS35" vm="7370">
        <f ca="1"/>
        <v>126.28</v>
      </c>
      <c r="GT35" vm="7371">
        <f ca="1"/>
        <v>124.61</v>
      </c>
      <c r="GU35" vm="7372">
        <f ca="1"/>
        <v>124.18</v>
      </c>
      <c r="GV35" vm="3657">
        <f ca="1"/>
        <v>122.04</v>
      </c>
      <c r="GW35" vm="7373">
        <f ca="1"/>
        <v>122.42</v>
      </c>
      <c r="GX35" vm="7374">
        <f ca="1"/>
        <v>120</v>
      </c>
      <c r="GY35" vm="7375">
        <f ca="1"/>
        <v>119.34</v>
      </c>
      <c r="GZ35" vm="7376">
        <f ca="1"/>
        <v>118.84</v>
      </c>
      <c r="HA35" vm="5925">
        <f ca="1"/>
        <v>118.28</v>
      </c>
      <c r="HB35" vm="7377">
        <f ca="1"/>
        <v>120.24</v>
      </c>
      <c r="HC35" vm="7378">
        <f ca="1"/>
        <v>120.46</v>
      </c>
      <c r="HD35" vm="7379">
        <f ca="1"/>
        <v>121.39</v>
      </c>
      <c r="HE35" vm="7380">
        <f ca="1"/>
        <v>126.97</v>
      </c>
      <c r="HF35" vm="7381">
        <f ca="1"/>
        <v>122.7</v>
      </c>
      <c r="HG35" vm="7382">
        <f ca="1"/>
        <v>122.5</v>
      </c>
      <c r="HH35" vm="7383">
        <f ca="1"/>
        <v>117.77</v>
      </c>
      <c r="HI35" vm="7339">
        <f ca="1"/>
        <v>118.94</v>
      </c>
      <c r="HJ35" vm="7384">
        <f ca="1"/>
        <v>120.83</v>
      </c>
      <c r="HK35" vm="7385">
        <f ca="1"/>
        <v>120.39</v>
      </c>
      <c r="HL35" vm="7386">
        <f ca="1"/>
        <v>117.54</v>
      </c>
      <c r="HM35" vm="5933">
        <f ca="1"/>
        <v>117.81</v>
      </c>
      <c r="HN35" vm="7387">
        <f ca="1"/>
        <v>115.31</v>
      </c>
      <c r="HO35" vm="7388">
        <f ca="1"/>
        <v>115.87</v>
      </c>
      <c r="HP35" vm="7389">
        <f ca="1"/>
        <v>112.94</v>
      </c>
      <c r="HQ35" vm="7390">
        <f ca="1"/>
        <v>113.4</v>
      </c>
      <c r="HR35" vm="7391">
        <f ca="1"/>
        <v>113.86</v>
      </c>
      <c r="HS35" vm="7392">
        <f ca="1"/>
        <v>114.43</v>
      </c>
      <c r="HT35" vm="7393">
        <f ca="1"/>
        <v>113.74</v>
      </c>
      <c r="HU35" vm="7394">
        <f ca="1"/>
        <v>114.21</v>
      </c>
      <c r="HV35" vm="7395">
        <f ca="1"/>
        <v>115.83</v>
      </c>
      <c r="HW35" vm="7396">
        <f ca="1"/>
        <v>114.1</v>
      </c>
      <c r="HX35" vm="3580">
        <f ca="1"/>
        <v>112.75</v>
      </c>
      <c r="HY35" vm="7397">
        <f ca="1"/>
        <v>116.57</v>
      </c>
      <c r="HZ35" vm="7398">
        <f ca="1"/>
        <v>114.75</v>
      </c>
      <c r="IA35" vm="3571">
        <f ca="1"/>
        <v>113.42</v>
      </c>
      <c r="IB35" vm="3531">
        <f ca="1"/>
        <v>114.65</v>
      </c>
      <c r="IC35" vm="7399">
        <f ca="1"/>
        <v>115.13</v>
      </c>
      <c r="ID35" vm="6684">
        <f ca="1"/>
        <v>114.54</v>
      </c>
      <c r="IE35" vm="3579">
        <f ca="1"/>
        <v>113.97</v>
      </c>
      <c r="IF35" vm="6716">
        <f ca="1"/>
        <v>115.8</v>
      </c>
      <c r="IG35" vm="7400">
        <f ca="1"/>
        <v>118.07</v>
      </c>
      <c r="IH35" vm="3560">
        <f ca="1"/>
        <v>116.17</v>
      </c>
      <c r="II35" vm="7401">
        <f ca="1"/>
        <v>117.8</v>
      </c>
      <c r="IJ35" vm="3673">
        <f ca="1"/>
        <v>116.78</v>
      </c>
      <c r="IK35" vm="6670">
        <f ca="1"/>
        <v>115.84</v>
      </c>
      <c r="IL35" vm="7402">
        <f ca="1"/>
        <v>116.4</v>
      </c>
      <c r="IM35" vm="7403">
        <f ca="1"/>
        <v>115.05</v>
      </c>
      <c r="IN35" vm="3532">
        <f ca="1"/>
        <v>113.79</v>
      </c>
      <c r="IO35" vm="7404">
        <f ca="1"/>
        <v>112</v>
      </c>
      <c r="IP35" vm="7405">
        <f ca="1"/>
        <v>115.42</v>
      </c>
      <c r="IQ35" vm="7406">
        <f ca="1"/>
        <v>113.15</v>
      </c>
    </row>
    <row r="36" spans="1:251">
      <c r="A36" cm="1" vm="7407">
        <f t="array" aca="1" ref="A36:IQ36" ca="1">TRANSPOSE(_xlfn.STOCKHISTORY(Table3[[#This Row],[Stock Name ]],TODAY()-365,TODAY(),0,0,1))</f>
        <v>256.45</v>
      </c>
      <c r="B36" vm="7408">
        <f ca="1"/>
        <v>257.32</v>
      </c>
      <c r="C36" vm="7409">
        <f ca="1"/>
        <v>257.20999999999998</v>
      </c>
      <c r="D36" vm="7410">
        <f ca="1"/>
        <v>261.60000000000002</v>
      </c>
      <c r="E36" vm="7411">
        <f ca="1"/>
        <v>263.58999999999997</v>
      </c>
      <c r="F36" vm="7412">
        <f ca="1"/>
        <v>264.33999999999997</v>
      </c>
      <c r="G36" vm="7413">
        <f ca="1"/>
        <v>260.25</v>
      </c>
      <c r="H36" vm="7414">
        <f ca="1"/>
        <v>267.25</v>
      </c>
      <c r="I36" vm="7415">
        <f ca="1"/>
        <v>266.33999999999997</v>
      </c>
      <c r="J36" vm="7416">
        <f ca="1"/>
        <v>266.22000000000003</v>
      </c>
      <c r="K36" vm="7417">
        <f ca="1"/>
        <v>266.72000000000003</v>
      </c>
      <c r="L36" vm="7418">
        <f ca="1"/>
        <v>265.58</v>
      </c>
      <c r="M36" vm="7419">
        <f ca="1"/>
        <v>263.14</v>
      </c>
      <c r="N36" vm="7420">
        <f ca="1"/>
        <v>256.13</v>
      </c>
      <c r="O36" vm="7421">
        <f ca="1"/>
        <v>251.84</v>
      </c>
      <c r="P36" vm="7422">
        <f ca="1"/>
        <v>251.24</v>
      </c>
      <c r="Q36" vm="7423">
        <f ca="1"/>
        <v>251.12</v>
      </c>
      <c r="R36" vm="7424">
        <f ca="1"/>
        <v>260.87</v>
      </c>
      <c r="S36" vm="7425">
        <f ca="1"/>
        <v>261.33999999999997</v>
      </c>
      <c r="T36" vm="7426">
        <f ca="1"/>
        <v>264.13</v>
      </c>
      <c r="U36" vm="7427">
        <f ca="1"/>
        <v>271.38</v>
      </c>
      <c r="V36" vm="7428">
        <f ca="1"/>
        <v>271.93</v>
      </c>
      <c r="W36" vm="7429">
        <f ca="1"/>
        <v>269.19</v>
      </c>
      <c r="X36" vm="7430">
        <f ca="1"/>
        <v>271.44</v>
      </c>
      <c r="Y36" vm="7431">
        <f ca="1"/>
        <v>274.45999999999998</v>
      </c>
      <c r="Z36" vm="7432">
        <f ca="1"/>
        <v>280.88</v>
      </c>
      <c r="AA36" vm="7433">
        <f ca="1"/>
        <v>280.3</v>
      </c>
      <c r="AB36" vm="7434">
        <f ca="1"/>
        <v>276.77</v>
      </c>
      <c r="AC36" vm="5084">
        <f ca="1"/>
        <v>276.88</v>
      </c>
      <c r="AD36" vm="7435">
        <f ca="1"/>
        <v>279.02999999999997</v>
      </c>
      <c r="AE36" vm="7436">
        <f ca="1"/>
        <v>279.94</v>
      </c>
      <c r="AF36" vm="5172">
        <f ca="1"/>
        <v>287.86</v>
      </c>
      <c r="AG36" vm="7437">
        <f ca="1"/>
        <v>287.73</v>
      </c>
      <c r="AH36" vm="7438">
        <f ca="1"/>
        <v>281.08999999999997</v>
      </c>
      <c r="AI36" vm="7439">
        <f ca="1"/>
        <v>283.8</v>
      </c>
      <c r="AJ36" vm="7440">
        <f ca="1"/>
        <v>285.66000000000003</v>
      </c>
      <c r="AK36" vm="7441">
        <f ca="1"/>
        <v>288.11</v>
      </c>
      <c r="AL36" vm="7442">
        <f ca="1"/>
        <v>285.83</v>
      </c>
      <c r="AM36" vm="7443">
        <f ca="1"/>
        <v>288.83999999999997</v>
      </c>
      <c r="AN36" vm="7444">
        <f ca="1"/>
        <v>291.95</v>
      </c>
      <c r="AO36" vm="7445">
        <f ca="1"/>
        <v>291.3</v>
      </c>
      <c r="AP36" vm="7446">
        <f ca="1"/>
        <v>287.32</v>
      </c>
      <c r="AQ36" vm="7447">
        <f ca="1"/>
        <v>281.14999999999998</v>
      </c>
      <c r="AR36" vm="7448">
        <f ca="1"/>
        <v>289.14999999999998</v>
      </c>
      <c r="AS36" vm="7449">
        <f ca="1"/>
        <v>291.94</v>
      </c>
      <c r="AT36" vm="7450">
        <f ca="1"/>
        <v>289.72000000000003</v>
      </c>
      <c r="AU36" vm="7451">
        <f ca="1"/>
        <v>286.39</v>
      </c>
      <c r="AV36" vm="7452">
        <f ca="1"/>
        <v>283.55</v>
      </c>
      <c r="AW36" vm="7453">
        <f ca="1"/>
        <v>293.64999999999998</v>
      </c>
      <c r="AX36" vm="7454">
        <f ca="1"/>
        <v>292.8</v>
      </c>
      <c r="AY36" vm="7455">
        <f ca="1"/>
        <v>300.39</v>
      </c>
      <c r="AZ36" vm="7456">
        <f ca="1"/>
        <v>299.5</v>
      </c>
      <c r="BA36" vm="7457">
        <f ca="1"/>
        <v>299.77</v>
      </c>
      <c r="BB36" vm="7458">
        <f ca="1"/>
        <v>308.82</v>
      </c>
      <c r="BC36" vm="7459">
        <f ca="1"/>
        <v>316.88</v>
      </c>
      <c r="BD36" vm="7460">
        <f ca="1"/>
        <v>314.64</v>
      </c>
      <c r="BE36" vm="7461">
        <f ca="1"/>
        <v>298.75</v>
      </c>
      <c r="BF36" vm="7462">
        <f ca="1"/>
        <v>303.77</v>
      </c>
      <c r="BG36" vm="7463">
        <f ca="1"/>
        <v>302.42</v>
      </c>
      <c r="BH36" vm="7464">
        <f ca="1"/>
        <v>305.27999999999997</v>
      </c>
      <c r="BI36" vm="7465">
        <f ca="1"/>
        <v>306</v>
      </c>
      <c r="BJ36" vm="7466">
        <f ca="1"/>
        <v>306.62</v>
      </c>
      <c r="BK36" vm="7467">
        <f ca="1"/>
        <v>304.68</v>
      </c>
      <c r="BL36" vm="7468">
        <f ca="1"/>
        <v>303.32</v>
      </c>
      <c r="BM36" vm="7469">
        <f ca="1"/>
        <v>294.33</v>
      </c>
      <c r="BN36" vm="7470">
        <f ca="1"/>
        <v>300.51</v>
      </c>
      <c r="BO36" vm="7471">
        <f ca="1"/>
        <v>301.45</v>
      </c>
      <c r="BP36" vm="7472">
        <f ca="1"/>
        <v>306.08</v>
      </c>
      <c r="BQ36" vm="7473">
        <f ca="1"/>
        <v>308.39</v>
      </c>
      <c r="BR36" vm="7474">
        <f ca="1"/>
        <v>307.77</v>
      </c>
      <c r="BS36" vm="7475">
        <f ca="1"/>
        <v>306.06</v>
      </c>
      <c r="BT36" vm="7476">
        <f ca="1"/>
        <v>305.83</v>
      </c>
      <c r="BU36" vm="7477">
        <f ca="1"/>
        <v>301.38</v>
      </c>
      <c r="BV36" vm="7478">
        <f ca="1"/>
        <v>301.18</v>
      </c>
      <c r="BW36" vm="7479">
        <f ca="1"/>
        <v>302.26</v>
      </c>
      <c r="BX36" vm="7480">
        <f ca="1"/>
        <v>304</v>
      </c>
      <c r="BY36" vm="7481">
        <f ca="1"/>
        <v>304.74</v>
      </c>
      <c r="BZ36" vm="7482">
        <f ca="1"/>
        <v>294.14</v>
      </c>
      <c r="CA36" vm="7483">
        <f ca="1"/>
        <v>301.91000000000003</v>
      </c>
      <c r="CB36" vm="7484">
        <f ca="1"/>
        <v>301.73</v>
      </c>
      <c r="CC36" vm="7485">
        <f ca="1"/>
        <v>302.37</v>
      </c>
      <c r="CD36" vm="7486">
        <f ca="1"/>
        <v>299.62</v>
      </c>
      <c r="CE36" vm="7487">
        <f ca="1"/>
        <v>299.14999999999998</v>
      </c>
      <c r="CF36" vm="7488">
        <f ca="1"/>
        <v>294.32</v>
      </c>
      <c r="CG36" vm="7489">
        <f ca="1"/>
        <v>272.89999999999998</v>
      </c>
      <c r="CH36" vm="7490">
        <f ca="1"/>
        <v>277.41000000000003</v>
      </c>
      <c r="CI36" vm="7491">
        <f ca="1"/>
        <v>276.32</v>
      </c>
      <c r="CJ36" vm="7492">
        <f ca="1"/>
        <v>271.92</v>
      </c>
      <c r="CK36" vm="7493">
        <f ca="1"/>
        <v>270.37</v>
      </c>
      <c r="CL36" vm="7494">
        <f ca="1"/>
        <v>273.81</v>
      </c>
      <c r="CM36" vm="7495">
        <f ca="1"/>
        <v>276.68</v>
      </c>
      <c r="CN36" vm="7496">
        <f ca="1"/>
        <v>276.19</v>
      </c>
      <c r="CO36" vm="7497">
        <f ca="1"/>
        <v>273.14</v>
      </c>
      <c r="CP36" vm="7498">
        <f ca="1"/>
        <v>274.29000000000002</v>
      </c>
      <c r="CQ36" vm="7499">
        <f ca="1"/>
        <v>275.74</v>
      </c>
      <c r="CR36" vm="7500">
        <f ca="1"/>
        <v>268.94</v>
      </c>
      <c r="CS36" vm="7501">
        <f ca="1"/>
        <v>268.69</v>
      </c>
      <c r="CT36" vm="7502">
        <f ca="1"/>
        <v>272.13</v>
      </c>
      <c r="CU36" vm="7503">
        <f ca="1"/>
        <v>273.66000000000003</v>
      </c>
      <c r="CV36" vm="7504">
        <f ca="1"/>
        <v>275.63</v>
      </c>
      <c r="CW36" vm="4707">
        <f ca="1"/>
        <v>277.18</v>
      </c>
      <c r="CX36" vm="7505">
        <f ca="1"/>
        <v>278.97000000000003</v>
      </c>
      <c r="CY36" vm="7506">
        <f ca="1"/>
        <v>275.17</v>
      </c>
      <c r="CZ36" vm="7507">
        <f ca="1"/>
        <v>276.67</v>
      </c>
      <c r="DA36" vm="7508">
        <f ca="1"/>
        <v>277.52</v>
      </c>
      <c r="DB36" vm="7509">
        <f ca="1"/>
        <v>276.8</v>
      </c>
      <c r="DC36" vm="7510">
        <f ca="1"/>
        <v>287.54000000000002</v>
      </c>
      <c r="DD36" vm="7511">
        <f ca="1"/>
        <v>284.68</v>
      </c>
      <c r="DE36" vm="7512">
        <f ca="1"/>
        <v>285.61</v>
      </c>
      <c r="DF36" vm="7513">
        <f ca="1"/>
        <v>287.07</v>
      </c>
      <c r="DG36" vm="7514">
        <f ca="1"/>
        <v>283.76</v>
      </c>
      <c r="DH36" vm="7515">
        <f ca="1"/>
        <v>283.82</v>
      </c>
      <c r="DI36" vm="7516">
        <f ca="1"/>
        <v>278.57</v>
      </c>
      <c r="DJ36" vm="7517">
        <f ca="1"/>
        <v>272.29000000000002</v>
      </c>
      <c r="DK36" vm="7518">
        <f ca="1"/>
        <v>269.83</v>
      </c>
      <c r="DL36" vm="7519">
        <f ca="1"/>
        <v>271.62</v>
      </c>
      <c r="DM36" vm="4549">
        <f ca="1"/>
        <v>218.01</v>
      </c>
      <c r="DN36" vm="7520">
        <f ca="1"/>
        <v>234.44</v>
      </c>
      <c r="DO36" vm="7521">
        <f ca="1"/>
        <v>236.62</v>
      </c>
      <c r="DP36" vm="7522">
        <f ca="1"/>
        <v>234.86</v>
      </c>
      <c r="DQ36" vm="7523">
        <f ca="1"/>
        <v>236.53</v>
      </c>
      <c r="DR36" vm="7524">
        <f ca="1"/>
        <v>242.76</v>
      </c>
      <c r="DS36" vm="7525">
        <f ca="1"/>
        <v>241.85</v>
      </c>
      <c r="DT36" vm="7526">
        <f ca="1"/>
        <v>241.84</v>
      </c>
      <c r="DU36" vm="7527">
        <f ca="1"/>
        <v>240.99</v>
      </c>
      <c r="DV36" vm="7528">
        <f ca="1"/>
        <v>235.8</v>
      </c>
      <c r="DW36" vm="7529">
        <f ca="1"/>
        <v>229.03</v>
      </c>
      <c r="DX36" vm="7530">
        <f ca="1"/>
        <v>231.94</v>
      </c>
      <c r="DY36" vm="7531">
        <f ca="1"/>
        <v>230.48</v>
      </c>
      <c r="DZ36" vm="7532">
        <f ca="1"/>
        <v>231.81</v>
      </c>
      <c r="EA36" vm="7533">
        <f ca="1"/>
        <v>241.8</v>
      </c>
      <c r="EB36" vm="7534">
        <f ca="1"/>
        <v>245.06</v>
      </c>
      <c r="EC36" vm="7535">
        <f ca="1"/>
        <v>239.94</v>
      </c>
      <c r="ED36" vm="7536">
        <f ca="1"/>
        <v>241.76</v>
      </c>
      <c r="EE36" vm="7537">
        <f ca="1"/>
        <v>243.15</v>
      </c>
      <c r="EF36" vm="7538">
        <f ca="1"/>
        <v>252.85</v>
      </c>
      <c r="EG36" vm="7539">
        <f ca="1"/>
        <v>257.10000000000002</v>
      </c>
      <c r="EH36" vm="5116">
        <f ca="1"/>
        <v>256.20999999999998</v>
      </c>
      <c r="EI36" vm="7540">
        <f ca="1"/>
        <v>256.19</v>
      </c>
      <c r="EJ36" vm="7541">
        <f ca="1"/>
        <v>260.95</v>
      </c>
      <c r="EK36" vm="7542">
        <f ca="1"/>
        <v>263.19</v>
      </c>
      <c r="EL36" vm="7543">
        <f ca="1"/>
        <v>257.37</v>
      </c>
      <c r="EM36" vm="7544">
        <f ca="1"/>
        <v>252.43</v>
      </c>
      <c r="EN36" vm="7545">
        <f ca="1"/>
        <v>252.59</v>
      </c>
      <c r="EO36" vm="7423">
        <f ca="1"/>
        <v>251.12</v>
      </c>
      <c r="EP36" vm="7546">
        <f ca="1"/>
        <v>253.97</v>
      </c>
      <c r="EQ36" vm="7547">
        <f ca="1"/>
        <v>252.86</v>
      </c>
      <c r="ER36" vm="7548">
        <f ca="1"/>
        <v>256.02999999999997</v>
      </c>
      <c r="ES36" vm="7549">
        <f ca="1"/>
        <v>251.22</v>
      </c>
      <c r="ET36" vm="7550">
        <f ca="1"/>
        <v>247.35</v>
      </c>
      <c r="EU36" vm="7551">
        <f ca="1"/>
        <v>247.63</v>
      </c>
      <c r="EV36" vm="7552">
        <f ca="1"/>
        <v>254.08</v>
      </c>
      <c r="EW36" vm="7553">
        <f ca="1"/>
        <v>256.06</v>
      </c>
      <c r="EX36" vm="7554">
        <f ca="1"/>
        <v>249.78</v>
      </c>
      <c r="EY36" vm="7555">
        <f ca="1"/>
        <v>256.52</v>
      </c>
      <c r="EZ36" vm="7556">
        <f ca="1"/>
        <v>262.70999999999998</v>
      </c>
      <c r="FA36" vm="7557">
        <f ca="1"/>
        <v>258.58999999999997</v>
      </c>
      <c r="FB36" vm="5106">
        <f ca="1"/>
        <v>257.93</v>
      </c>
      <c r="FC36" vm="7558">
        <f ca="1"/>
        <v>258.8</v>
      </c>
      <c r="FD36" vm="7559">
        <f ca="1"/>
        <v>253.06</v>
      </c>
      <c r="FE36" vm="7560">
        <f ca="1"/>
        <v>243.97</v>
      </c>
      <c r="FF36" vm="7561">
        <f ca="1"/>
        <v>239.01</v>
      </c>
      <c r="FG36" vm="7562">
        <f ca="1"/>
        <v>238.42</v>
      </c>
      <c r="FH36" vm="7563">
        <f ca="1"/>
        <v>240.04</v>
      </c>
      <c r="FI36" vm="7564">
        <f ca="1"/>
        <v>249.12</v>
      </c>
      <c r="FJ36" vm="7565">
        <f ca="1"/>
        <v>252.53</v>
      </c>
      <c r="FK36" vm="7566">
        <f ca="1"/>
        <v>251.31</v>
      </c>
      <c r="FL36" vm="7567">
        <f ca="1"/>
        <v>254.6</v>
      </c>
      <c r="FM36" vm="7568">
        <f ca="1"/>
        <v>255.32</v>
      </c>
      <c r="FN36" vm="7569">
        <f ca="1"/>
        <v>262.79000000000002</v>
      </c>
      <c r="FO36" vm="7570">
        <f ca="1"/>
        <v>262.91000000000003</v>
      </c>
      <c r="FP36" vm="7571">
        <f ca="1"/>
        <v>265.38</v>
      </c>
      <c r="FQ36" vm="7572">
        <f ca="1"/>
        <v>261.83999999999997</v>
      </c>
      <c r="FR36" vm="7573">
        <f ca="1"/>
        <v>261.08999999999997</v>
      </c>
      <c r="FS36" vm="7557">
        <f ca="1"/>
        <v>258.58999999999997</v>
      </c>
      <c r="FT36" vm="7574">
        <f ca="1"/>
        <v>264</v>
      </c>
      <c r="FU36" vm="7575">
        <f ca="1"/>
        <v>265.27999999999997</v>
      </c>
      <c r="FV36" vm="7576">
        <f ca="1"/>
        <v>264.2</v>
      </c>
      <c r="FW36" vm="7577">
        <f ca="1"/>
        <v>258.89999999999998</v>
      </c>
      <c r="FX36" vm="7578">
        <f ca="1"/>
        <v>257.01</v>
      </c>
      <c r="FY36" vm="7579">
        <f ca="1"/>
        <v>252.9</v>
      </c>
      <c r="FZ36" vm="7580">
        <f ca="1"/>
        <v>248.06</v>
      </c>
      <c r="GA36" vm="7581">
        <f ca="1"/>
        <v>247.68</v>
      </c>
      <c r="GB36" vm="7582">
        <f ca="1"/>
        <v>246.12</v>
      </c>
      <c r="GC36" vm="7560">
        <f ca="1"/>
        <v>243.97</v>
      </c>
      <c r="GD36" vm="7583">
        <f ca="1"/>
        <v>245.76</v>
      </c>
      <c r="GE36" vm="7584">
        <f ca="1"/>
        <v>246.16</v>
      </c>
      <c r="GF36" vm="7585">
        <f ca="1"/>
        <v>249.57</v>
      </c>
      <c r="GG36" vm="5146">
        <f ca="1"/>
        <v>253.37</v>
      </c>
      <c r="GH36" vm="7586">
        <f ca="1"/>
        <v>254.57</v>
      </c>
      <c r="GI36" vm="7587">
        <f ca="1"/>
        <v>256.91000000000003</v>
      </c>
      <c r="GJ36" vm="7588">
        <f ca="1"/>
        <v>255.19</v>
      </c>
      <c r="GK36" vm="7544">
        <f ca="1"/>
        <v>252.43</v>
      </c>
      <c r="GL36" vm="7589">
        <f ca="1"/>
        <v>265.99</v>
      </c>
      <c r="GM36" vm="7590">
        <f ca="1"/>
        <v>266.8</v>
      </c>
      <c r="GN36" vm="7591">
        <f ca="1"/>
        <v>264.20999999999998</v>
      </c>
      <c r="GO36" vm="7592">
        <f ca="1"/>
        <v>270.44</v>
      </c>
      <c r="GP36" vm="7593">
        <f ca="1"/>
        <v>274.08999999999997</v>
      </c>
      <c r="GQ36" vm="4709">
        <f ca="1"/>
        <v>275.76</v>
      </c>
      <c r="GR36" vm="7594">
        <f ca="1"/>
        <v>276.64</v>
      </c>
      <c r="GS36" vm="7595">
        <f ca="1"/>
        <v>273.70999999999998</v>
      </c>
      <c r="GT36" vm="7596">
        <f ca="1"/>
        <v>270.87</v>
      </c>
      <c r="GU36" vm="7597">
        <f ca="1"/>
        <v>279.48</v>
      </c>
      <c r="GV36" vm="7598">
        <f ca="1"/>
        <v>280.91000000000003</v>
      </c>
      <c r="GW36" vm="7599">
        <f ca="1"/>
        <v>287.75</v>
      </c>
      <c r="GX36" vm="7600">
        <f ca="1"/>
        <v>284.57</v>
      </c>
      <c r="GY36" vm="7601">
        <f ca="1"/>
        <v>291.57</v>
      </c>
      <c r="GZ36" vm="7602">
        <f ca="1"/>
        <v>287.92</v>
      </c>
      <c r="HA36" vm="7603">
        <f ca="1"/>
        <v>290.17</v>
      </c>
      <c r="HB36" vm="7604">
        <f ca="1"/>
        <v>288.10000000000002</v>
      </c>
      <c r="HC36" vm="7605">
        <f ca="1"/>
        <v>291.64</v>
      </c>
      <c r="HD36" vm="7606">
        <f ca="1"/>
        <v>288.35000000000002</v>
      </c>
      <c r="HE36" vm="7607">
        <f ca="1"/>
        <v>290.86</v>
      </c>
      <c r="HF36" vm="5053">
        <f ca="1"/>
        <v>291.11</v>
      </c>
      <c r="HG36" vm="7608">
        <f ca="1"/>
        <v>292.94</v>
      </c>
      <c r="HH36" vm="5178">
        <f ca="1"/>
        <v>291.29000000000002</v>
      </c>
      <c r="HI36" vm="7609">
        <f ca="1"/>
        <v>288.33</v>
      </c>
      <c r="HJ36" vm="7610">
        <f ca="1"/>
        <v>284.43</v>
      </c>
      <c r="HK36" vm="7611">
        <f ca="1"/>
        <v>286.76</v>
      </c>
      <c r="HL36" vm="7612">
        <f ca="1"/>
        <v>290.45999999999998</v>
      </c>
      <c r="HM36" vm="7613">
        <f ca="1"/>
        <v>293.77</v>
      </c>
      <c r="HN36" vm="7614">
        <f ca="1"/>
        <v>298.89</v>
      </c>
      <c r="HO36" vm="7615">
        <f ca="1"/>
        <v>296.39999999999998</v>
      </c>
      <c r="HP36" vm="7616">
        <f ca="1"/>
        <v>291.37</v>
      </c>
      <c r="HQ36" vm="7617">
        <f ca="1"/>
        <v>294.72000000000003</v>
      </c>
      <c r="HR36" vm="7618">
        <f ca="1"/>
        <v>298.01</v>
      </c>
      <c r="HS36" vm="7619">
        <f ca="1"/>
        <v>297.49</v>
      </c>
      <c r="HT36" vm="7620">
        <f ca="1"/>
        <v>306.89999999999998</v>
      </c>
      <c r="HU36" vm="7621">
        <f ca="1"/>
        <v>310.77999999999997</v>
      </c>
      <c r="HV36" vm="7622">
        <f ca="1"/>
        <v>321.95</v>
      </c>
      <c r="HW36" vm="7623">
        <f ca="1"/>
        <v>341.73</v>
      </c>
      <c r="HX36" vm="7624">
        <f ca="1"/>
        <v>341.15</v>
      </c>
      <c r="HY36" vm="7625">
        <f ca="1"/>
        <v>341.72</v>
      </c>
      <c r="HZ36" vm="7626">
        <f ca="1"/>
        <v>331.65</v>
      </c>
      <c r="IA36" vm="7627">
        <f ca="1"/>
        <v>325.26</v>
      </c>
      <c r="IB36" vm="7628">
        <f ca="1"/>
        <v>322.25</v>
      </c>
      <c r="IC36" vm="7629">
        <f ca="1"/>
        <v>323.43</v>
      </c>
      <c r="ID36" vm="7630">
        <f ca="1"/>
        <v>325.7</v>
      </c>
      <c r="IE36" vm="7631">
        <f ca="1"/>
        <v>335.78</v>
      </c>
      <c r="IF36" vm="7632">
        <f ca="1"/>
        <v>342.02</v>
      </c>
      <c r="IG36" vm="7633">
        <f ca="1"/>
        <v>339.11</v>
      </c>
      <c r="IH36" vm="7634">
        <f ca="1"/>
        <v>343.18</v>
      </c>
      <c r="II36" vm="7635">
        <f ca="1"/>
        <v>330.01</v>
      </c>
      <c r="IJ36" vm="7636">
        <f ca="1"/>
        <v>329.99</v>
      </c>
      <c r="IK36" vm="7637">
        <f ca="1"/>
        <v>331.01</v>
      </c>
      <c r="IL36" vm="7638">
        <f ca="1"/>
        <v>331.43</v>
      </c>
      <c r="IM36" vm="7639">
        <f ca="1"/>
        <v>367.87</v>
      </c>
      <c r="IN36" vm="7640">
        <f ca="1"/>
        <v>361.38</v>
      </c>
      <c r="IO36" vm="7641">
        <f ca="1"/>
        <v>361.99</v>
      </c>
      <c r="IP36" vm="7642">
        <f ca="1"/>
        <v>351.57</v>
      </c>
      <c r="IQ36" vm="7643">
        <f ca="1"/>
        <v>348.82</v>
      </c>
    </row>
    <row r="37" spans="1:251">
      <c r="A37" cm="1" vm="7644">
        <f t="array" aca="1" ref="A37:IQ37" ca="1">TRANSPOSE(_xlfn.STOCKHISTORY(Table3[[#This Row],[Stock Name ]],TODAY()-365,TODAY(),0,0,1))</f>
        <v>98.15</v>
      </c>
      <c r="B37" vm="5819">
        <f ca="1"/>
        <v>98.11</v>
      </c>
      <c r="C37" vm="5832">
        <f ca="1"/>
        <v>97.84</v>
      </c>
      <c r="D37" vm="7645">
        <f ca="1"/>
        <v>96.75</v>
      </c>
      <c r="E37" vm="7646">
        <f ca="1"/>
        <v>96.56</v>
      </c>
      <c r="F37" vm="7647">
        <f ca="1"/>
        <v>97.72</v>
      </c>
      <c r="G37" vm="7648">
        <f ca="1"/>
        <v>94.71</v>
      </c>
      <c r="H37" vm="7649">
        <f ca="1"/>
        <v>95.33</v>
      </c>
      <c r="I37" vm="7650">
        <f ca="1"/>
        <v>95.28</v>
      </c>
      <c r="J37" vm="7651">
        <f ca="1"/>
        <v>95.67</v>
      </c>
      <c r="K37" vm="7652">
        <f ca="1"/>
        <v>95.29</v>
      </c>
      <c r="L37" vm="7653">
        <f ca="1"/>
        <v>95.93</v>
      </c>
      <c r="M37" vm="7654">
        <f ca="1"/>
        <v>96.01</v>
      </c>
      <c r="N37" vm="7655">
        <f ca="1"/>
        <v>93.67</v>
      </c>
      <c r="O37" vm="7656">
        <f ca="1"/>
        <v>93.23</v>
      </c>
      <c r="P37" vm="7657">
        <f ca="1"/>
        <v>93.55</v>
      </c>
      <c r="Q37" vm="7658">
        <f ca="1"/>
        <v>92.99</v>
      </c>
      <c r="R37" vm="6280">
        <f ca="1"/>
        <v>94.19</v>
      </c>
      <c r="S37" vm="7659">
        <f ca="1"/>
        <v>93.09</v>
      </c>
      <c r="T37" vm="5790">
        <f ca="1"/>
        <v>93.5</v>
      </c>
      <c r="U37" vm="7660">
        <f ca="1"/>
        <v>92.94</v>
      </c>
      <c r="V37" vm="7661">
        <f ca="1"/>
        <v>91.98</v>
      </c>
      <c r="W37" vm="2596">
        <f ca="1"/>
        <v>92.7</v>
      </c>
      <c r="X37" vm="6294">
        <f ca="1"/>
        <v>91.77</v>
      </c>
      <c r="Y37" vm="7662">
        <f ca="1"/>
        <v>93.34</v>
      </c>
      <c r="Z37" vm="6263">
        <f ca="1"/>
        <v>93.86</v>
      </c>
      <c r="AA37" vm="7663">
        <f ca="1"/>
        <v>93.07</v>
      </c>
      <c r="AB37" vm="7664">
        <f ca="1"/>
        <v>91.97</v>
      </c>
      <c r="AC37" vm="7665">
        <f ca="1"/>
        <v>92.04</v>
      </c>
      <c r="AD37" vm="7666">
        <f ca="1"/>
        <v>92.61</v>
      </c>
      <c r="AE37" vm="7667">
        <f ca="1"/>
        <v>92.8</v>
      </c>
      <c r="AF37" vm="7668">
        <f ca="1"/>
        <v>93.8</v>
      </c>
      <c r="AG37" vm="5798">
        <f ca="1"/>
        <v>94.08</v>
      </c>
      <c r="AH37" vm="7669">
        <f ca="1"/>
        <v>93.03</v>
      </c>
      <c r="AI37" vm="7670">
        <f ca="1"/>
        <v>93.37</v>
      </c>
      <c r="AJ37" vm="7658">
        <f ca="1"/>
        <v>92.99</v>
      </c>
      <c r="AK37" vm="7671">
        <f ca="1"/>
        <v>92.51</v>
      </c>
      <c r="AL37" vm="7651">
        <f ca="1"/>
        <v>95.67</v>
      </c>
      <c r="AM37" vm="7672">
        <f ca="1"/>
        <v>95.31</v>
      </c>
      <c r="AN37" vm="5897">
        <f ca="1"/>
        <v>96.59</v>
      </c>
      <c r="AO37" vm="7673">
        <f ca="1"/>
        <v>97.3</v>
      </c>
      <c r="AP37" vm="7674">
        <f ca="1"/>
        <v>95.47</v>
      </c>
      <c r="AQ37" vm="7675">
        <f ca="1"/>
        <v>93.87</v>
      </c>
      <c r="AR37" vm="7676">
        <f ca="1"/>
        <v>94.07</v>
      </c>
      <c r="AS37" vm="7677">
        <f ca="1"/>
        <v>93.22</v>
      </c>
      <c r="AT37" vm="7677">
        <f ca="1"/>
        <v>93.22</v>
      </c>
      <c r="AU37" vm="7678">
        <f ca="1"/>
        <v>93.46</v>
      </c>
      <c r="AV37" vm="7679">
        <f ca="1"/>
        <v>95.02</v>
      </c>
      <c r="AW37" vm="7680">
        <f ca="1"/>
        <v>95.78</v>
      </c>
      <c r="AX37" vm="7681">
        <f ca="1"/>
        <v>95.62</v>
      </c>
      <c r="AY37" vm="7682">
        <f ca="1"/>
        <v>94.28</v>
      </c>
      <c r="AZ37" vm="6266">
        <f ca="1"/>
        <v>94.13</v>
      </c>
      <c r="BA37" vm="5794">
        <f ca="1"/>
        <v>93</v>
      </c>
      <c r="BB37" vm="7683">
        <f ca="1"/>
        <v>94.9</v>
      </c>
      <c r="BC37" vm="7684">
        <f ca="1"/>
        <v>93.16</v>
      </c>
      <c r="BD37" vm="7685">
        <f ca="1"/>
        <v>92.46</v>
      </c>
      <c r="BE37" vm="7686">
        <f ca="1"/>
        <v>91.22</v>
      </c>
      <c r="BF37" vm="5799">
        <f ca="1"/>
        <v>91.65</v>
      </c>
      <c r="BG37" vm="6268">
        <f ca="1"/>
        <v>90.95</v>
      </c>
      <c r="BH37" vm="7687">
        <f ca="1"/>
        <v>91.06</v>
      </c>
      <c r="BI37" vm="5875">
        <f ca="1"/>
        <v>92.07</v>
      </c>
      <c r="BJ37" vm="7688">
        <f ca="1"/>
        <v>92.4</v>
      </c>
      <c r="BK37" vm="7689">
        <f ca="1"/>
        <v>91.61</v>
      </c>
      <c r="BL37" vm="7690">
        <f ca="1"/>
        <v>91.66</v>
      </c>
      <c r="BM37" vm="7691">
        <f ca="1"/>
        <v>90.12</v>
      </c>
      <c r="BN37" vm="7692">
        <f ca="1"/>
        <v>91.01</v>
      </c>
      <c r="BO37" vm="7693">
        <f ca="1"/>
        <v>91.59</v>
      </c>
      <c r="BP37" vm="7694">
        <f ca="1"/>
        <v>92.6</v>
      </c>
      <c r="BQ37" vm="7690">
        <f ca="1"/>
        <v>91.66</v>
      </c>
      <c r="BR37" vm="7695">
        <f ca="1"/>
        <v>90.71</v>
      </c>
      <c r="BS37" vm="7696">
        <f ca="1"/>
        <v>90.67</v>
      </c>
      <c r="BT37" vm="7697">
        <f ca="1"/>
        <v>90.36</v>
      </c>
      <c r="BU37" vm="7698">
        <f ca="1"/>
        <v>91.5</v>
      </c>
      <c r="BV37" vm="7699">
        <f ca="1"/>
        <v>91.39</v>
      </c>
      <c r="BW37" vm="7700">
        <f ca="1"/>
        <v>91.53</v>
      </c>
      <c r="BX37" vm="7701">
        <f ca="1"/>
        <v>89.3</v>
      </c>
      <c r="BY37" vm="6467">
        <f ca="1"/>
        <v>88.7</v>
      </c>
      <c r="BZ37" vm="5753">
        <f ca="1"/>
        <v>87.62</v>
      </c>
      <c r="CA37" vm="7702">
        <f ca="1"/>
        <v>86.85</v>
      </c>
      <c r="CB37" vm="7703">
        <f ca="1"/>
        <v>87.19</v>
      </c>
      <c r="CC37" vm="7704">
        <f ca="1"/>
        <v>87.13</v>
      </c>
      <c r="CD37" vm="7705">
        <f ca="1"/>
        <v>85.95</v>
      </c>
      <c r="CE37" vm="7706">
        <f ca="1"/>
        <v>85.9</v>
      </c>
      <c r="CF37" vm="7707">
        <f ca="1"/>
        <v>84.92</v>
      </c>
      <c r="CG37" vm="7708">
        <f ca="1"/>
        <v>85.17</v>
      </c>
      <c r="CH37" vm="7709">
        <f ca="1"/>
        <v>85.42</v>
      </c>
      <c r="CI37" vm="7710">
        <f ca="1"/>
        <v>86.21</v>
      </c>
      <c r="CJ37" vm="7711">
        <f ca="1"/>
        <v>87.15</v>
      </c>
      <c r="CK37" vm="7712">
        <f ca="1"/>
        <v>87.61</v>
      </c>
      <c r="CL37" vm="7713">
        <f ca="1"/>
        <v>88.18</v>
      </c>
      <c r="CM37" vm="7714">
        <f ca="1"/>
        <v>87.87</v>
      </c>
      <c r="CN37" vm="7715">
        <f ca="1"/>
        <v>88.75</v>
      </c>
      <c r="CO37" vm="7716">
        <f ca="1"/>
        <v>87.84</v>
      </c>
      <c r="CP37" vm="7717">
        <f ca="1"/>
        <v>88.25</v>
      </c>
      <c r="CQ37" vm="7718">
        <f ca="1"/>
        <v>88.33</v>
      </c>
      <c r="CR37" vm="7719">
        <f ca="1"/>
        <v>88.49</v>
      </c>
      <c r="CS37" vm="7720">
        <f ca="1"/>
        <v>74.44</v>
      </c>
      <c r="CT37" vm="7721">
        <f ca="1"/>
        <v>74.930000000000007</v>
      </c>
      <c r="CU37" vm="7722">
        <f ca="1"/>
        <v>73.11</v>
      </c>
      <c r="CV37" vm="7723">
        <f ca="1"/>
        <v>72.900000000000006</v>
      </c>
      <c r="CW37" vm="3213">
        <f ca="1"/>
        <v>72.5</v>
      </c>
      <c r="CX37" vm="2458">
        <f ca="1"/>
        <v>73.5</v>
      </c>
      <c r="CY37" vm="6399">
        <f ca="1"/>
        <v>75.680000000000007</v>
      </c>
      <c r="CZ37" vm="2383">
        <f ca="1"/>
        <v>76.11</v>
      </c>
      <c r="DA37" vm="7724">
        <f ca="1"/>
        <v>76.180000000000007</v>
      </c>
      <c r="DB37" vm="7725">
        <f ca="1"/>
        <v>75.63</v>
      </c>
      <c r="DC37" vm="7726">
        <f ca="1"/>
        <v>75.7</v>
      </c>
      <c r="DD37" vm="7727">
        <f ca="1"/>
        <v>75.28</v>
      </c>
      <c r="DE37" vm="7728">
        <f ca="1"/>
        <v>77.849999999999994</v>
      </c>
      <c r="DF37" vm="7729">
        <f ca="1"/>
        <v>77.540000000000006</v>
      </c>
      <c r="DG37" vm="7730">
        <f ca="1"/>
        <v>77.72</v>
      </c>
      <c r="DH37" vm="7731">
        <f ca="1"/>
        <v>80.72</v>
      </c>
      <c r="DI37" vm="7732">
        <f ca="1"/>
        <v>78.305000000000007</v>
      </c>
      <c r="DJ37" vm="7733">
        <f ca="1"/>
        <v>78.87</v>
      </c>
      <c r="DK37" vm="7734">
        <f ca="1"/>
        <v>77.48</v>
      </c>
      <c r="DL37" vm="7735">
        <f ca="1"/>
        <v>76.88</v>
      </c>
      <c r="DM37" vm="7736">
        <f ca="1"/>
        <v>78.760000000000005</v>
      </c>
      <c r="DN37" vm="7737">
        <f ca="1"/>
        <v>80.22</v>
      </c>
      <c r="DO37" vm="7738">
        <f ca="1"/>
        <v>82.08</v>
      </c>
      <c r="DP37" vm="6351">
        <f ca="1"/>
        <v>82.79</v>
      </c>
      <c r="DQ37" vm="6974">
        <f ca="1"/>
        <v>81.16</v>
      </c>
      <c r="DR37" vm="7739">
        <f ca="1"/>
        <v>81.47</v>
      </c>
      <c r="DS37" vm="7740">
        <f ca="1"/>
        <v>81.430000000000007</v>
      </c>
      <c r="DT37" vm="6378">
        <f ca="1"/>
        <v>81.599999999999994</v>
      </c>
      <c r="DU37" vm="7741">
        <f ca="1"/>
        <v>79.89</v>
      </c>
      <c r="DV37" vm="7742">
        <f ca="1"/>
        <v>79.38</v>
      </c>
      <c r="DW37" vm="7743">
        <f ca="1"/>
        <v>80.239999999999995</v>
      </c>
      <c r="DX37" vm="2450">
        <f ca="1"/>
        <v>79.650000000000006</v>
      </c>
      <c r="DY37" vm="7744">
        <f ca="1"/>
        <v>81.33</v>
      </c>
      <c r="DZ37" vm="7745">
        <f ca="1"/>
        <v>80.2</v>
      </c>
      <c r="EA37" vm="7746">
        <f ca="1"/>
        <v>79.72</v>
      </c>
      <c r="EB37" vm="7747">
        <f ca="1"/>
        <v>79.91</v>
      </c>
      <c r="EC37" vm="7748">
        <f ca="1"/>
        <v>79.73</v>
      </c>
      <c r="ED37" vm="7749">
        <f ca="1"/>
        <v>79.28</v>
      </c>
      <c r="EE37" vm="7750">
        <f ca="1"/>
        <v>79.150000000000006</v>
      </c>
      <c r="EF37" vm="7751">
        <f ca="1"/>
        <v>79.234999999999999</v>
      </c>
      <c r="EG37" vm="7728">
        <f ca="1"/>
        <v>77.849999999999994</v>
      </c>
      <c r="EH37" vm="6389">
        <f ca="1"/>
        <v>77.13</v>
      </c>
      <c r="EI37" vm="6317">
        <f ca="1"/>
        <v>76.83</v>
      </c>
      <c r="EJ37" vm="7752">
        <f ca="1"/>
        <v>76.260000000000005</v>
      </c>
      <c r="EK37" vm="7753">
        <f ca="1"/>
        <v>76.05</v>
      </c>
      <c r="EL37" vm="7754">
        <f ca="1"/>
        <v>74.569999999999993</v>
      </c>
      <c r="EM37" vm="7755">
        <f ca="1"/>
        <v>72.75</v>
      </c>
      <c r="EN37" vm="7756">
        <f ca="1"/>
        <v>72.510000000000005</v>
      </c>
      <c r="EO37" vm="7757">
        <f ca="1"/>
        <v>73.3</v>
      </c>
      <c r="EP37" vm="7758">
        <f ca="1"/>
        <v>74.83</v>
      </c>
      <c r="EQ37" vm="7755">
        <f ca="1"/>
        <v>72.75</v>
      </c>
      <c r="ER37" vm="7759">
        <f ca="1"/>
        <v>75.510000000000005</v>
      </c>
      <c r="ES37" vm="6402">
        <f ca="1"/>
        <v>75.099999999999994</v>
      </c>
      <c r="ET37" vm="6339">
        <f ca="1"/>
        <v>74.19</v>
      </c>
      <c r="EU37" vm="7760">
        <f ca="1"/>
        <v>79.27</v>
      </c>
      <c r="EV37" vm="7761">
        <f ca="1"/>
        <v>76.55</v>
      </c>
      <c r="EW37" vm="7752">
        <f ca="1"/>
        <v>76.260000000000005</v>
      </c>
      <c r="EX37" vm="7762">
        <f ca="1"/>
        <v>74.680000000000007</v>
      </c>
      <c r="EY37" vm="7763">
        <f ca="1"/>
        <v>73.319999999999993</v>
      </c>
      <c r="EZ37" vm="7764">
        <f ca="1"/>
        <v>74.05</v>
      </c>
      <c r="FA37" vm="7765">
        <f ca="1"/>
        <v>75.2</v>
      </c>
      <c r="FB37" vm="7766">
        <f ca="1"/>
        <v>75.94</v>
      </c>
      <c r="FC37" vm="7767">
        <f ca="1"/>
        <v>77.95</v>
      </c>
      <c r="FD37" vm="7768">
        <f ca="1"/>
        <v>75.11</v>
      </c>
      <c r="FE37" vm="6395">
        <f ca="1"/>
        <v>75.88</v>
      </c>
      <c r="FF37" vm="7769">
        <f ca="1"/>
        <v>73.86</v>
      </c>
      <c r="FG37" vm="6316">
        <f ca="1"/>
        <v>75.37</v>
      </c>
      <c r="FH37" vm="7770">
        <f ca="1"/>
        <v>75.290000000000006</v>
      </c>
      <c r="FI37" vm="7771">
        <f ca="1"/>
        <v>75.75</v>
      </c>
      <c r="FJ37" vm="7772">
        <f ca="1"/>
        <v>75.09</v>
      </c>
      <c r="FK37" vm="7773">
        <f ca="1"/>
        <v>77.03</v>
      </c>
      <c r="FL37" vm="7774">
        <f ca="1"/>
        <v>95.9</v>
      </c>
      <c r="FM37" vm="5736">
        <f ca="1"/>
        <v>93.9</v>
      </c>
      <c r="FN37" vm="7775">
        <f ca="1"/>
        <v>94.88</v>
      </c>
      <c r="FO37" vm="7776">
        <f ca="1"/>
        <v>94.81</v>
      </c>
      <c r="FP37" vm="7777">
        <f ca="1"/>
        <v>92.3</v>
      </c>
      <c r="FQ37" vm="7778">
        <f ca="1"/>
        <v>93.01</v>
      </c>
      <c r="FR37" vm="2602">
        <f ca="1"/>
        <v>92.78</v>
      </c>
      <c r="FS37" vm="7779">
        <f ca="1"/>
        <v>92.43</v>
      </c>
      <c r="FT37" vm="6281">
        <f ca="1"/>
        <v>94.02</v>
      </c>
      <c r="FU37" vm="7780">
        <f ca="1"/>
        <v>95.63</v>
      </c>
      <c r="FV37" vm="7781">
        <f ca="1"/>
        <v>98.6</v>
      </c>
      <c r="FW37" vm="7782">
        <f ca="1"/>
        <v>95.3</v>
      </c>
      <c r="FX37" vm="7783">
        <f ca="1"/>
        <v>94.86</v>
      </c>
      <c r="FY37" vm="7784">
        <f ca="1"/>
        <v>94.57</v>
      </c>
      <c r="FZ37" vm="7785">
        <f ca="1"/>
        <v>93.18</v>
      </c>
      <c r="GA37" vm="7786">
        <f ca="1"/>
        <v>92.33</v>
      </c>
      <c r="GB37" vm="7787">
        <f ca="1"/>
        <v>91.56</v>
      </c>
      <c r="GC37" vm="7788">
        <f ca="1"/>
        <v>91.15</v>
      </c>
      <c r="GD37" vm="7789">
        <f ca="1"/>
        <v>92.21</v>
      </c>
      <c r="GE37" vm="7662">
        <f ca="1"/>
        <v>93.34</v>
      </c>
      <c r="GF37" vm="7790">
        <f ca="1"/>
        <v>98.2</v>
      </c>
      <c r="GG37" vm="7791">
        <f ca="1"/>
        <v>99.28</v>
      </c>
      <c r="GH37" vm="7792">
        <f ca="1"/>
        <v>98.57</v>
      </c>
      <c r="GI37" vm="7793">
        <f ca="1"/>
        <v>96.31</v>
      </c>
      <c r="GJ37" vm="7794">
        <f ca="1"/>
        <v>96.44</v>
      </c>
      <c r="GK37" vm="7795">
        <f ca="1"/>
        <v>96.12</v>
      </c>
      <c r="GL37" vm="7796">
        <f ca="1"/>
        <v>96.9</v>
      </c>
      <c r="GM37" vm="7797">
        <f ca="1"/>
        <v>96.05</v>
      </c>
      <c r="GN37" vm="7798">
        <f ca="1"/>
        <v>95.48</v>
      </c>
      <c r="GO37" vm="7799">
        <f ca="1"/>
        <v>94.45</v>
      </c>
      <c r="GP37" vm="7681">
        <f ca="1"/>
        <v>95.62</v>
      </c>
      <c r="GQ37" vm="7800">
        <f ca="1"/>
        <v>97.47</v>
      </c>
      <c r="GR37" vm="7801">
        <f ca="1"/>
        <v>97.36</v>
      </c>
      <c r="GS37" vm="7802">
        <f ca="1"/>
        <v>97.49</v>
      </c>
      <c r="GT37" vm="7803">
        <f ca="1"/>
        <v>97.43</v>
      </c>
      <c r="GU37" vm="7804">
        <f ca="1"/>
        <v>96.5</v>
      </c>
      <c r="GV37" vm="7805">
        <f ca="1"/>
        <v>95.56</v>
      </c>
      <c r="GW37" vm="5834">
        <f ca="1"/>
        <v>96.58</v>
      </c>
      <c r="GX37" vm="7806">
        <f ca="1"/>
        <v>96.09</v>
      </c>
      <c r="GY37" vm="7807">
        <f ca="1"/>
        <v>96.21</v>
      </c>
      <c r="GZ37" vm="7808">
        <f ca="1"/>
        <v>95.88</v>
      </c>
      <c r="HA37" vm="7809">
        <f ca="1"/>
        <v>93.88</v>
      </c>
      <c r="HB37" vm="7810">
        <f ca="1"/>
        <v>95.55</v>
      </c>
      <c r="HC37" vm="7811">
        <f ca="1"/>
        <v>94.76</v>
      </c>
      <c r="HD37" vm="7812">
        <f ca="1"/>
        <v>95.04</v>
      </c>
      <c r="HE37" vm="7813">
        <f ca="1"/>
        <v>95.46</v>
      </c>
      <c r="HF37" vm="7814">
        <f ca="1"/>
        <v>95.27</v>
      </c>
      <c r="HG37" vm="7815">
        <f ca="1"/>
        <v>96.84</v>
      </c>
      <c r="HH37" vm="7816">
        <f ca="1"/>
        <v>96.45</v>
      </c>
      <c r="HI37" vm="3490">
        <f ca="1"/>
        <v>96.82</v>
      </c>
      <c r="HJ37" vm="7817">
        <f ca="1"/>
        <v>97.65</v>
      </c>
      <c r="HK37" vm="7818">
        <f ca="1"/>
        <v>97.15</v>
      </c>
      <c r="HL37" vm="7819">
        <f ca="1"/>
        <v>97.31</v>
      </c>
      <c r="HM37" vm="7820">
        <f ca="1"/>
        <v>98.02</v>
      </c>
      <c r="HN37" vm="7821">
        <f ca="1"/>
        <v>97.39</v>
      </c>
      <c r="HO37" vm="7822">
        <f ca="1"/>
        <v>97.32</v>
      </c>
      <c r="HP37" vm="7823">
        <f ca="1"/>
        <v>97.7</v>
      </c>
      <c r="HQ37" vm="7824">
        <f ca="1"/>
        <v>98.87</v>
      </c>
      <c r="HR37" vm="5900">
        <f ca="1"/>
        <v>97.03</v>
      </c>
      <c r="HS37" vm="7825">
        <f ca="1"/>
        <v>97.09</v>
      </c>
      <c r="HT37" vm="7826">
        <f ca="1"/>
        <v>96.08</v>
      </c>
      <c r="HU37" vm="7795">
        <f ca="1"/>
        <v>96.12</v>
      </c>
      <c r="HV37" vm="7827">
        <f ca="1"/>
        <v>97.55</v>
      </c>
      <c r="HW37" vm="6635">
        <f ca="1"/>
        <v>100.31</v>
      </c>
      <c r="HX37" vm="7828">
        <f ca="1"/>
        <v>98.8</v>
      </c>
      <c r="HY37" vm="7829">
        <f ca="1"/>
        <v>99.8</v>
      </c>
      <c r="HZ37" vm="7830">
        <f ca="1"/>
        <v>99.23</v>
      </c>
      <c r="IA37" vm="7831">
        <f ca="1"/>
        <v>98.42</v>
      </c>
      <c r="IB37" vm="7832">
        <f ca="1"/>
        <v>100.4</v>
      </c>
      <c r="IC37" vm="7833">
        <f ca="1"/>
        <v>98.35</v>
      </c>
      <c r="ID37" vm="7834">
        <f ca="1"/>
        <v>98.26</v>
      </c>
      <c r="IE37" vm="7835">
        <f ca="1"/>
        <v>100.06</v>
      </c>
      <c r="IF37" vm="7836">
        <f ca="1"/>
        <v>102.5</v>
      </c>
      <c r="IG37" vm="7837">
        <f ca="1"/>
        <v>101.84</v>
      </c>
      <c r="IH37" vm="7838">
        <f ca="1"/>
        <v>100.68</v>
      </c>
      <c r="II37" vm="7839">
        <f ca="1"/>
        <v>101.51</v>
      </c>
      <c r="IJ37" vm="6645">
        <f ca="1"/>
        <v>102.46</v>
      </c>
      <c r="IK37" vm="7839">
        <f ca="1"/>
        <v>101.51</v>
      </c>
      <c r="IL37" vm="7840">
        <f ca="1"/>
        <v>101.57</v>
      </c>
      <c r="IM37" vm="7841">
        <f ca="1"/>
        <v>100.7</v>
      </c>
      <c r="IN37" vm="7830">
        <f ca="1"/>
        <v>99.23</v>
      </c>
      <c r="IO37" vm="7842">
        <f ca="1"/>
        <v>100.11</v>
      </c>
      <c r="IP37" vm="7843">
        <f ca="1"/>
        <v>99.31</v>
      </c>
      <c r="IQ37" vm="7844">
        <f ca="1"/>
        <v>98.16</v>
      </c>
    </row>
    <row r="38" spans="1:251">
      <c r="A38" cm="1" vm="7845">
        <f t="array" aca="1" ref="A38:IQ38" ca="1">TRANSPOSE(_xlfn.STOCKHISTORY(Table3[[#This Row],[Stock Name ]],TODAY()-365,TODAY(),0,0,1))</f>
        <v>135.66</v>
      </c>
      <c r="B38" vm="7846">
        <f ca="1"/>
        <v>138.38</v>
      </c>
      <c r="C38" vm="7847">
        <f ca="1"/>
        <v>141.13999999999999</v>
      </c>
      <c r="D38" vm="7848">
        <f ca="1"/>
        <v>138.37</v>
      </c>
      <c r="E38" vm="784">
        <f ca="1"/>
        <v>137.72</v>
      </c>
      <c r="F38" vm="7849">
        <f ca="1"/>
        <v>139.58000000000001</v>
      </c>
      <c r="G38" vm="7850">
        <f ca="1"/>
        <v>136.9</v>
      </c>
      <c r="H38" vm="7851">
        <f ca="1"/>
        <v>139.37</v>
      </c>
      <c r="I38" vm="6778">
        <f ca="1"/>
        <v>140.19999999999999</v>
      </c>
      <c r="J38" vm="7852">
        <f ca="1"/>
        <v>141.03</v>
      </c>
      <c r="K38" vm="1062">
        <f ca="1"/>
        <v>142.38</v>
      </c>
      <c r="L38" vm="7853">
        <f ca="1"/>
        <v>142.54</v>
      </c>
      <c r="M38" vm="7854">
        <f ca="1"/>
        <v>142.41999999999999</v>
      </c>
      <c r="N38" vm="1090">
        <f ca="1"/>
        <v>143.1</v>
      </c>
      <c r="O38" vm="7855">
        <f ca="1"/>
        <v>138.66999999999999</v>
      </c>
      <c r="P38" vm="7856">
        <f ca="1"/>
        <v>140.25</v>
      </c>
      <c r="Q38" vm="713">
        <f ca="1"/>
        <v>140.75</v>
      </c>
      <c r="R38" vm="7857">
        <f ca="1"/>
        <v>141.72999999999999</v>
      </c>
      <c r="S38" vm="7858">
        <f ca="1"/>
        <v>143.77000000000001</v>
      </c>
      <c r="T38" vm="1075">
        <f ca="1"/>
        <v>144.09</v>
      </c>
      <c r="U38" vm="7859">
        <f ca="1"/>
        <v>142.02000000000001</v>
      </c>
      <c r="V38" vm="7860">
        <f ca="1"/>
        <v>140.91</v>
      </c>
      <c r="W38" vm="7861">
        <f ca="1"/>
        <v>141.07</v>
      </c>
      <c r="X38" vm="7862">
        <f ca="1"/>
        <v>138.74</v>
      </c>
      <c r="Y38" vm="7863">
        <f ca="1"/>
        <v>137.4</v>
      </c>
      <c r="Z38" vm="7864">
        <f ca="1"/>
        <v>138.13999999999999</v>
      </c>
      <c r="AA38" vm="808">
        <f ca="1"/>
        <v>140.36000000000001</v>
      </c>
      <c r="AB38" vm="7865">
        <f ca="1"/>
        <v>140.88</v>
      </c>
      <c r="AC38" vm="7866">
        <f ca="1"/>
        <v>139.19999999999999</v>
      </c>
      <c r="AD38" vm="7867">
        <f ca="1"/>
        <v>142.18</v>
      </c>
      <c r="AE38" vm="7868">
        <f ca="1"/>
        <v>142.53</v>
      </c>
      <c r="AF38" vm="1038">
        <f ca="1"/>
        <v>141.52000000000001</v>
      </c>
      <c r="AG38" vm="1072">
        <f ca="1"/>
        <v>140.52000000000001</v>
      </c>
      <c r="AH38" vm="7869">
        <f ca="1"/>
        <v>139.08000000000001</v>
      </c>
      <c r="AI38" vm="7870">
        <f ca="1"/>
        <v>144.41999999999999</v>
      </c>
      <c r="AJ38" vm="724">
        <f ca="1"/>
        <v>145.49</v>
      </c>
      <c r="AK38" vm="7871">
        <f ca="1"/>
        <v>142.33000000000001</v>
      </c>
      <c r="AL38" vm="7872">
        <f ca="1"/>
        <v>144.43</v>
      </c>
      <c r="AM38" vm="7873">
        <f ca="1"/>
        <v>146.72999999999999</v>
      </c>
      <c r="AN38" vm="7874">
        <f ca="1"/>
        <v>147.4</v>
      </c>
      <c r="AO38" vm="7875">
        <f ca="1"/>
        <v>146.53</v>
      </c>
      <c r="AP38" vm="7876">
        <f ca="1"/>
        <v>149.4</v>
      </c>
      <c r="AQ38" vm="7877">
        <f ca="1"/>
        <v>146.11000000000001</v>
      </c>
      <c r="AR38" vm="6751">
        <f ca="1"/>
        <v>145.03</v>
      </c>
      <c r="AS38" vm="7878">
        <f ca="1"/>
        <v>146.33000000000001</v>
      </c>
      <c r="AT38" vm="7879">
        <f ca="1"/>
        <v>149.61000000000001</v>
      </c>
      <c r="AU38" vm="7880">
        <f ca="1"/>
        <v>149.88999999999999</v>
      </c>
      <c r="AV38" vm="4181">
        <f ca="1"/>
        <v>148.79</v>
      </c>
      <c r="AW38" vm="7881">
        <f ca="1"/>
        <v>150.34</v>
      </c>
      <c r="AX38" vm="7882">
        <f ca="1"/>
        <v>151.47999999999999</v>
      </c>
      <c r="AY38" vm="7883">
        <f ca="1"/>
        <v>150.15</v>
      </c>
      <c r="AZ38" vm="7884">
        <f ca="1"/>
        <v>151.99</v>
      </c>
      <c r="BA38" vm="7885">
        <f ca="1"/>
        <v>151.44</v>
      </c>
      <c r="BB38" vm="7886">
        <f ca="1"/>
        <v>152.91999999999999</v>
      </c>
      <c r="BC38" vm="2783">
        <f ca="1"/>
        <v>155.29</v>
      </c>
      <c r="BD38" vm="7887">
        <f ca="1"/>
        <v>150.49</v>
      </c>
      <c r="BE38" vm="7888">
        <f ca="1"/>
        <v>168.58</v>
      </c>
      <c r="BF38" vm="1297">
        <f ca="1"/>
        <v>173.54</v>
      </c>
      <c r="BG38" vm="589">
        <f ca="1"/>
        <v>171.54</v>
      </c>
      <c r="BH38" vm="7889">
        <f ca="1"/>
        <v>169.72</v>
      </c>
      <c r="BI38" vm="7890">
        <f ca="1"/>
        <v>168.07</v>
      </c>
      <c r="BJ38" vm="7891">
        <f ca="1"/>
        <v>167.57</v>
      </c>
      <c r="BK38" vm="1187">
        <f ca="1"/>
        <v>166.67</v>
      </c>
      <c r="BL38" vm="683">
        <f ca="1"/>
        <v>164.31</v>
      </c>
      <c r="BM38" vm="7892">
        <f ca="1"/>
        <v>164.22</v>
      </c>
      <c r="BN38" vm="6788">
        <f ca="1"/>
        <v>167.59</v>
      </c>
      <c r="BO38" vm="7893">
        <f ca="1"/>
        <v>168.21</v>
      </c>
      <c r="BP38" vm="7894">
        <f ca="1"/>
        <v>170.46</v>
      </c>
      <c r="BQ38" vm="7895">
        <f ca="1"/>
        <v>170.17</v>
      </c>
      <c r="BR38" vm="7896">
        <f ca="1"/>
        <v>168.63</v>
      </c>
      <c r="BS38" vm="7897">
        <f ca="1"/>
        <v>172.66</v>
      </c>
      <c r="BT38" vm="1246">
        <f ca="1"/>
        <v>172.64</v>
      </c>
      <c r="BU38" vm="7898">
        <f ca="1"/>
        <v>174.67</v>
      </c>
      <c r="BV38" vm="7899">
        <f ca="1"/>
        <v>177.21</v>
      </c>
      <c r="BW38" vm="7900">
        <f ca="1"/>
        <v>177.82</v>
      </c>
      <c r="BX38" vm="7901">
        <f ca="1"/>
        <v>176.24</v>
      </c>
      <c r="BY38" vm="7902">
        <f ca="1"/>
        <v>175.49</v>
      </c>
      <c r="BZ38" vm="7903">
        <f ca="1"/>
        <v>172.22</v>
      </c>
      <c r="CA38" vm="7904">
        <f ca="1"/>
        <v>171.77</v>
      </c>
      <c r="CB38" vm="7905">
        <f ca="1"/>
        <v>169.7</v>
      </c>
      <c r="CC38" vm="7906">
        <f ca="1"/>
        <v>171.63</v>
      </c>
      <c r="CD38" vm="7907">
        <f ca="1"/>
        <v>171.62</v>
      </c>
      <c r="CE38" vm="4318">
        <f ca="1"/>
        <v>171.33</v>
      </c>
      <c r="CF38" vm="7908">
        <f ca="1"/>
        <v>166.12</v>
      </c>
      <c r="CG38" vm="7909">
        <f ca="1"/>
        <v>165.01</v>
      </c>
      <c r="CH38" vm="7910">
        <f ca="1"/>
        <v>163.32</v>
      </c>
      <c r="CI38" vm="654">
        <f ca="1"/>
        <v>164.47</v>
      </c>
      <c r="CJ38" vm="7911">
        <f ca="1"/>
        <v>166.58</v>
      </c>
      <c r="CK38" vm="7912">
        <f ca="1"/>
        <v>168.3</v>
      </c>
      <c r="CL38" vm="7913">
        <f ca="1"/>
        <v>167.11</v>
      </c>
      <c r="CM38" vm="7914">
        <f ca="1"/>
        <v>166.51</v>
      </c>
      <c r="CN38" vm="7915">
        <f ca="1"/>
        <v>165.34</v>
      </c>
      <c r="CO38" vm="7916">
        <f ca="1"/>
        <v>164.44</v>
      </c>
      <c r="CP38" vm="956">
        <f ca="1"/>
        <v>164.74</v>
      </c>
      <c r="CQ38" vm="7917">
        <f ca="1"/>
        <v>163.72999999999999</v>
      </c>
      <c r="CR38" vm="4159">
        <f ca="1"/>
        <v>160.97999999999999</v>
      </c>
      <c r="CS38" vm="7918">
        <f ca="1"/>
        <v>156.43</v>
      </c>
      <c r="CT38" vm="7919">
        <f ca="1"/>
        <v>158.12</v>
      </c>
      <c r="CU38" vm="2719">
        <f ca="1"/>
        <v>158.04</v>
      </c>
      <c r="CV38" vm="4286">
        <f ca="1"/>
        <v>158.35</v>
      </c>
      <c r="CW38" vm="7920">
        <f ca="1"/>
        <v>160.41</v>
      </c>
      <c r="CX38" vm="7921">
        <f ca="1"/>
        <v>159.59</v>
      </c>
      <c r="CY38" vm="7922">
        <f ca="1"/>
        <v>164.32</v>
      </c>
      <c r="CZ38" vm="7923">
        <f ca="1"/>
        <v>163.13</v>
      </c>
      <c r="DA38" vm="7924">
        <f ca="1"/>
        <v>160.9</v>
      </c>
      <c r="DB38" vm="670">
        <f ca="1"/>
        <v>158.96</v>
      </c>
      <c r="DC38" vm="7925">
        <f ca="1"/>
        <v>157.51</v>
      </c>
      <c r="DD38" vm="4272">
        <f ca="1"/>
        <v>160.65</v>
      </c>
      <c r="DE38" vm="4284">
        <f ca="1"/>
        <v>160.13</v>
      </c>
      <c r="DF38" vm="2712">
        <f ca="1"/>
        <v>156.71</v>
      </c>
      <c r="DG38" vm="645">
        <f ca="1"/>
        <v>155.78</v>
      </c>
      <c r="DH38" vm="7926">
        <f ca="1"/>
        <v>143.27000000000001</v>
      </c>
      <c r="DI38" vm="7927">
        <f ca="1"/>
        <v>144.41</v>
      </c>
      <c r="DJ38" vm="7928">
        <f ca="1"/>
        <v>145.22999999999999</v>
      </c>
      <c r="DK38" vm="7929">
        <f ca="1"/>
        <v>147.1</v>
      </c>
      <c r="DL38" vm="4213">
        <f ca="1"/>
        <v>147.74</v>
      </c>
      <c r="DM38" vm="7930">
        <f ca="1"/>
        <v>149.87</v>
      </c>
      <c r="DN38" vm="7931">
        <f ca="1"/>
        <v>156.16</v>
      </c>
      <c r="DO38" vm="7932">
        <f ca="1"/>
        <v>153.03</v>
      </c>
      <c r="DP38" vm="7933">
        <f ca="1"/>
        <v>150.55000000000001</v>
      </c>
      <c r="DQ38" vm="774">
        <f ca="1"/>
        <v>147.35</v>
      </c>
      <c r="DR38" vm="7934">
        <f ca="1"/>
        <v>145.13</v>
      </c>
      <c r="DS38" vm="2744">
        <f ca="1"/>
        <v>146</v>
      </c>
      <c r="DT38" vm="2775">
        <f ca="1"/>
        <v>148.52000000000001</v>
      </c>
      <c r="DU38" vm="7935">
        <f ca="1"/>
        <v>146.19</v>
      </c>
      <c r="DV38" vm="7936">
        <f ca="1"/>
        <v>146.78</v>
      </c>
      <c r="DW38" vm="7937">
        <f ca="1"/>
        <v>144.68</v>
      </c>
      <c r="DX38" vm="1061">
        <f ca="1"/>
        <v>141.16</v>
      </c>
      <c r="DY38" vm="7938">
        <f ca="1"/>
        <v>144.97</v>
      </c>
      <c r="DZ38" vm="7853">
        <f ca="1"/>
        <v>142.54</v>
      </c>
      <c r="EA38" vm="7939">
        <f ca="1"/>
        <v>143.38</v>
      </c>
      <c r="EB38" vm="7940">
        <f ca="1"/>
        <v>146.13</v>
      </c>
      <c r="EC38" vm="7941">
        <f ca="1"/>
        <v>149.69</v>
      </c>
      <c r="ED38" vm="7942">
        <f ca="1"/>
        <v>146.77000000000001</v>
      </c>
      <c r="EE38" vm="7943">
        <f ca="1"/>
        <v>147.16999999999999</v>
      </c>
      <c r="EF38" vm="7944">
        <f ca="1"/>
        <v>146.72</v>
      </c>
      <c r="EG38" vm="7945">
        <f ca="1"/>
        <v>148.04</v>
      </c>
      <c r="EH38" vm="4186">
        <f ca="1"/>
        <v>145.74</v>
      </c>
      <c r="EI38" vm="7946">
        <f ca="1"/>
        <v>145.38999999999999</v>
      </c>
      <c r="EJ38" vm="7947">
        <f ca="1"/>
        <v>144.80000000000001</v>
      </c>
      <c r="EK38" vm="4222">
        <f ca="1"/>
        <v>145.65</v>
      </c>
      <c r="EL38" vm="4198">
        <f ca="1"/>
        <v>148.72</v>
      </c>
      <c r="EM38" vm="1094">
        <f ca="1"/>
        <v>147.6</v>
      </c>
      <c r="EN38" vm="7877">
        <f ca="1"/>
        <v>146.11000000000001</v>
      </c>
      <c r="EO38" vm="7948">
        <f ca="1"/>
        <v>151.4</v>
      </c>
      <c r="EP38" vm="7949">
        <f ca="1"/>
        <v>152.85</v>
      </c>
      <c r="EQ38" vm="7950">
        <f ca="1"/>
        <v>151.30000000000001</v>
      </c>
      <c r="ER38" vm="4299">
        <f ca="1"/>
        <v>155.01</v>
      </c>
      <c r="ES38" vm="2699">
        <f ca="1"/>
        <v>155.93</v>
      </c>
      <c r="ET38" vm="7951">
        <f ca="1"/>
        <v>152.09</v>
      </c>
      <c r="EU38" vm="7952">
        <f ca="1"/>
        <v>149.72999999999999</v>
      </c>
      <c r="EV38" vm="7953">
        <f ca="1"/>
        <v>151.02000000000001</v>
      </c>
      <c r="EW38" vm="7954">
        <f ca="1"/>
        <v>150.27000000000001</v>
      </c>
      <c r="EX38" vm="7955">
        <f ca="1"/>
        <v>146.44999999999999</v>
      </c>
      <c r="EY38" vm="7956">
        <f ca="1"/>
        <v>146.29</v>
      </c>
      <c r="EZ38" vm="1067">
        <f ca="1"/>
        <v>149</v>
      </c>
      <c r="FA38" vm="4191">
        <f ca="1"/>
        <v>146.82</v>
      </c>
      <c r="FB38" vm="773">
        <f ca="1"/>
        <v>147.94999999999999</v>
      </c>
      <c r="FC38" vm="7957">
        <f ca="1"/>
        <v>150.41</v>
      </c>
      <c r="FD38" vm="7958">
        <f ca="1"/>
        <v>147.02000000000001</v>
      </c>
      <c r="FE38" vm="6745">
        <f ca="1"/>
        <v>139.16999999999999</v>
      </c>
      <c r="FF38" vm="7959">
        <f ca="1"/>
        <v>133.87</v>
      </c>
      <c r="FG38" vm="7960">
        <f ca="1"/>
        <v>133.85</v>
      </c>
      <c r="FH38" vm="7961">
        <f ca="1"/>
        <v>133.47</v>
      </c>
      <c r="FI38" vm="795">
        <f ca="1"/>
        <v>133.97</v>
      </c>
      <c r="FJ38" vm="7962">
        <f ca="1"/>
        <v>135.5</v>
      </c>
      <c r="FK38" vm="7963">
        <f ca="1"/>
        <v>135.02000000000001</v>
      </c>
      <c r="FL38" vm="7964">
        <f ca="1"/>
        <v>136.66</v>
      </c>
      <c r="FM38" vm="7965">
        <f ca="1"/>
        <v>135.76</v>
      </c>
      <c r="FN38" vm="770">
        <f ca="1"/>
        <v>141.66</v>
      </c>
      <c r="FO38" vm="7966">
        <f ca="1"/>
        <v>144.04</v>
      </c>
      <c r="FP38" vm="698">
        <f ca="1"/>
        <v>144.63</v>
      </c>
      <c r="FQ38" vm="7967">
        <f ca="1"/>
        <v>144.33000000000001</v>
      </c>
      <c r="FR38" vm="1178">
        <f ca="1"/>
        <v>159.25</v>
      </c>
      <c r="FS38" vm="7968">
        <f ca="1"/>
        <v>156.82</v>
      </c>
      <c r="FT38" vm="7969">
        <f ca="1"/>
        <v>158.5</v>
      </c>
      <c r="FU38" vm="4145">
        <f ca="1"/>
        <v>158.9</v>
      </c>
      <c r="FV38" vm="4156">
        <f ca="1"/>
        <v>158.68</v>
      </c>
      <c r="FW38" vm="7970">
        <f ca="1"/>
        <v>156.86000000000001</v>
      </c>
      <c r="FX38" vm="1257">
        <f ca="1"/>
        <v>153.41999999999999</v>
      </c>
      <c r="FY38" vm="647">
        <f ca="1"/>
        <v>153.62</v>
      </c>
      <c r="FZ38" vm="7971">
        <f ca="1"/>
        <v>151.80000000000001</v>
      </c>
      <c r="GA38" vm="7972">
        <f ca="1"/>
        <v>152.47999999999999</v>
      </c>
      <c r="GB38" vm="7973">
        <f ca="1"/>
        <v>151.9</v>
      </c>
      <c r="GC38" vm="7974">
        <f ca="1"/>
        <v>151.28</v>
      </c>
      <c r="GD38" vm="7975">
        <f ca="1"/>
        <v>150.59</v>
      </c>
      <c r="GE38" vm="7976">
        <f ca="1"/>
        <v>148.01</v>
      </c>
      <c r="GF38" vm="7977">
        <f ca="1"/>
        <v>147.29</v>
      </c>
      <c r="GG38" vm="7978">
        <f ca="1"/>
        <v>148.44</v>
      </c>
      <c r="GH38" vm="7979">
        <f ca="1"/>
        <v>151.36000000000001</v>
      </c>
      <c r="GI38" vm="2703">
        <f ca="1"/>
        <v>152.84</v>
      </c>
      <c r="GJ38" vm="7980">
        <f ca="1"/>
        <v>151.96</v>
      </c>
      <c r="GK38" vm="7981">
        <f ca="1"/>
        <v>153.6</v>
      </c>
      <c r="GL38" vm="2701">
        <f ca="1"/>
        <v>156.49</v>
      </c>
      <c r="GM38" vm="7982">
        <f ca="1"/>
        <v>154.75</v>
      </c>
      <c r="GN38" vm="2783">
        <f ca="1"/>
        <v>155.29</v>
      </c>
      <c r="GO38" vm="7983">
        <f ca="1"/>
        <v>156.18</v>
      </c>
      <c r="GP38" vm="2724">
        <f ca="1"/>
        <v>155.07</v>
      </c>
      <c r="GQ38" vm="7984">
        <f ca="1"/>
        <v>155.97999999999999</v>
      </c>
      <c r="GR38" vm="1268">
        <f ca="1"/>
        <v>155.18</v>
      </c>
      <c r="GS38" vm="7985">
        <f ca="1"/>
        <v>155.86000000000001</v>
      </c>
      <c r="GT38" vm="7986">
        <f ca="1"/>
        <v>152.19999999999999</v>
      </c>
      <c r="GU38" vm="2623">
        <f ca="1"/>
        <v>150.4</v>
      </c>
      <c r="GV38" vm="4305">
        <f ca="1"/>
        <v>149.6</v>
      </c>
      <c r="GW38" vm="7987">
        <f ca="1"/>
        <v>152.88</v>
      </c>
      <c r="GX38" vm="1067">
        <f ca="1"/>
        <v>149</v>
      </c>
      <c r="GY38" vm="7988">
        <f ca="1"/>
        <v>151.32</v>
      </c>
      <c r="GZ38" vm="2714">
        <f ca="1"/>
        <v>154.33000000000001</v>
      </c>
      <c r="HA38" vm="758">
        <f ca="1"/>
        <v>155.97</v>
      </c>
      <c r="HB38" vm="2708">
        <f ca="1"/>
        <v>158.46</v>
      </c>
      <c r="HC38" vm="7989">
        <f ca="1"/>
        <v>157.97</v>
      </c>
      <c r="HD38" vm="2674">
        <f ca="1"/>
        <v>160.69</v>
      </c>
      <c r="HE38" vm="4165">
        <f ca="1"/>
        <v>158.87</v>
      </c>
      <c r="HF38" vm="6785">
        <f ca="1"/>
        <v>155.88999999999999</v>
      </c>
      <c r="HG38" vm="7990">
        <f ca="1"/>
        <v>156.84</v>
      </c>
      <c r="HH38" vm="7991">
        <f ca="1"/>
        <v>150.91</v>
      </c>
      <c r="HI38" vm="7992">
        <f ca="1"/>
        <v>149.19</v>
      </c>
      <c r="HJ38" vm="2776">
        <f ca="1"/>
        <v>148.05000000000001</v>
      </c>
      <c r="HK38" vm="7993">
        <f ca="1"/>
        <v>150.18</v>
      </c>
      <c r="HL38" vm="1201">
        <f ca="1"/>
        <v>151.16</v>
      </c>
      <c r="HM38" vm="7994">
        <f ca="1"/>
        <v>149.30000000000001</v>
      </c>
      <c r="HN38" vm="7995">
        <f ca="1"/>
        <v>147.93</v>
      </c>
      <c r="HO38" vm="2775">
        <f ca="1"/>
        <v>148.52000000000001</v>
      </c>
      <c r="HP38" vm="7996">
        <f ca="1"/>
        <v>150.04</v>
      </c>
      <c r="HQ38" vm="7997">
        <f ca="1"/>
        <v>150.84</v>
      </c>
      <c r="HR38" vm="721">
        <f ca="1"/>
        <v>149.99</v>
      </c>
      <c r="HS38" vm="7998">
        <f ca="1"/>
        <v>150.99</v>
      </c>
      <c r="HT38" vm="7977">
        <f ca="1"/>
        <v>147.29</v>
      </c>
      <c r="HU38" vm="7991">
        <f ca="1"/>
        <v>150.91</v>
      </c>
      <c r="HV38" vm="7999">
        <f ca="1"/>
        <v>149.78</v>
      </c>
      <c r="HW38" vm="8000">
        <f ca="1"/>
        <v>153.28</v>
      </c>
      <c r="HX38" vm="8001">
        <f ca="1"/>
        <v>155.65</v>
      </c>
      <c r="HY38" vm="8002">
        <f ca="1"/>
        <v>154.99</v>
      </c>
      <c r="HZ38" vm="8003">
        <f ca="1"/>
        <v>153.47</v>
      </c>
      <c r="IA38" vm="968">
        <f ca="1"/>
        <v>152.13</v>
      </c>
      <c r="IB38" vm="8004">
        <f ca="1"/>
        <v>156.56</v>
      </c>
      <c r="IC38" vm="875">
        <f ca="1"/>
        <v>156</v>
      </c>
      <c r="ID38" vm="8005">
        <f ca="1"/>
        <v>121.72</v>
      </c>
      <c r="IE38" vm="8006">
        <f ca="1"/>
        <v>121.59</v>
      </c>
      <c r="IF38" vm="8007">
        <f ca="1"/>
        <v>125.01</v>
      </c>
      <c r="IG38" vm="8008">
        <f ca="1"/>
        <v>130.53</v>
      </c>
      <c r="IH38" vm="8009">
        <f ca="1"/>
        <v>126.55</v>
      </c>
      <c r="II38" vm="8010">
        <f ca="1"/>
        <v>130.09</v>
      </c>
      <c r="IJ38" vm="5938">
        <f ca="1"/>
        <v>132.31</v>
      </c>
      <c r="IK38" vm="8011">
        <f ca="1"/>
        <v>130.72</v>
      </c>
      <c r="IL38" vm="8012">
        <f ca="1"/>
        <v>131.44999999999999</v>
      </c>
      <c r="IM38" vm="8013">
        <f ca="1"/>
        <v>130.07</v>
      </c>
      <c r="IN38" vm="8014">
        <f ca="1"/>
        <v>129.16999999999999</v>
      </c>
      <c r="IO38" vm="8015">
        <f ca="1"/>
        <v>132.38999999999999</v>
      </c>
      <c r="IP38" vm="8016">
        <f ca="1"/>
        <v>135.29</v>
      </c>
      <c r="IQ38" vm="8017">
        <f ca="1"/>
        <v>135.05000000000001</v>
      </c>
    </row>
    <row r="39" spans="1:251">
      <c r="A39" cm="1" vm="7204">
        <f t="array" aca="1" ref="A39:IQ39" ca="1">TRANSPOSE(_xlfn.STOCKHISTORY(Table3[[#This Row],[Stock Name ]],TODAY()-365,TODAY(),0,0,1))</f>
        <v>122.07</v>
      </c>
      <c r="B39" vm="6552">
        <f ca="1"/>
        <v>129.24</v>
      </c>
      <c r="C39" vm="7205">
        <f ca="1"/>
        <v>137.12</v>
      </c>
      <c r="D39" vm="6774">
        <f ca="1"/>
        <v>134.26</v>
      </c>
      <c r="E39" vm="7206">
        <f ca="1"/>
        <v>132.68</v>
      </c>
      <c r="F39" vm="7207">
        <f ca="1"/>
        <v>133.75</v>
      </c>
      <c r="G39" vm="7208">
        <f ca="1"/>
        <v>130.47</v>
      </c>
      <c r="H39" vm="7209">
        <f ca="1"/>
        <v>130.96</v>
      </c>
      <c r="I39" vm="7210">
        <f ca="1"/>
        <v>132.4</v>
      </c>
      <c r="J39" vm="7211">
        <f ca="1"/>
        <v>133.46</v>
      </c>
      <c r="K39" vm="7212">
        <f ca="1"/>
        <v>134.18</v>
      </c>
      <c r="L39" vm="7213">
        <f ca="1"/>
        <v>135.19</v>
      </c>
      <c r="M39" vm="7214">
        <f ca="1"/>
        <v>133.30000000000001</v>
      </c>
      <c r="N39" vm="7215">
        <f ca="1"/>
        <v>134.62</v>
      </c>
      <c r="O39" vm="7216">
        <f ca="1"/>
        <v>130.52000000000001</v>
      </c>
      <c r="P39" vm="7217">
        <f ca="1"/>
        <v>130.29</v>
      </c>
      <c r="Q39" vm="7218">
        <f ca="1"/>
        <v>130.56</v>
      </c>
      <c r="R39" vm="7219">
        <f ca="1"/>
        <v>133.16999999999999</v>
      </c>
      <c r="S39" vm="7220">
        <f ca="1"/>
        <v>133.07</v>
      </c>
      <c r="T39" vm="7221">
        <f ca="1"/>
        <v>133.55000000000001</v>
      </c>
      <c r="U39" vm="7222">
        <f ca="1"/>
        <v>131.32</v>
      </c>
      <c r="V39" vm="7223">
        <f ca="1"/>
        <v>131.55000000000001</v>
      </c>
      <c r="W39" vm="7224">
        <f ca="1"/>
        <v>129.97</v>
      </c>
      <c r="X39" vm="7225">
        <f ca="1"/>
        <v>126.86</v>
      </c>
      <c r="Y39" vm="7226">
        <f ca="1"/>
        <v>126.26</v>
      </c>
      <c r="Z39" vm="5935">
        <f ca="1"/>
        <v>128.44</v>
      </c>
      <c r="AA39" vm="7227">
        <f ca="1"/>
        <v>128.74</v>
      </c>
      <c r="AB39" vm="7228">
        <f ca="1"/>
        <v>128.01</v>
      </c>
      <c r="AC39" vm="7229">
        <f ca="1"/>
        <v>125.44</v>
      </c>
      <c r="AD39" vm="7230">
        <f ca="1"/>
        <v>126.2</v>
      </c>
      <c r="AE39" vm="7231">
        <f ca="1"/>
        <v>126.87</v>
      </c>
      <c r="AF39" vm="7232">
        <f ca="1"/>
        <v>127.89</v>
      </c>
      <c r="AG39" vm="7233">
        <f ca="1"/>
        <v>126.53</v>
      </c>
      <c r="AH39" vm="7234">
        <f ca="1"/>
        <v>126.69</v>
      </c>
      <c r="AI39" vm="5951">
        <f ca="1"/>
        <v>130.44</v>
      </c>
      <c r="AJ39" vm="7235">
        <f ca="1"/>
        <v>129.25</v>
      </c>
      <c r="AK39" vm="7236">
        <f ca="1"/>
        <v>126.91</v>
      </c>
      <c r="AL39" vm="7237">
        <f ca="1"/>
        <v>130.5</v>
      </c>
      <c r="AM39" vm="7238">
        <f ca="1"/>
        <v>129.09</v>
      </c>
      <c r="AN39" vm="7239">
        <f ca="1"/>
        <v>131.66</v>
      </c>
      <c r="AO39" vm="7240">
        <f ca="1"/>
        <v>132.47999999999999</v>
      </c>
      <c r="AP39" vm="7241">
        <f ca="1"/>
        <v>132.05000000000001</v>
      </c>
      <c r="AQ39" vm="7242">
        <f ca="1"/>
        <v>130.88</v>
      </c>
      <c r="AR39" vm="7237">
        <f ca="1"/>
        <v>130.5</v>
      </c>
      <c r="AS39" vm="7243">
        <f ca="1"/>
        <v>133.1</v>
      </c>
      <c r="AT39" vm="7244">
        <f ca="1"/>
        <v>133.38999999999999</v>
      </c>
      <c r="AU39" vm="1082">
        <f ca="1"/>
        <v>133.35</v>
      </c>
      <c r="AV39" vm="7245">
        <f ca="1"/>
        <v>133.41999999999999</v>
      </c>
      <c r="AW39" vm="7246">
        <f ca="1"/>
        <v>133.44</v>
      </c>
      <c r="AX39" vm="7247">
        <f ca="1"/>
        <v>133.21</v>
      </c>
      <c r="AY39" vm="850">
        <f ca="1"/>
        <v>132.56</v>
      </c>
      <c r="AZ39" vm="7248">
        <f ca="1"/>
        <v>132.49</v>
      </c>
      <c r="BA39" vm="7249">
        <f ca="1"/>
        <v>133.99</v>
      </c>
      <c r="BB39" vm="7250">
        <f ca="1"/>
        <v>133.27000000000001</v>
      </c>
      <c r="BC39" vm="7251">
        <f ca="1"/>
        <v>134.6</v>
      </c>
      <c r="BD39" vm="7252">
        <f ca="1"/>
        <v>133.61000000000001</v>
      </c>
      <c r="BE39" vm="7253">
        <f ca="1"/>
        <v>132.44</v>
      </c>
      <c r="BF39" vm="7254">
        <f ca="1"/>
        <v>133.08000000000001</v>
      </c>
      <c r="BG39" vm="7255">
        <f ca="1"/>
        <v>132.74</v>
      </c>
      <c r="BH39" vm="6633">
        <f ca="1"/>
        <v>135.07</v>
      </c>
      <c r="BI39" vm="7256">
        <f ca="1"/>
        <v>134.12</v>
      </c>
      <c r="BJ39" vm="7257">
        <f ca="1"/>
        <v>134.57</v>
      </c>
      <c r="BK39" vm="7258">
        <f ca="1"/>
        <v>133.33000000000001</v>
      </c>
      <c r="BL39" vm="7259">
        <f ca="1"/>
        <v>130.75</v>
      </c>
      <c r="BM39" vm="7260">
        <f ca="1"/>
        <v>129.02000000000001</v>
      </c>
      <c r="BN39" vm="7261">
        <f ca="1"/>
        <v>128.13999999999999</v>
      </c>
      <c r="BO39" vm="7262">
        <f ca="1"/>
        <v>127.85</v>
      </c>
      <c r="BP39" vm="7263">
        <f ca="1"/>
        <v>128.69999999999999</v>
      </c>
      <c r="BQ39" vm="7264">
        <f ca="1"/>
        <v>129.88999999999999</v>
      </c>
      <c r="BR39" vm="7265">
        <f ca="1"/>
        <v>128.62</v>
      </c>
      <c r="BS39" vm="7266">
        <f ca="1"/>
        <v>127.13</v>
      </c>
      <c r="BT39" vm="7267">
        <f ca="1"/>
        <v>125.14</v>
      </c>
      <c r="BU39" vm="7268">
        <f ca="1"/>
        <v>128.86000000000001</v>
      </c>
      <c r="BV39" vm="7269">
        <f ca="1"/>
        <v>130.22</v>
      </c>
      <c r="BW39" vm="7270">
        <f ca="1"/>
        <v>127.92</v>
      </c>
      <c r="BX39" vm="7271">
        <f ca="1"/>
        <v>125.58</v>
      </c>
      <c r="BY39" vm="6540">
        <f ca="1"/>
        <v>126.09</v>
      </c>
      <c r="BZ39" vm="7272">
        <f ca="1"/>
        <v>124.69</v>
      </c>
      <c r="CA39" vm="7273">
        <f ca="1"/>
        <v>124.74</v>
      </c>
      <c r="CB39" vm="7274">
        <f ca="1"/>
        <v>126.17</v>
      </c>
      <c r="CC39" vm="7226">
        <f ca="1"/>
        <v>126.26</v>
      </c>
      <c r="CD39" vm="6707">
        <f ca="1"/>
        <v>120.62</v>
      </c>
      <c r="CE39" vm="7275">
        <f ca="1"/>
        <v>120.25</v>
      </c>
      <c r="CF39" vm="3624">
        <f ca="1"/>
        <v>119</v>
      </c>
      <c r="CG39" vm="6664">
        <f ca="1"/>
        <v>115.79</v>
      </c>
      <c r="CH39" vm="7276">
        <f ca="1"/>
        <v>114.74</v>
      </c>
      <c r="CI39" vm="7277">
        <f ca="1"/>
        <v>106.49</v>
      </c>
      <c r="CJ39" vm="7278">
        <f ca="1"/>
        <v>104.69</v>
      </c>
      <c r="CK39" vm="7279">
        <f ca="1"/>
        <v>103.49</v>
      </c>
      <c r="CL39" vm="7280">
        <f ca="1"/>
        <v>104.08</v>
      </c>
      <c r="CM39" vm="7281">
        <f ca="1"/>
        <v>104.83</v>
      </c>
      <c r="CN39" vm="7282">
        <f ca="1"/>
        <v>103.18</v>
      </c>
      <c r="CO39" vm="7283">
        <f ca="1"/>
        <v>103.35</v>
      </c>
      <c r="CP39" vm="6644">
        <f ca="1"/>
        <v>104.06</v>
      </c>
      <c r="CQ39" vm="7284">
        <f ca="1"/>
        <v>105.01</v>
      </c>
      <c r="CR39" vm="7285">
        <f ca="1"/>
        <v>102.05</v>
      </c>
      <c r="CS39" vm="6250">
        <f ca="1"/>
        <v>101.88</v>
      </c>
      <c r="CT39" vm="7286">
        <f ca="1"/>
        <v>104.53</v>
      </c>
      <c r="CU39" vm="7287">
        <f ca="1"/>
        <v>105.89</v>
      </c>
      <c r="CV39" vm="7288">
        <f ca="1"/>
        <v>104.67</v>
      </c>
      <c r="CW39" vm="7289">
        <f ca="1"/>
        <v>107.76</v>
      </c>
      <c r="CX39" vm="7290">
        <f ca="1"/>
        <v>105.88</v>
      </c>
      <c r="CY39" vm="7291">
        <f ca="1"/>
        <v>108.15</v>
      </c>
      <c r="CZ39" vm="5916">
        <f ca="1"/>
        <v>107.49</v>
      </c>
      <c r="DA39" vm="7292">
        <f ca="1"/>
        <v>107.68</v>
      </c>
      <c r="DB39" vm="7293">
        <f ca="1"/>
        <v>108.28</v>
      </c>
      <c r="DC39" vm="7294">
        <f ca="1"/>
        <v>109.99</v>
      </c>
      <c r="DD39" vm="7295">
        <f ca="1"/>
        <v>110.79</v>
      </c>
      <c r="DE39" vm="7296">
        <f ca="1"/>
        <v>111.5</v>
      </c>
      <c r="DF39" vm="7297">
        <f ca="1"/>
        <v>112.05</v>
      </c>
      <c r="DG39" vm="7298">
        <f ca="1"/>
        <v>110.6</v>
      </c>
      <c r="DH39" vm="7299">
        <f ca="1"/>
        <v>109.22</v>
      </c>
      <c r="DI39" vm="3518">
        <f ca="1"/>
        <v>105.64</v>
      </c>
      <c r="DJ39" vm="6567">
        <f ca="1"/>
        <v>104.75</v>
      </c>
      <c r="DK39" vm="6238">
        <f ca="1"/>
        <v>105</v>
      </c>
      <c r="DL39" vm="6238">
        <f ca="1"/>
        <v>105</v>
      </c>
      <c r="DM39" vm="7300">
        <f ca="1"/>
        <v>107.57</v>
      </c>
      <c r="DN39" vm="7301">
        <f ca="1"/>
        <v>110.49</v>
      </c>
      <c r="DO39" vm="7302">
        <f ca="1"/>
        <v>107.4</v>
      </c>
      <c r="DP39" vm="7303">
        <f ca="1"/>
        <v>108.77</v>
      </c>
      <c r="DQ39" vm="7304">
        <f ca="1"/>
        <v>108.74</v>
      </c>
      <c r="DR39" vm="7305">
        <f ca="1"/>
        <v>110.01</v>
      </c>
      <c r="DS39" vm="7306">
        <f ca="1"/>
        <v>110.2</v>
      </c>
      <c r="DT39" vm="7307">
        <f ca="1"/>
        <v>111.17</v>
      </c>
      <c r="DU39" vm="7308">
        <f ca="1"/>
        <v>111.58</v>
      </c>
      <c r="DV39" vm="7309">
        <f ca="1"/>
        <v>112.81</v>
      </c>
      <c r="DW39" vm="7310">
        <f ca="1"/>
        <v>112.38</v>
      </c>
      <c r="DX39" vm="7311">
        <f ca="1"/>
        <v>112.29</v>
      </c>
      <c r="DY39" vm="7312">
        <f ca="1"/>
        <v>111.28</v>
      </c>
      <c r="DZ39" vm="7313">
        <f ca="1"/>
        <v>110.05</v>
      </c>
      <c r="EA39" vm="7314">
        <f ca="1"/>
        <v>109.16</v>
      </c>
      <c r="EB39" vm="7315">
        <f ca="1"/>
        <v>109.4</v>
      </c>
      <c r="EC39" vm="7316">
        <f ca="1"/>
        <v>111.63</v>
      </c>
      <c r="ED39" vm="7317">
        <f ca="1"/>
        <v>109.83</v>
      </c>
      <c r="EE39" vm="7318">
        <f ca="1"/>
        <v>110.41</v>
      </c>
      <c r="EF39" vm="7319">
        <f ca="1"/>
        <v>111.35</v>
      </c>
      <c r="EG39" vm="7320">
        <f ca="1"/>
        <v>112.31</v>
      </c>
      <c r="EH39" vm="6678">
        <f ca="1"/>
        <v>111.95</v>
      </c>
      <c r="EI39" vm="7321">
        <f ca="1"/>
        <v>113.21</v>
      </c>
      <c r="EJ39" vm="7322">
        <f ca="1"/>
        <v>113.3</v>
      </c>
      <c r="EK39" vm="7323">
        <f ca="1"/>
        <v>114.46</v>
      </c>
      <c r="EL39" vm="3592">
        <f ca="1"/>
        <v>114.41</v>
      </c>
      <c r="EM39" vm="3576">
        <f ca="1"/>
        <v>114.45</v>
      </c>
      <c r="EN39" vm="7324">
        <f ca="1"/>
        <v>116.54</v>
      </c>
      <c r="EO39" vm="7325">
        <f ca="1"/>
        <v>120.41</v>
      </c>
      <c r="EP39" vm="7326">
        <f ca="1"/>
        <v>120.15</v>
      </c>
      <c r="EQ39" vm="6207">
        <f ca="1"/>
        <v>121.14</v>
      </c>
      <c r="ER39" vm="7327">
        <f ca="1"/>
        <v>121.49</v>
      </c>
      <c r="ES39" vm="7328">
        <f ca="1"/>
        <v>123.21</v>
      </c>
      <c r="ET39" vm="7329">
        <f ca="1"/>
        <v>122.62</v>
      </c>
      <c r="EU39" vm="7330">
        <f ca="1"/>
        <v>123.75</v>
      </c>
      <c r="EV39" vm="7331">
        <f ca="1"/>
        <v>126.66</v>
      </c>
      <c r="EW39" vm="7332">
        <f ca="1"/>
        <v>125.68</v>
      </c>
      <c r="EX39" vm="7333">
        <f ca="1"/>
        <v>123.08</v>
      </c>
      <c r="EY39" vm="7334">
        <f ca="1"/>
        <v>120.43</v>
      </c>
      <c r="EZ39" vm="7335">
        <f ca="1"/>
        <v>122.68</v>
      </c>
      <c r="FA39" vm="7336">
        <f ca="1"/>
        <v>123.95</v>
      </c>
      <c r="FB39" vm="6540">
        <f ca="1"/>
        <v>126.09</v>
      </c>
      <c r="FC39" vm="7337">
        <f ca="1"/>
        <v>126.05</v>
      </c>
      <c r="FD39" vm="6600">
        <f ca="1"/>
        <v>127.72</v>
      </c>
      <c r="FE39" vm="7338">
        <f ca="1"/>
        <v>123.98</v>
      </c>
      <c r="FF39" vm="7339">
        <f ca="1"/>
        <v>118.94</v>
      </c>
      <c r="FG39" vm="3552">
        <f ca="1"/>
        <v>121.05</v>
      </c>
      <c r="FH39" vm="7326">
        <f ca="1"/>
        <v>120.15</v>
      </c>
      <c r="FI39" vm="7340">
        <f ca="1"/>
        <v>121.99</v>
      </c>
      <c r="FJ39" vm="7341">
        <f ca="1"/>
        <v>121.9</v>
      </c>
      <c r="FK39" vm="7342">
        <f ca="1"/>
        <v>119.99</v>
      </c>
      <c r="FL39" vm="7335">
        <f ca="1"/>
        <v>122.68</v>
      </c>
      <c r="FM39" vm="7343">
        <f ca="1"/>
        <v>123.42</v>
      </c>
      <c r="FN39" vm="7344">
        <f ca="1"/>
        <v>124.77</v>
      </c>
      <c r="FO39" vm="6598">
        <f ca="1"/>
        <v>122.85</v>
      </c>
      <c r="FP39" vm="7345">
        <f ca="1"/>
        <v>124.7</v>
      </c>
      <c r="FQ39" vm="7346">
        <f ca="1"/>
        <v>124.15</v>
      </c>
      <c r="FR39" vm="7347">
        <f ca="1"/>
        <v>124.47</v>
      </c>
      <c r="FS39" vm="7348">
        <f ca="1"/>
        <v>125.98</v>
      </c>
      <c r="FT39" vm="7268">
        <f ca="1"/>
        <v>128.86000000000001</v>
      </c>
      <c r="FU39" vm="7349">
        <f ca="1"/>
        <v>128.9</v>
      </c>
      <c r="FV39" vm="7350">
        <f ca="1"/>
        <v>128.94</v>
      </c>
      <c r="FW39" vm="7351">
        <f ca="1"/>
        <v>126.9</v>
      </c>
      <c r="FX39" vm="7352">
        <f ca="1"/>
        <v>125.33</v>
      </c>
      <c r="FY39" vm="7353">
        <f ca="1"/>
        <v>127.82</v>
      </c>
      <c r="FZ39" vm="7354">
        <f ca="1"/>
        <v>128.37</v>
      </c>
      <c r="GA39" vm="7355">
        <f ca="1"/>
        <v>128.27000000000001</v>
      </c>
      <c r="GB39" vm="7356">
        <f ca="1"/>
        <v>127.41</v>
      </c>
      <c r="GC39" vm="7357">
        <f ca="1"/>
        <v>127.23</v>
      </c>
      <c r="GD39" vm="7358">
        <f ca="1"/>
        <v>130.25</v>
      </c>
      <c r="GE39" vm="7210">
        <f ca="1"/>
        <v>132.4</v>
      </c>
      <c r="GF39" vm="7359">
        <f ca="1"/>
        <v>130.69</v>
      </c>
      <c r="GG39" vm="7217">
        <f ca="1"/>
        <v>130.29</v>
      </c>
      <c r="GH39" vm="7360">
        <f ca="1"/>
        <v>129.97999999999999</v>
      </c>
      <c r="GI39" vm="7361">
        <f ca="1"/>
        <v>129.28</v>
      </c>
      <c r="GJ39" vm="7362">
        <f ca="1"/>
        <v>128.87</v>
      </c>
      <c r="GK39" vm="7363">
        <f ca="1"/>
        <v>127.02</v>
      </c>
      <c r="GL39" vm="6573">
        <f ca="1"/>
        <v>128.5</v>
      </c>
      <c r="GM39" vm="7364">
        <f ca="1"/>
        <v>125.47</v>
      </c>
      <c r="GN39" vm="7365">
        <f ca="1"/>
        <v>126.63</v>
      </c>
      <c r="GO39" vm="7366">
        <f ca="1"/>
        <v>126.68</v>
      </c>
      <c r="GP39" vm="7367">
        <f ca="1"/>
        <v>125.39</v>
      </c>
      <c r="GQ39" vm="7368">
        <f ca="1"/>
        <v>125.23</v>
      </c>
      <c r="GR39" vm="7369">
        <f ca="1"/>
        <v>125.59</v>
      </c>
      <c r="GS39" vm="7370">
        <f ca="1"/>
        <v>126.28</v>
      </c>
      <c r="GT39" vm="7371">
        <f ca="1"/>
        <v>124.61</v>
      </c>
      <c r="GU39" vm="7372">
        <f ca="1"/>
        <v>124.18</v>
      </c>
      <c r="GV39" vm="3657">
        <f ca="1"/>
        <v>122.04</v>
      </c>
      <c r="GW39" vm="7373">
        <f ca="1"/>
        <v>122.42</v>
      </c>
      <c r="GX39" vm="7374">
        <f ca="1"/>
        <v>120</v>
      </c>
      <c r="GY39" vm="7375">
        <f ca="1"/>
        <v>119.34</v>
      </c>
      <c r="GZ39" vm="7376">
        <f ca="1"/>
        <v>118.84</v>
      </c>
      <c r="HA39" vm="5925">
        <f ca="1"/>
        <v>118.28</v>
      </c>
      <c r="HB39" vm="7377">
        <f ca="1"/>
        <v>120.24</v>
      </c>
      <c r="HC39" vm="7378">
        <f ca="1"/>
        <v>120.46</v>
      </c>
      <c r="HD39" vm="7379">
        <f ca="1"/>
        <v>121.39</v>
      </c>
      <c r="HE39" vm="7380">
        <f ca="1"/>
        <v>126.97</v>
      </c>
      <c r="HF39" vm="7381">
        <f ca="1"/>
        <v>122.7</v>
      </c>
      <c r="HG39" vm="7382">
        <f ca="1"/>
        <v>122.5</v>
      </c>
      <c r="HH39" vm="7383">
        <f ca="1"/>
        <v>117.77</v>
      </c>
      <c r="HI39" vm="7339">
        <f ca="1"/>
        <v>118.94</v>
      </c>
      <c r="HJ39" vm="7384">
        <f ca="1"/>
        <v>120.83</v>
      </c>
      <c r="HK39" vm="7385">
        <f ca="1"/>
        <v>120.39</v>
      </c>
      <c r="HL39" vm="7386">
        <f ca="1"/>
        <v>117.54</v>
      </c>
      <c r="HM39" vm="5933">
        <f ca="1"/>
        <v>117.81</v>
      </c>
      <c r="HN39" vm="7387">
        <f ca="1"/>
        <v>115.31</v>
      </c>
      <c r="HO39" vm="7388">
        <f ca="1"/>
        <v>115.87</v>
      </c>
      <c r="HP39" vm="7389">
        <f ca="1"/>
        <v>112.94</v>
      </c>
      <c r="HQ39" vm="7390">
        <f ca="1"/>
        <v>113.4</v>
      </c>
      <c r="HR39" vm="7391">
        <f ca="1"/>
        <v>113.86</v>
      </c>
      <c r="HS39" vm="7392">
        <f ca="1"/>
        <v>114.43</v>
      </c>
      <c r="HT39" vm="7393">
        <f ca="1"/>
        <v>113.74</v>
      </c>
      <c r="HU39" vm="7394">
        <f ca="1"/>
        <v>114.21</v>
      </c>
      <c r="HV39" vm="7395">
        <f ca="1"/>
        <v>115.83</v>
      </c>
      <c r="HW39" vm="7396">
        <f ca="1"/>
        <v>114.1</v>
      </c>
      <c r="HX39" vm="3580">
        <f ca="1"/>
        <v>112.75</v>
      </c>
      <c r="HY39" vm="7397">
        <f ca="1"/>
        <v>116.57</v>
      </c>
      <c r="HZ39" vm="7398">
        <f ca="1"/>
        <v>114.75</v>
      </c>
      <c r="IA39" vm="3571">
        <f ca="1"/>
        <v>113.42</v>
      </c>
      <c r="IB39" vm="3531">
        <f ca="1"/>
        <v>114.65</v>
      </c>
      <c r="IC39" vm="7399">
        <f ca="1"/>
        <v>115.13</v>
      </c>
      <c r="ID39" vm="6684">
        <f ca="1"/>
        <v>114.54</v>
      </c>
      <c r="IE39" vm="3579">
        <f ca="1"/>
        <v>113.97</v>
      </c>
      <c r="IF39" vm="6716">
        <f ca="1"/>
        <v>115.8</v>
      </c>
      <c r="IG39" vm="7400">
        <f ca="1"/>
        <v>118.07</v>
      </c>
      <c r="IH39" vm="3560">
        <f ca="1"/>
        <v>116.17</v>
      </c>
      <c r="II39" vm="7401">
        <f ca="1"/>
        <v>117.8</v>
      </c>
      <c r="IJ39" vm="3673">
        <f ca="1"/>
        <v>116.78</v>
      </c>
      <c r="IK39" vm="6670">
        <f ca="1"/>
        <v>115.84</v>
      </c>
      <c r="IL39" vm="7402">
        <f ca="1"/>
        <v>116.4</v>
      </c>
      <c r="IM39" vm="7403">
        <f ca="1"/>
        <v>115.05</v>
      </c>
      <c r="IN39" vm="3532">
        <f ca="1"/>
        <v>113.79</v>
      </c>
      <c r="IO39" vm="7404">
        <f ca="1"/>
        <v>112</v>
      </c>
      <c r="IP39" vm="7405">
        <f ca="1"/>
        <v>115.42</v>
      </c>
      <c r="IQ39" vm="7406">
        <f ca="1"/>
        <v>113.15</v>
      </c>
    </row>
    <row r="40" spans="1:251">
      <c r="A40" cm="1" vm="8018">
        <f t="array" aca="1" ref="A40:IQ40" ca="1">TRANSPOSE(_xlfn.STOCKHISTORY(Table3[[#This Row],[Stock Name ]],TODAY()-365,TODAY(),0,0,1))</f>
        <v>248.63</v>
      </c>
      <c r="B40" vm="8019">
        <f ca="1"/>
        <v>250.91</v>
      </c>
      <c r="C40" vm="8020">
        <f ca="1"/>
        <v>256.24</v>
      </c>
      <c r="D40" vm="8021">
        <f ca="1"/>
        <v>264.27</v>
      </c>
      <c r="E40" vm="8022">
        <f ca="1"/>
        <v>260.41000000000003</v>
      </c>
      <c r="F40" vm="8023">
        <f ca="1"/>
        <v>263.51</v>
      </c>
      <c r="G40" vm="7413">
        <f ca="1"/>
        <v>260.25</v>
      </c>
      <c r="H40" vm="8024">
        <f ca="1"/>
        <v>262.02</v>
      </c>
      <c r="I40" vm="8025">
        <f ca="1"/>
        <v>260.44</v>
      </c>
      <c r="J40" vm="7569">
        <f ca="1"/>
        <v>262.79000000000002</v>
      </c>
      <c r="K40" vm="8026">
        <f ca="1"/>
        <v>262.10000000000002</v>
      </c>
      <c r="L40" vm="8027">
        <f ca="1"/>
        <v>260.35000000000002</v>
      </c>
      <c r="M40" vm="8028">
        <f ca="1"/>
        <v>260.66000000000003</v>
      </c>
      <c r="N40" vm="8029">
        <f ca="1"/>
        <v>251.76</v>
      </c>
      <c r="O40" vm="8030">
        <f ca="1"/>
        <v>243.91</v>
      </c>
      <c r="P40" vm="8031">
        <f ca="1"/>
        <v>244.94</v>
      </c>
      <c r="Q40" vm="8032">
        <f ca="1"/>
        <v>249</v>
      </c>
      <c r="R40" vm="1639">
        <f ca="1"/>
        <v>229</v>
      </c>
      <c r="S40" vm="8033">
        <f ca="1"/>
        <v>225.76</v>
      </c>
      <c r="T40" vm="8034">
        <f ca="1"/>
        <v>227.84</v>
      </c>
      <c r="U40" vm="1646">
        <f ca="1"/>
        <v>222.66</v>
      </c>
      <c r="V40" vm="4070">
        <f ca="1"/>
        <v>217.7</v>
      </c>
      <c r="W40" vm="8035">
        <f ca="1"/>
        <v>200.52</v>
      </c>
      <c r="X40" vm="8036">
        <f ca="1"/>
        <v>203.06</v>
      </c>
      <c r="Y40" vm="4064">
        <f ca="1"/>
        <v>211.61</v>
      </c>
      <c r="Z40" vm="8037">
        <f ca="1"/>
        <v>215.02</v>
      </c>
      <c r="AA40" vm="8038">
        <f ca="1"/>
        <v>214.93</v>
      </c>
      <c r="AB40" vm="8039">
        <f ca="1"/>
        <v>211.5</v>
      </c>
      <c r="AC40" vm="4067">
        <f ca="1"/>
        <v>214.13</v>
      </c>
      <c r="AD40" vm="8040">
        <f ca="1"/>
        <v>201.88</v>
      </c>
      <c r="AE40" vm="8041">
        <f ca="1"/>
        <v>205.47</v>
      </c>
      <c r="AF40" vm="8042">
        <f ca="1"/>
        <v>205.19</v>
      </c>
      <c r="AG40" vm="8043">
        <f ca="1"/>
        <v>200.44</v>
      </c>
      <c r="AH40" vm="8044">
        <f ca="1"/>
        <v>211.04</v>
      </c>
      <c r="AI40" vm="8045">
        <f ca="1"/>
        <v>209.81</v>
      </c>
      <c r="AJ40" vm="8046">
        <f ca="1"/>
        <v>209.38</v>
      </c>
      <c r="AK40" vm="8047">
        <f ca="1"/>
        <v>206.63</v>
      </c>
      <c r="AL40" vm="8048">
        <f ca="1"/>
        <v>208.58</v>
      </c>
      <c r="AM40" vm="8049">
        <f ca="1"/>
        <v>211.92</v>
      </c>
      <c r="AN40" vm="8050">
        <f ca="1"/>
        <v>209.22</v>
      </c>
      <c r="AO40" vm="8051">
        <f ca="1"/>
        <v>209.2</v>
      </c>
      <c r="AP40" vm="8052">
        <f ca="1"/>
        <v>209.33</v>
      </c>
      <c r="AQ40" vm="8053">
        <f ca="1"/>
        <v>204.46</v>
      </c>
      <c r="AR40" vm="8054">
        <f ca="1"/>
        <v>203.38</v>
      </c>
      <c r="AS40" vm="8055">
        <f ca="1"/>
        <v>205.33</v>
      </c>
      <c r="AT40" vm="8056">
        <f ca="1"/>
        <v>203.89</v>
      </c>
      <c r="AU40" vm="8057">
        <f ca="1"/>
        <v>203.37</v>
      </c>
      <c r="AV40" vm="8058">
        <f ca="1"/>
        <v>201.57</v>
      </c>
      <c r="AW40" vm="8059">
        <f ca="1"/>
        <v>201.5</v>
      </c>
      <c r="AX40" vm="8060">
        <f ca="1"/>
        <v>200.83</v>
      </c>
      <c r="AY40" vm="8061">
        <f ca="1"/>
        <v>200.54</v>
      </c>
      <c r="AZ40" vm="8062">
        <f ca="1"/>
        <v>201.4</v>
      </c>
      <c r="BA40" vm="8063">
        <f ca="1"/>
        <v>207</v>
      </c>
      <c r="BB40" vm="8064">
        <f ca="1"/>
        <v>203.72</v>
      </c>
      <c r="BC40" vm="1370">
        <f ca="1"/>
        <v>200</v>
      </c>
      <c r="BD40" vm="8061">
        <f ca="1"/>
        <v>200.54</v>
      </c>
      <c r="BE40" vm="8065">
        <f ca="1"/>
        <v>201.14</v>
      </c>
      <c r="BF40" vm="8066">
        <f ca="1"/>
        <v>201</v>
      </c>
      <c r="BG40" vm="8067">
        <f ca="1"/>
        <v>203.03</v>
      </c>
      <c r="BH40" vm="8068">
        <f ca="1"/>
        <v>198.49</v>
      </c>
      <c r="BI40" vm="8069">
        <f ca="1"/>
        <v>192.49</v>
      </c>
      <c r="BJ40" vm="8070">
        <f ca="1"/>
        <v>184.24</v>
      </c>
      <c r="BK40" vm="8071">
        <f ca="1"/>
        <v>182.35</v>
      </c>
      <c r="BL40" vm="8072">
        <f ca="1"/>
        <v>181.15</v>
      </c>
      <c r="BM40" vm="8073">
        <f ca="1"/>
        <v>182.53</v>
      </c>
      <c r="BN40" vm="8074">
        <f ca="1"/>
        <v>179.84</v>
      </c>
      <c r="BO40" vm="8075">
        <f ca="1"/>
        <v>181.14</v>
      </c>
      <c r="BP40" vm="8076">
        <f ca="1"/>
        <v>187.78</v>
      </c>
      <c r="BQ40" vm="8077">
        <f ca="1"/>
        <v>187.7</v>
      </c>
      <c r="BR40" vm="1511">
        <f ca="1"/>
        <v>188.85</v>
      </c>
      <c r="BS40" vm="8078">
        <f ca="1"/>
        <v>191.41</v>
      </c>
      <c r="BT40" vm="8079">
        <f ca="1"/>
        <v>187.5</v>
      </c>
      <c r="BU40" vm="3949">
        <f ca="1"/>
        <v>191.95</v>
      </c>
      <c r="BV40" vm="8080">
        <f ca="1"/>
        <v>192.99</v>
      </c>
      <c r="BW40" vm="1339">
        <f ca="1"/>
        <v>189.5</v>
      </c>
      <c r="BX40" vm="1504">
        <f ca="1"/>
        <v>188.04</v>
      </c>
      <c r="BY40" vm="8081">
        <f ca="1"/>
        <v>184.92</v>
      </c>
      <c r="BZ40" vm="8082">
        <f ca="1"/>
        <v>183.29</v>
      </c>
      <c r="CA40" vm="8083">
        <f ca="1"/>
        <v>183.14</v>
      </c>
      <c r="CB40" vm="1517">
        <f ca="1"/>
        <v>181.56</v>
      </c>
      <c r="CC40" vm="1237">
        <f ca="1"/>
        <v>178.12</v>
      </c>
      <c r="CD40" vm="1326">
        <f ca="1"/>
        <v>174.63</v>
      </c>
      <c r="CE40" vm="8084">
        <f ca="1"/>
        <v>173.36</v>
      </c>
      <c r="CF40" vm="8085">
        <f ca="1"/>
        <v>169.55</v>
      </c>
      <c r="CG40" vm="8086">
        <f ca="1"/>
        <v>167.82</v>
      </c>
      <c r="CH40" vm="4012">
        <f ca="1"/>
        <v>170.55</v>
      </c>
      <c r="CI40" vm="8087">
        <f ca="1"/>
        <v>170.21</v>
      </c>
      <c r="CJ40" vm="1395">
        <f ca="1"/>
        <v>170.23</v>
      </c>
      <c r="CK40" vm="8088">
        <f ca="1"/>
        <v>169.82</v>
      </c>
      <c r="CL40" vm="582">
        <f ca="1"/>
        <v>170.48</v>
      </c>
      <c r="CM40" vm="8089">
        <f ca="1"/>
        <v>169.18</v>
      </c>
      <c r="CN40" vm="8090">
        <f ca="1"/>
        <v>164.33</v>
      </c>
      <c r="CO40" vm="8091">
        <f ca="1"/>
        <v>166.81</v>
      </c>
      <c r="CP40" vm="8092">
        <f ca="1"/>
        <v>167.22</v>
      </c>
      <c r="CQ40" vm="8093">
        <f ca="1"/>
        <v>173.49</v>
      </c>
      <c r="CR40" vm="6811">
        <f ca="1"/>
        <v>167.84</v>
      </c>
      <c r="CS40" vm="8094">
        <f ca="1"/>
        <v>171.46</v>
      </c>
      <c r="CT40" vm="8095">
        <f ca="1"/>
        <v>178.85</v>
      </c>
      <c r="CU40" vm="8096">
        <f ca="1"/>
        <v>179.79</v>
      </c>
      <c r="CV40" vm="907">
        <f ca="1"/>
        <v>178.35</v>
      </c>
      <c r="CW40" vm="8097">
        <f ca="1"/>
        <v>176.71</v>
      </c>
      <c r="CX40" vm="1231">
        <f ca="1"/>
        <v>180.35</v>
      </c>
      <c r="CY40" vm="3974">
        <f ca="1"/>
        <v>181.25</v>
      </c>
      <c r="CZ40" vm="8098">
        <f ca="1"/>
        <v>178.51</v>
      </c>
      <c r="DA40" vm="8099">
        <f ca="1"/>
        <v>178.44</v>
      </c>
      <c r="DB40" vm="8100">
        <f ca="1"/>
        <v>180.76</v>
      </c>
      <c r="DC40" vm="8101">
        <f ca="1"/>
        <v>176.99</v>
      </c>
      <c r="DD40" vm="8102">
        <f ca="1"/>
        <v>182.96</v>
      </c>
      <c r="DE40" vm="8103">
        <f ca="1"/>
        <v>184.95</v>
      </c>
      <c r="DF40" vm="924">
        <f ca="1"/>
        <v>186.61</v>
      </c>
      <c r="DG40" vm="8104">
        <f ca="1"/>
        <v>184.78</v>
      </c>
      <c r="DH40" vm="1566">
        <f ca="1"/>
        <v>186.28</v>
      </c>
      <c r="DI40" vm="8105">
        <f ca="1"/>
        <v>172.21</v>
      </c>
      <c r="DJ40" vm="8106">
        <f ca="1"/>
        <v>174.52</v>
      </c>
      <c r="DK40" vm="8107">
        <f ca="1"/>
        <v>175.08</v>
      </c>
      <c r="DL40" vm="8108">
        <f ca="1"/>
        <v>171.65</v>
      </c>
      <c r="DM40" vm="1528">
        <f ca="1"/>
        <v>172.75</v>
      </c>
      <c r="DN40" vm="8109">
        <f ca="1"/>
        <v>177.61</v>
      </c>
      <c r="DO40" vm="1564">
        <f ca="1"/>
        <v>184.57</v>
      </c>
      <c r="DP40" vm="8110">
        <f ca="1"/>
        <v>188.62</v>
      </c>
      <c r="DQ40" vm="8111">
        <f ca="1"/>
        <v>189.85</v>
      </c>
      <c r="DR40" vm="8112">
        <f ca="1"/>
        <v>191.42</v>
      </c>
      <c r="DS40" vm="8113">
        <f ca="1"/>
        <v>190.24</v>
      </c>
      <c r="DT40" vm="8114">
        <f ca="1"/>
        <v>190.12</v>
      </c>
      <c r="DU40" vm="933">
        <f ca="1"/>
        <v>185.5</v>
      </c>
      <c r="DV40" vm="8115">
        <f ca="1"/>
        <v>182.67</v>
      </c>
      <c r="DW40" vm="8116">
        <f ca="1"/>
        <v>180.7</v>
      </c>
      <c r="DX40" vm="8117">
        <f ca="1"/>
        <v>177.27</v>
      </c>
      <c r="DY40" vm="8118">
        <f ca="1"/>
        <v>178.39</v>
      </c>
      <c r="DZ40" vm="1135">
        <f ca="1"/>
        <v>174.99</v>
      </c>
      <c r="EA40" vm="1152">
        <f ca="1"/>
        <v>176.3</v>
      </c>
      <c r="EB40" vm="8119">
        <f ca="1"/>
        <v>176.56</v>
      </c>
      <c r="EC40" vm="8120">
        <f ca="1"/>
        <v>179.1</v>
      </c>
      <c r="ED40" vm="1524">
        <f ca="1"/>
        <v>175.1</v>
      </c>
      <c r="EE40" vm="1406">
        <f ca="1"/>
        <v>178.5</v>
      </c>
      <c r="EF40" vm="8121">
        <f ca="1"/>
        <v>182.51</v>
      </c>
      <c r="EG40" vm="8122">
        <f ca="1"/>
        <v>182.01</v>
      </c>
      <c r="EH40" vm="8123">
        <f ca="1"/>
        <v>186.7</v>
      </c>
      <c r="EI40" vm="8124">
        <f ca="1"/>
        <v>185.42</v>
      </c>
      <c r="EJ40" vm="8125">
        <f ca="1"/>
        <v>184.31</v>
      </c>
      <c r="EK40" vm="8126">
        <f ca="1"/>
        <v>184.83</v>
      </c>
      <c r="EL40" vm="8127">
        <f ca="1"/>
        <v>185.84</v>
      </c>
      <c r="EM40" vm="8128">
        <f ca="1"/>
        <v>183.24</v>
      </c>
      <c r="EN40" vm="8129">
        <f ca="1"/>
        <v>183.73</v>
      </c>
      <c r="EO40" vm="8130">
        <f ca="1"/>
        <v>183.91</v>
      </c>
      <c r="EP40" vm="1516">
        <f ca="1"/>
        <v>182.31</v>
      </c>
      <c r="EQ40" vm="8131">
        <f ca="1"/>
        <v>179.11</v>
      </c>
      <c r="ER40" vm="8132">
        <f ca="1"/>
        <v>186.05</v>
      </c>
      <c r="ES40" vm="6830">
        <f ca="1"/>
        <v>184.84</v>
      </c>
      <c r="ET40" vm="8133">
        <f ca="1"/>
        <v>180.23</v>
      </c>
      <c r="EU40" vm="8134">
        <f ca="1"/>
        <v>179.67</v>
      </c>
      <c r="EV40" vm="8135">
        <f ca="1"/>
        <v>178.9</v>
      </c>
      <c r="EW40" vm="8136">
        <f ca="1"/>
        <v>186.48</v>
      </c>
      <c r="EX40" vm="8137">
        <f ca="1"/>
        <v>180.07</v>
      </c>
      <c r="EY40" vm="8138">
        <f ca="1"/>
        <v>184.35</v>
      </c>
      <c r="EZ40" vm="1358">
        <f ca="1"/>
        <v>186.89</v>
      </c>
      <c r="FA40" vm="8139">
        <f ca="1"/>
        <v>185.43</v>
      </c>
      <c r="FB40" vm="921">
        <f ca="1"/>
        <v>186.86</v>
      </c>
      <c r="FC40" vm="1161">
        <f ca="1"/>
        <v>190.6</v>
      </c>
      <c r="FD40" vm="4024">
        <f ca="1"/>
        <v>178.31</v>
      </c>
      <c r="FE40" vm="8140">
        <f ca="1"/>
        <v>169.95</v>
      </c>
      <c r="FF40" vm="8141">
        <f ca="1"/>
        <v>167.03</v>
      </c>
      <c r="FG40" vm="8142">
        <f ca="1"/>
        <v>165.04</v>
      </c>
      <c r="FH40" vm="977">
        <f ca="1"/>
        <v>163.24</v>
      </c>
      <c r="FI40" vm="8143">
        <f ca="1"/>
        <v>168.87</v>
      </c>
      <c r="FJ40" vm="8144">
        <f ca="1"/>
        <v>167.91</v>
      </c>
      <c r="FK40" vm="4251">
        <f ca="1"/>
        <v>164.13</v>
      </c>
      <c r="FL40" vm="8145">
        <f ca="1"/>
        <v>168.76</v>
      </c>
      <c r="FM40" vm="8146">
        <f ca="1"/>
        <v>168.5</v>
      </c>
      <c r="FN40" vm="8147">
        <f ca="1"/>
        <v>176.41</v>
      </c>
      <c r="FO40" vm="8148">
        <f ca="1"/>
        <v>179.99</v>
      </c>
      <c r="FP40" vm="8149">
        <f ca="1"/>
        <v>179.64</v>
      </c>
      <c r="FQ40" vm="8150">
        <f ca="1"/>
        <v>172.1</v>
      </c>
      <c r="FR40" vm="6809">
        <f ca="1"/>
        <v>173.43</v>
      </c>
      <c r="FS40" vm="8151">
        <f ca="1"/>
        <v>172.76</v>
      </c>
      <c r="FT40" vm="8152">
        <f ca="1"/>
        <v>174.96</v>
      </c>
      <c r="FU40" vm="8153">
        <f ca="1"/>
        <v>173.48</v>
      </c>
      <c r="FV40" vm="8154">
        <f ca="1"/>
        <v>173.05</v>
      </c>
      <c r="FW40" vm="8155">
        <f ca="1"/>
        <v>170.71</v>
      </c>
      <c r="FX40" vm="8156">
        <f ca="1"/>
        <v>172.26</v>
      </c>
      <c r="FY40" vm="8157">
        <f ca="1"/>
        <v>173.74</v>
      </c>
      <c r="FZ40" vm="1390">
        <f ca="1"/>
        <v>161.02000000000001</v>
      </c>
      <c r="GA40" vm="4261">
        <f ca="1"/>
        <v>163.22</v>
      </c>
      <c r="GB40" vm="8158">
        <f ca="1"/>
        <v>162.15</v>
      </c>
      <c r="GC40" vm="8159">
        <f ca="1"/>
        <v>157.62</v>
      </c>
      <c r="GD40" vm="3905">
        <f ca="1"/>
        <v>162.91</v>
      </c>
      <c r="GE40" vm="8160">
        <f ca="1"/>
        <v>160.07</v>
      </c>
      <c r="GF40" vm="2789">
        <f ca="1"/>
        <v>161.33000000000001</v>
      </c>
      <c r="GG40" vm="1392">
        <f ca="1"/>
        <v>162.77000000000001</v>
      </c>
      <c r="GH40" vm="2781">
        <f ca="1"/>
        <v>156.77000000000001</v>
      </c>
      <c r="GI40" vm="2664">
        <f ca="1"/>
        <v>155.55000000000001</v>
      </c>
      <c r="GJ40" vm="8161">
        <f ca="1"/>
        <v>156.38999999999999</v>
      </c>
      <c r="GK40" vm="8162">
        <f ca="1"/>
        <v>155.11000000000001</v>
      </c>
      <c r="GL40" vm="8163">
        <f ca="1"/>
        <v>154.59</v>
      </c>
      <c r="GM40" vm="8164">
        <f ca="1"/>
        <v>153.29</v>
      </c>
      <c r="GN40" vm="8165">
        <f ca="1"/>
        <v>156.30000000000001</v>
      </c>
      <c r="GO40" vm="8166">
        <f ca="1"/>
        <v>155.81</v>
      </c>
      <c r="GP40" vm="8167">
        <f ca="1"/>
        <v>152.22</v>
      </c>
      <c r="GQ40" vm="8168">
        <f ca="1"/>
        <v>154.58000000000001</v>
      </c>
      <c r="GR40" vm="2709">
        <f ca="1"/>
        <v>156.32</v>
      </c>
      <c r="GS40" vm="8169">
        <f ca="1"/>
        <v>152.04</v>
      </c>
      <c r="GT40" vm="2702">
        <f ca="1"/>
        <v>154.22</v>
      </c>
      <c r="GU40" vm="8170">
        <f ca="1"/>
        <v>152.88999999999999</v>
      </c>
      <c r="GV40" vm="8171">
        <f ca="1"/>
        <v>150.52000000000001</v>
      </c>
      <c r="GW40" vm="8172">
        <f ca="1"/>
        <v>155</v>
      </c>
      <c r="GX40" vm="8173">
        <f ca="1"/>
        <v>155.91</v>
      </c>
      <c r="GY40" vm="8174">
        <f ca="1"/>
        <v>154.65</v>
      </c>
      <c r="GZ40" vm="2658">
        <f ca="1"/>
        <v>149.37</v>
      </c>
      <c r="HA40" vm="8175">
        <f ca="1"/>
        <v>146.62</v>
      </c>
      <c r="HB40" vm="7953">
        <f ca="1"/>
        <v>151.02000000000001</v>
      </c>
      <c r="HC40" vm="8176">
        <f ca="1"/>
        <v>148.99</v>
      </c>
      <c r="HD40" vm="2642">
        <f ca="1"/>
        <v>152.35</v>
      </c>
      <c r="HE40" vm="8177">
        <f ca="1"/>
        <v>154.9</v>
      </c>
      <c r="HF40" vm="8178">
        <f ca="1"/>
        <v>155.31</v>
      </c>
      <c r="HG40" vm="8172">
        <f ca="1"/>
        <v>155</v>
      </c>
      <c r="HH40" vm="8179">
        <f ca="1"/>
        <v>159.82</v>
      </c>
      <c r="HI40" vm="4243">
        <f ca="1"/>
        <v>159.88</v>
      </c>
      <c r="HJ40" vm="8180">
        <f ca="1"/>
        <v>157.06</v>
      </c>
      <c r="HK40" vm="1280">
        <f ca="1"/>
        <v>155.19999999999999</v>
      </c>
      <c r="HL40" vm="4299">
        <f ca="1"/>
        <v>155.01</v>
      </c>
      <c r="HM40" vm="8181">
        <f ca="1"/>
        <v>150.69</v>
      </c>
      <c r="HN40" vm="2715">
        <f ca="1"/>
        <v>152.97999999999999</v>
      </c>
      <c r="HO40" vm="8182">
        <f ca="1"/>
        <v>154.29</v>
      </c>
      <c r="HP40" vm="4304">
        <f ca="1"/>
        <v>149.31</v>
      </c>
      <c r="HQ40" vm="8163">
        <f ca="1"/>
        <v>154.59</v>
      </c>
      <c r="HR40" vm="2724">
        <f ca="1"/>
        <v>155.07</v>
      </c>
      <c r="HS40" vm="8183">
        <f ca="1"/>
        <v>151</v>
      </c>
      <c r="HT40" vm="8184">
        <f ca="1"/>
        <v>147.16</v>
      </c>
      <c r="HU40" vm="8185">
        <f ca="1"/>
        <v>150.97999999999999</v>
      </c>
      <c r="HV40" vm="8186">
        <f ca="1"/>
        <v>151.68</v>
      </c>
      <c r="HW40" vm="8187">
        <f ca="1"/>
        <v>148.96</v>
      </c>
      <c r="HX40" vm="8188">
        <f ca="1"/>
        <v>145.16999999999999</v>
      </c>
      <c r="HY40" vm="8189">
        <f ca="1"/>
        <v>139.97</v>
      </c>
      <c r="HZ40" vm="7864">
        <f ca="1"/>
        <v>138.13999999999999</v>
      </c>
      <c r="IA40" vm="8190">
        <f ca="1"/>
        <v>140.19</v>
      </c>
      <c r="IB40" vm="8191">
        <f ca="1"/>
        <v>143.87</v>
      </c>
      <c r="IC40" vm="8192">
        <f ca="1"/>
        <v>145.6</v>
      </c>
      <c r="ID40" vm="8193">
        <f ca="1"/>
        <v>146.08000000000001</v>
      </c>
      <c r="IE40" vm="558">
        <f ca="1"/>
        <v>143.41</v>
      </c>
      <c r="IF40" vm="8194">
        <f ca="1"/>
        <v>149.29</v>
      </c>
      <c r="IG40" vm="8195">
        <f ca="1"/>
        <v>153.1</v>
      </c>
      <c r="IH40" vm="8196">
        <f ca="1"/>
        <v>150.76</v>
      </c>
      <c r="II40" vm="8197">
        <f ca="1"/>
        <v>152.4</v>
      </c>
      <c r="IJ40" vm="2647">
        <f ca="1"/>
        <v>155.44</v>
      </c>
      <c r="IK40" vm="8198">
        <f ca="1"/>
        <v>156.54</v>
      </c>
      <c r="IL40" vm="8172">
        <f ca="1"/>
        <v>155</v>
      </c>
      <c r="IM40" vm="8199">
        <f ca="1"/>
        <v>158.28</v>
      </c>
      <c r="IN40" vm="8200">
        <f ca="1"/>
        <v>156.66999999999999</v>
      </c>
      <c r="IO40" vm="8201">
        <f ca="1"/>
        <v>153.93</v>
      </c>
      <c r="IP40" vm="8202">
        <f ca="1"/>
        <v>157.04</v>
      </c>
      <c r="IQ40" vm="4275">
        <f ca="1"/>
        <v>164.1</v>
      </c>
    </row>
    <row r="41" spans="1:251">
      <c r="A41" cm="1" vm="8203">
        <f t="array" aca="1" ref="A41:IQ41" ca="1">TRANSPOSE(_xlfn.STOCKHISTORY(Table3[[#This Row],[Stock Name ]],TODAY()-365,TODAY(),0,0,1))</f>
        <v>59.42</v>
      </c>
      <c r="B41" vm="8204">
        <f ca="1"/>
        <v>59.93</v>
      </c>
      <c r="C41" vm="8205">
        <f ca="1"/>
        <v>59.04</v>
      </c>
      <c r="D41" vm="8206">
        <f ca="1"/>
        <v>58.6</v>
      </c>
      <c r="E41" vm="8207">
        <f ca="1"/>
        <v>59.02</v>
      </c>
      <c r="F41" vm="8208">
        <f ca="1"/>
        <v>58.83</v>
      </c>
      <c r="G41" vm="3071">
        <f ca="1"/>
        <v>57.61</v>
      </c>
      <c r="H41" vm="8209">
        <f ca="1"/>
        <v>57.99</v>
      </c>
      <c r="I41" vm="3091">
        <f ca="1"/>
        <v>58.32</v>
      </c>
      <c r="J41" vm="3088">
        <f ca="1"/>
        <v>58.56</v>
      </c>
      <c r="K41" vm="2995">
        <f ca="1"/>
        <v>58.71</v>
      </c>
      <c r="L41" vm="8210">
        <f ca="1"/>
        <v>58.75</v>
      </c>
      <c r="M41" vm="8211">
        <f ca="1"/>
        <v>58.93</v>
      </c>
      <c r="N41" vm="8212">
        <f ca="1"/>
        <v>59.82</v>
      </c>
      <c r="O41" vm="8213">
        <f ca="1"/>
        <v>59.96</v>
      </c>
      <c r="P41" vm="6925">
        <f ca="1"/>
        <v>59.76</v>
      </c>
      <c r="Q41" vm="8214">
        <f ca="1"/>
        <v>59.67</v>
      </c>
      <c r="R41" vm="8215">
        <f ca="1"/>
        <v>60.11</v>
      </c>
      <c r="S41" vm="6930">
        <f ca="1"/>
        <v>60</v>
      </c>
      <c r="T41" vm="8216">
        <f ca="1"/>
        <v>60.2</v>
      </c>
      <c r="U41" vm="8217">
        <f ca="1"/>
        <v>59.81</v>
      </c>
      <c r="V41" vm="8218">
        <f ca="1"/>
        <v>60.39</v>
      </c>
      <c r="W41" vm="3131">
        <f ca="1"/>
        <v>59.99</v>
      </c>
      <c r="X41" vm="3131">
        <f ca="1"/>
        <v>59.99</v>
      </c>
      <c r="Y41" vm="6866">
        <f ca="1"/>
        <v>60.16</v>
      </c>
      <c r="Z41" vm="8219">
        <f ca="1"/>
        <v>59.83</v>
      </c>
      <c r="AA41" vm="8220">
        <f ca="1"/>
        <v>59.57</v>
      </c>
      <c r="AB41" vm="8221">
        <f ca="1"/>
        <v>59.85</v>
      </c>
      <c r="AC41" vm="6859">
        <f ca="1"/>
        <v>58.91</v>
      </c>
      <c r="AD41" vm="6865">
        <f ca="1"/>
        <v>59.16</v>
      </c>
      <c r="AE41" vm="8222">
        <f ca="1"/>
        <v>59.37</v>
      </c>
      <c r="AF41" vm="8223">
        <f ca="1"/>
        <v>59.73</v>
      </c>
      <c r="AG41" vm="2530">
        <f ca="1"/>
        <v>59.9</v>
      </c>
      <c r="AH41" vm="6919">
        <f ca="1"/>
        <v>59.49</v>
      </c>
      <c r="AI41" vm="8224">
        <f ca="1"/>
        <v>60.98</v>
      </c>
      <c r="AJ41" vm="6869">
        <f ca="1"/>
        <v>60.54</v>
      </c>
      <c r="AK41" vm="8225">
        <f ca="1"/>
        <v>60.04</v>
      </c>
      <c r="AL41" vm="8226">
        <f ca="1"/>
        <v>59.94</v>
      </c>
      <c r="AM41" vm="3131">
        <f ca="1"/>
        <v>59.99</v>
      </c>
      <c r="AN41" vm="8219">
        <f ca="1"/>
        <v>59.83</v>
      </c>
      <c r="AO41" vm="8227">
        <f ca="1"/>
        <v>59.56</v>
      </c>
      <c r="AP41" vm="6862">
        <f ca="1"/>
        <v>59.7</v>
      </c>
      <c r="AQ41" vm="8228">
        <f ca="1"/>
        <v>59.35</v>
      </c>
      <c r="AR41" vm="3006">
        <f ca="1"/>
        <v>59.29</v>
      </c>
      <c r="AS41" vm="8229">
        <f ca="1"/>
        <v>59.4</v>
      </c>
      <c r="AT41" vm="8230">
        <f ca="1"/>
        <v>59.39</v>
      </c>
      <c r="AU41" vm="8231">
        <f ca="1"/>
        <v>60.7</v>
      </c>
      <c r="AV41" vm="2548">
        <f ca="1"/>
        <v>61.24</v>
      </c>
      <c r="AW41" vm="8232">
        <f ca="1"/>
        <v>61.15</v>
      </c>
      <c r="AX41" vm="8233">
        <f ca="1"/>
        <v>61.2</v>
      </c>
      <c r="AY41" vm="3086">
        <f ca="1"/>
        <v>60.71</v>
      </c>
      <c r="AZ41" vm="6868">
        <f ca="1"/>
        <v>60.34</v>
      </c>
      <c r="BA41" vm="8234">
        <f ca="1"/>
        <v>60.4</v>
      </c>
      <c r="BB41" vm="3011">
        <f ca="1"/>
        <v>60.02</v>
      </c>
      <c r="BC41" vm="8235">
        <f ca="1"/>
        <v>59.53</v>
      </c>
      <c r="BD41" vm="8217">
        <f ca="1"/>
        <v>59.81</v>
      </c>
      <c r="BE41" vm="8236">
        <f ca="1"/>
        <v>59.52</v>
      </c>
      <c r="BF41" vm="8237">
        <f ca="1"/>
        <v>59.55</v>
      </c>
      <c r="BG41" vm="8238">
        <f ca="1"/>
        <v>59.44</v>
      </c>
      <c r="BH41" vm="8236">
        <f ca="1"/>
        <v>59.52</v>
      </c>
      <c r="BI41" vm="8239">
        <f ca="1"/>
        <v>60.24</v>
      </c>
      <c r="BJ41" vm="8240">
        <f ca="1"/>
        <v>60.5</v>
      </c>
      <c r="BK41" vm="8241">
        <f ca="1"/>
        <v>61.12</v>
      </c>
      <c r="BL41" vm="8240">
        <f ca="1"/>
        <v>60.5</v>
      </c>
      <c r="BM41" vm="8242">
        <f ca="1"/>
        <v>59.88</v>
      </c>
      <c r="BN41" vm="3073">
        <f ca="1"/>
        <v>60.13</v>
      </c>
      <c r="BO41" vm="3126">
        <f ca="1"/>
        <v>60.23</v>
      </c>
      <c r="BP41" vm="8243">
        <f ca="1"/>
        <v>60.75</v>
      </c>
      <c r="BQ41" vm="6929">
        <f ca="1"/>
        <v>60.47</v>
      </c>
      <c r="BR41" vm="8244">
        <f ca="1"/>
        <v>60.49</v>
      </c>
      <c r="BS41" vm="8234">
        <f ca="1"/>
        <v>60.4</v>
      </c>
      <c r="BT41" vm="6869">
        <f ca="1"/>
        <v>60.54</v>
      </c>
      <c r="BU41" vm="3120">
        <f ca="1"/>
        <v>61.03</v>
      </c>
      <c r="BV41" vm="8245">
        <f ca="1"/>
        <v>61.18</v>
      </c>
      <c r="BW41" vm="8246">
        <f ca="1"/>
        <v>60.68</v>
      </c>
      <c r="BX41" vm="8247">
        <f ca="1"/>
        <v>60.15</v>
      </c>
      <c r="BY41" vm="8219">
        <f ca="1"/>
        <v>59.83</v>
      </c>
      <c r="BZ41" vm="8248">
        <f ca="1"/>
        <v>59.3</v>
      </c>
      <c r="CA41" vm="8249">
        <f ca="1"/>
        <v>59.51</v>
      </c>
      <c r="CB41" vm="8250">
        <f ca="1"/>
        <v>59.27</v>
      </c>
      <c r="CC41" vm="8251">
        <f ca="1"/>
        <v>59.72</v>
      </c>
      <c r="CD41" vm="8252">
        <f ca="1"/>
        <v>58.92</v>
      </c>
      <c r="CE41" vm="8253">
        <f ca="1"/>
        <v>59.05</v>
      </c>
      <c r="CF41" vm="8254">
        <f ca="1"/>
        <v>58.28</v>
      </c>
      <c r="CG41" vm="8255">
        <f ca="1"/>
        <v>58.14</v>
      </c>
      <c r="CH41" vm="2993">
        <f ca="1"/>
        <v>58.06</v>
      </c>
      <c r="CI41" vm="8256">
        <f ca="1"/>
        <v>58.51</v>
      </c>
      <c r="CJ41" vm="6859">
        <f ca="1"/>
        <v>58.91</v>
      </c>
      <c r="CK41" vm="8257">
        <f ca="1"/>
        <v>60.17</v>
      </c>
      <c r="CL41" vm="8258">
        <f ca="1"/>
        <v>60.55</v>
      </c>
      <c r="CM41" vm="8259">
        <f ca="1"/>
        <v>60.64</v>
      </c>
      <c r="CN41" vm="3134">
        <f ca="1"/>
        <v>61.55</v>
      </c>
      <c r="CO41" vm="6839">
        <f ca="1"/>
        <v>61.74</v>
      </c>
      <c r="CP41" vm="6839">
        <f ca="1"/>
        <v>61.74</v>
      </c>
      <c r="CQ41" vm="8260">
        <f ca="1"/>
        <v>62.04</v>
      </c>
      <c r="CR41" vm="3121">
        <f ca="1"/>
        <v>61.77</v>
      </c>
      <c r="CS41" vm="3117">
        <f ca="1"/>
        <v>61.93</v>
      </c>
      <c r="CT41" vm="8261">
        <f ca="1"/>
        <v>61.99</v>
      </c>
      <c r="CU41" vm="6909">
        <f ca="1"/>
        <v>62.17</v>
      </c>
      <c r="CV41" vm="3193">
        <f ca="1"/>
        <v>62.35</v>
      </c>
      <c r="CW41" vm="8262">
        <f ca="1"/>
        <v>62.62</v>
      </c>
      <c r="CX41" vm="3185">
        <f ca="1"/>
        <v>62.85</v>
      </c>
      <c r="CY41" vm="8263">
        <f ca="1"/>
        <v>62.88</v>
      </c>
      <c r="CZ41" vm="6891">
        <f ca="1"/>
        <v>63.26</v>
      </c>
      <c r="DA41" vm="3114">
        <f ca="1"/>
        <v>63.58</v>
      </c>
      <c r="DB41" vm="3188">
        <f ca="1"/>
        <v>63.1</v>
      </c>
      <c r="DC41" vm="8264">
        <f ca="1"/>
        <v>63.13</v>
      </c>
      <c r="DD41" vm="3103">
        <f ca="1"/>
        <v>63.32</v>
      </c>
      <c r="DE41" vm="8265">
        <f ca="1"/>
        <v>63.03</v>
      </c>
      <c r="DF41" vm="2405">
        <f ca="1"/>
        <v>62.57</v>
      </c>
      <c r="DG41" vm="8266">
        <f ca="1"/>
        <v>62.91</v>
      </c>
      <c r="DH41" vm="3189">
        <f ca="1"/>
        <v>63</v>
      </c>
      <c r="DI41" vm="6850">
        <f ca="1"/>
        <v>62.09</v>
      </c>
      <c r="DJ41" vm="3102">
        <f ca="1"/>
        <v>62</v>
      </c>
      <c r="DK41" vm="8267">
        <f ca="1"/>
        <v>61.82</v>
      </c>
      <c r="DL41" vm="8268">
        <f ca="1"/>
        <v>61.7</v>
      </c>
      <c r="DM41" vm="8269">
        <f ca="1"/>
        <v>61.97</v>
      </c>
      <c r="DN41" vm="6904">
        <f ca="1"/>
        <v>62.93</v>
      </c>
      <c r="DO41" vm="6904">
        <f ca="1"/>
        <v>62.93</v>
      </c>
      <c r="DP41" vm="8270">
        <f ca="1"/>
        <v>63.94</v>
      </c>
      <c r="DQ41" vm="8271">
        <f ca="1"/>
        <v>63.92</v>
      </c>
      <c r="DR41" vm="8272">
        <f ca="1"/>
        <v>64.150000000000006</v>
      </c>
      <c r="DS41" vm="8273">
        <f ca="1"/>
        <v>63.91</v>
      </c>
      <c r="DT41" vm="3106">
        <f ca="1"/>
        <v>63.59</v>
      </c>
      <c r="DU41" vm="8274">
        <f ca="1"/>
        <v>63.55</v>
      </c>
      <c r="DV41" vm="8263">
        <f ca="1"/>
        <v>62.88</v>
      </c>
      <c r="DW41" vm="6911">
        <f ca="1"/>
        <v>62.99</v>
      </c>
      <c r="DX41" vm="8275">
        <f ca="1"/>
        <v>62.55</v>
      </c>
      <c r="DY41" vm="8262">
        <f ca="1"/>
        <v>62.62</v>
      </c>
      <c r="DZ41" vm="8276">
        <f ca="1"/>
        <v>62.63</v>
      </c>
      <c r="EA41" vm="8277">
        <f ca="1"/>
        <v>62.18</v>
      </c>
      <c r="EB41" vm="8278">
        <f ca="1"/>
        <v>62.77</v>
      </c>
      <c r="EC41" vm="3184">
        <f ca="1"/>
        <v>63.97</v>
      </c>
      <c r="ED41" vm="2510">
        <f ca="1"/>
        <v>63.84</v>
      </c>
      <c r="EE41" vm="8279">
        <f ca="1"/>
        <v>64.05</v>
      </c>
      <c r="EF41" vm="8273">
        <f ca="1"/>
        <v>63.91</v>
      </c>
      <c r="EG41" vm="8280">
        <f ca="1"/>
        <v>63.65</v>
      </c>
      <c r="EH41" vm="3150">
        <f ca="1"/>
        <v>63.28</v>
      </c>
      <c r="EI41" vm="8281">
        <f ca="1"/>
        <v>63.15</v>
      </c>
      <c r="EJ41" vm="6912">
        <f ca="1"/>
        <v>63.33</v>
      </c>
      <c r="EK41" vm="6854">
        <f ca="1"/>
        <v>63.76</v>
      </c>
      <c r="EL41" vm="8282">
        <f ca="1"/>
        <v>62.96</v>
      </c>
      <c r="EM41" vm="8283">
        <f ca="1"/>
        <v>62.69</v>
      </c>
      <c r="EN41" vm="8284">
        <f ca="1"/>
        <v>62.83</v>
      </c>
      <c r="EO41" vm="3188">
        <f ca="1"/>
        <v>63.1</v>
      </c>
      <c r="EP41" vm="8285">
        <f ca="1"/>
        <v>63.7</v>
      </c>
      <c r="EQ41" vm="8286">
        <f ca="1"/>
        <v>63.41</v>
      </c>
      <c r="ER41" vm="8287">
        <f ca="1"/>
        <v>64.27</v>
      </c>
      <c r="ES41" vm="8288">
        <f ca="1"/>
        <v>65.209999999999994</v>
      </c>
      <c r="ET41" vm="8289">
        <f ca="1"/>
        <v>65.19</v>
      </c>
      <c r="EU41" vm="8290">
        <f ca="1"/>
        <v>65.290000000000006</v>
      </c>
      <c r="EV41" vm="6879">
        <f ca="1"/>
        <v>64.77</v>
      </c>
      <c r="EW41" vm="8291">
        <f ca="1"/>
        <v>64.959999999999994</v>
      </c>
      <c r="EX41" vm="8292">
        <f ca="1"/>
        <v>65.81</v>
      </c>
      <c r="EY41" vm="8293">
        <f ca="1"/>
        <v>66.069999999999993</v>
      </c>
      <c r="EZ41" vm="8294">
        <f ca="1"/>
        <v>67.05</v>
      </c>
      <c r="FA41" vm="8295">
        <f ca="1"/>
        <v>66.83</v>
      </c>
      <c r="FB41" vm="8296">
        <f ca="1"/>
        <v>67.680000000000007</v>
      </c>
      <c r="FC41" vm="2555">
        <f ca="1"/>
        <v>66.739999999999995</v>
      </c>
      <c r="FD41" vm="2423">
        <f ca="1"/>
        <v>67.959999999999994</v>
      </c>
      <c r="FE41" vm="8297">
        <f ca="1"/>
        <v>69.33</v>
      </c>
      <c r="FF41" vm="2521">
        <f ca="1"/>
        <v>68.099999999999994</v>
      </c>
      <c r="FG41" vm="8298">
        <f ca="1"/>
        <v>68.05</v>
      </c>
      <c r="FH41" vm="8299">
        <f ca="1"/>
        <v>68.459999999999994</v>
      </c>
      <c r="FI41" vm="8300">
        <f ca="1"/>
        <v>68.73</v>
      </c>
      <c r="FJ41" vm="8301">
        <f ca="1"/>
        <v>68.680000000000007</v>
      </c>
      <c r="FK41" vm="8302">
        <f ca="1"/>
        <v>68.17</v>
      </c>
      <c r="FL41" vm="8299">
        <f ca="1"/>
        <v>68.459999999999994</v>
      </c>
      <c r="FM41" vm="8303">
        <f ca="1"/>
        <v>68.58</v>
      </c>
      <c r="FN41" vm="8304">
        <f ca="1"/>
        <v>68.650000000000006</v>
      </c>
      <c r="FO41" vm="8305">
        <f ca="1"/>
        <v>69.180000000000007</v>
      </c>
      <c r="FP41" vm="2408">
        <f ca="1"/>
        <v>68.98</v>
      </c>
      <c r="FQ41" vm="8306">
        <f ca="1"/>
        <v>69.38</v>
      </c>
      <c r="FR41" vm="2377">
        <f ca="1"/>
        <v>69.569999999999993</v>
      </c>
      <c r="FS41" vm="8297">
        <f ca="1"/>
        <v>69.33</v>
      </c>
      <c r="FT41" vm="8307">
        <f ca="1"/>
        <v>69.790000000000006</v>
      </c>
      <c r="FU41" vm="8308">
        <f ca="1"/>
        <v>70.84</v>
      </c>
      <c r="FV41" vm="3210">
        <f ca="1"/>
        <v>71.5</v>
      </c>
      <c r="FW41" vm="2480">
        <f ca="1"/>
        <v>71.75</v>
      </c>
      <c r="FX41" vm="8309">
        <f ca="1"/>
        <v>72.05</v>
      </c>
      <c r="FY41" vm="8310">
        <f ca="1"/>
        <v>72.47</v>
      </c>
      <c r="FZ41" vm="8311">
        <f ca="1"/>
        <v>73.010000000000005</v>
      </c>
      <c r="GA41" vm="6333">
        <f ca="1"/>
        <v>72.56</v>
      </c>
      <c r="GB41" vm="8312">
        <f ca="1"/>
        <v>71.17</v>
      </c>
      <c r="GC41" vm="2474">
        <f ca="1"/>
        <v>71.14</v>
      </c>
      <c r="GD41" vm="2519">
        <f ca="1"/>
        <v>71.849999999999994</v>
      </c>
      <c r="GE41" vm="8313">
        <f ca="1"/>
        <v>71.55</v>
      </c>
      <c r="GF41" vm="8314">
        <f ca="1"/>
        <v>71.08</v>
      </c>
      <c r="GG41" vm="8315">
        <f ca="1"/>
        <v>71.23</v>
      </c>
      <c r="GH41" vm="6332">
        <f ca="1"/>
        <v>71.41</v>
      </c>
      <c r="GI41" vm="8316">
        <f ca="1"/>
        <v>72.099999999999994</v>
      </c>
      <c r="GJ41" vm="8317">
        <f ca="1"/>
        <v>71.8</v>
      </c>
      <c r="GK41" vm="2480">
        <f ca="1"/>
        <v>71.75</v>
      </c>
      <c r="GL41" vm="8318">
        <f ca="1"/>
        <v>70.62</v>
      </c>
      <c r="GM41" vm="8319">
        <f ca="1"/>
        <v>71.64</v>
      </c>
      <c r="GN41" vm="8320">
        <f ca="1"/>
        <v>71.73</v>
      </c>
      <c r="GO41" vm="8321">
        <f ca="1"/>
        <v>71.33</v>
      </c>
      <c r="GP41" vm="8322">
        <f ca="1"/>
        <v>71.45</v>
      </c>
      <c r="GQ41" vm="8323">
        <f ca="1"/>
        <v>71.400000000000006</v>
      </c>
      <c r="GR41" vm="2572">
        <f ca="1"/>
        <v>71.790000000000006</v>
      </c>
      <c r="GS41" vm="3212">
        <f ca="1"/>
        <v>71.86</v>
      </c>
      <c r="GT41" vm="8324">
        <f ca="1"/>
        <v>71.709999999999994</v>
      </c>
      <c r="GU41" vm="8325">
        <f ca="1"/>
        <v>71.010000000000005</v>
      </c>
      <c r="GV41" vm="8326">
        <f ca="1"/>
        <v>70.52</v>
      </c>
      <c r="GW41" vm="8327">
        <f ca="1"/>
        <v>70.17</v>
      </c>
      <c r="GX41" vm="8328">
        <f ca="1"/>
        <v>69.010000000000005</v>
      </c>
      <c r="GY41" vm="8305">
        <f ca="1"/>
        <v>69.180000000000007</v>
      </c>
      <c r="GZ41" vm="2377">
        <f ca="1"/>
        <v>69.569999999999993</v>
      </c>
      <c r="HA41" vm="8329">
        <f ca="1"/>
        <v>69.25</v>
      </c>
      <c r="HB41" vm="2377">
        <f ca="1"/>
        <v>69.569999999999993</v>
      </c>
      <c r="HC41" vm="8330">
        <f ca="1"/>
        <v>70.34</v>
      </c>
      <c r="HD41" vm="8330">
        <f ca="1"/>
        <v>70.34</v>
      </c>
      <c r="HE41" vm="8331">
        <f ca="1"/>
        <v>70.569999999999993</v>
      </c>
      <c r="HF41" vm="8332">
        <f ca="1"/>
        <v>69.900000000000006</v>
      </c>
      <c r="HG41" vm="8333">
        <f ca="1"/>
        <v>70.44</v>
      </c>
      <c r="HH41" vm="8334">
        <f ca="1"/>
        <v>69.45</v>
      </c>
      <c r="HI41" vm="8334">
        <f ca="1"/>
        <v>69.45</v>
      </c>
      <c r="HJ41" vm="8335">
        <f ca="1"/>
        <v>68.010000000000005</v>
      </c>
      <c r="HK41" vm="6913">
        <f ca="1"/>
        <v>67.3</v>
      </c>
      <c r="HL41" vm="8336">
        <f ca="1"/>
        <v>66.92</v>
      </c>
      <c r="HM41" vm="2411">
        <f ca="1"/>
        <v>66.67</v>
      </c>
      <c r="HN41" vm="2488">
        <f ca="1"/>
        <v>65.56</v>
      </c>
      <c r="HO41" vm="6901">
        <f ca="1"/>
        <v>65.92</v>
      </c>
      <c r="HP41" vm="6938">
        <f ca="1"/>
        <v>65.31</v>
      </c>
      <c r="HQ41" vm="2410">
        <f ca="1"/>
        <v>65.010000000000005</v>
      </c>
      <c r="HR41" vm="6943">
        <f ca="1"/>
        <v>65.11</v>
      </c>
      <c r="HS41" vm="8337">
        <f ca="1"/>
        <v>65.37</v>
      </c>
      <c r="HT41" vm="8285">
        <f ca="1"/>
        <v>63.7</v>
      </c>
      <c r="HU41" vm="3147">
        <f ca="1"/>
        <v>63.66</v>
      </c>
      <c r="HV41" vm="8271">
        <f ca="1"/>
        <v>63.92</v>
      </c>
      <c r="HW41" vm="8338">
        <f ca="1"/>
        <v>63.36</v>
      </c>
      <c r="HX41" vm="8339">
        <f ca="1"/>
        <v>63.2</v>
      </c>
      <c r="HY41" vm="3189">
        <f ca="1"/>
        <v>63</v>
      </c>
      <c r="HZ41" vm="8275">
        <f ca="1"/>
        <v>62.55</v>
      </c>
      <c r="IA41" vm="6839">
        <f ca="1"/>
        <v>61.74</v>
      </c>
      <c r="IB41" vm="8340">
        <f ca="1"/>
        <v>61.86</v>
      </c>
      <c r="IC41" vm="8341">
        <f ca="1"/>
        <v>62.59</v>
      </c>
      <c r="ID41" vm="6911">
        <f ca="1"/>
        <v>62.99</v>
      </c>
      <c r="IE41" vm="6854">
        <f ca="1"/>
        <v>63.76</v>
      </c>
      <c r="IF41" vm="8271">
        <f ca="1"/>
        <v>63.92</v>
      </c>
      <c r="IG41" vm="8342">
        <f ca="1"/>
        <v>64.38</v>
      </c>
      <c r="IH41" vm="8343">
        <f ca="1"/>
        <v>64.55</v>
      </c>
      <c r="II41" vm="6894">
        <f ca="1"/>
        <v>64.430000000000007</v>
      </c>
      <c r="IJ41" vm="2490">
        <f ca="1"/>
        <v>64.08</v>
      </c>
      <c r="IK41" vm="8280">
        <f ca="1"/>
        <v>63.65</v>
      </c>
      <c r="IL41" vm="8344">
        <f ca="1"/>
        <v>63.52</v>
      </c>
      <c r="IM41" vm="8345">
        <f ca="1"/>
        <v>62.21</v>
      </c>
      <c r="IN41" vm="8346">
        <f ca="1"/>
        <v>62.92</v>
      </c>
      <c r="IO41" vm="8347">
        <f ca="1"/>
        <v>62.53</v>
      </c>
      <c r="IP41" vm="3178">
        <f ca="1"/>
        <v>62.6</v>
      </c>
      <c r="IQ41" vm="8266">
        <f ca="1"/>
        <v>62.91</v>
      </c>
    </row>
    <row r="42" spans="1:251">
      <c r="A42" cm="1" vm="8348">
        <f t="array" aca="1" ref="A42:IQ42" ca="1">TRANSPOSE(_xlfn.STOCKHISTORY(Table3[[#This Row],[Stock Name ]],TODAY()-365,TODAY(),0,0,1))</f>
        <v>352.61</v>
      </c>
      <c r="B42" vm="8349">
        <f ca="1"/>
        <v>362.73</v>
      </c>
      <c r="C42" vm="8350">
        <f ca="1"/>
        <v>383.47</v>
      </c>
      <c r="D42" vm="8351">
        <f ca="1"/>
        <v>380.51</v>
      </c>
      <c r="E42" vm="8352">
        <f ca="1"/>
        <v>376.4</v>
      </c>
      <c r="F42" vm="8353">
        <f ca="1"/>
        <v>382.45</v>
      </c>
      <c r="G42" vm="8354">
        <f ca="1"/>
        <v>377.52</v>
      </c>
      <c r="H42" vm="8355">
        <f ca="1"/>
        <v>380.57</v>
      </c>
      <c r="I42" vm="8356">
        <f ca="1"/>
        <v>380.65</v>
      </c>
      <c r="J42" vm="8357">
        <f ca="1"/>
        <v>381.61</v>
      </c>
      <c r="K42" vm="8358">
        <f ca="1"/>
        <v>384.48</v>
      </c>
      <c r="L42" vm="8359">
        <f ca="1"/>
        <v>386.41</v>
      </c>
      <c r="M42" vm="8360">
        <f ca="1"/>
        <v>385.77</v>
      </c>
      <c r="N42" vm="8361">
        <f ca="1"/>
        <v>388.3</v>
      </c>
      <c r="O42" vm="8362">
        <f ca="1"/>
        <v>381.79</v>
      </c>
      <c r="P42" vm="8363">
        <f ca="1"/>
        <v>382.95</v>
      </c>
      <c r="Q42" vm="2164">
        <f ca="1"/>
        <v>386.44</v>
      </c>
      <c r="R42" vm="8364">
        <f ca="1"/>
        <v>388.86</v>
      </c>
      <c r="S42" vm="2163">
        <f ca="1"/>
        <v>383.74</v>
      </c>
      <c r="T42" vm="8365">
        <f ca="1"/>
        <v>381.96</v>
      </c>
      <c r="U42" vm="8366">
        <f ca="1"/>
        <v>379.75</v>
      </c>
      <c r="V42" vm="8367">
        <f ca="1"/>
        <v>377.75</v>
      </c>
      <c r="W42" vm="8368">
        <f ca="1"/>
        <v>380.45</v>
      </c>
      <c r="X42" vm="8369">
        <f ca="1"/>
        <v>377.18</v>
      </c>
      <c r="Y42" vm="8370">
        <f ca="1"/>
        <v>376.91</v>
      </c>
      <c r="Z42" vm="8371">
        <f ca="1"/>
        <v>382.2</v>
      </c>
      <c r="AA42" vm="8372">
        <f ca="1"/>
        <v>385.96</v>
      </c>
      <c r="AB42" vm="8373">
        <f ca="1"/>
        <v>380.77</v>
      </c>
      <c r="AC42" vm="8374">
        <f ca="1"/>
        <v>379.4</v>
      </c>
      <c r="AD42" vm="8375">
        <f ca="1"/>
        <v>382.7</v>
      </c>
      <c r="AE42" vm="8376">
        <f ca="1"/>
        <v>377.79</v>
      </c>
      <c r="AF42" vm="8377">
        <f ca="1"/>
        <v>380.56</v>
      </c>
      <c r="AG42" vm="8378">
        <f ca="1"/>
        <v>386.87</v>
      </c>
      <c r="AH42" vm="8379">
        <f ca="1"/>
        <v>384.01</v>
      </c>
      <c r="AI42" vm="8380">
        <f ca="1"/>
        <v>383.85</v>
      </c>
      <c r="AJ42" vm="8381">
        <f ca="1"/>
        <v>387.86</v>
      </c>
      <c r="AK42" vm="8382">
        <f ca="1"/>
        <v>383.02</v>
      </c>
      <c r="AL42" vm="8383">
        <f ca="1"/>
        <v>384.99</v>
      </c>
      <c r="AM42" vm="8384">
        <f ca="1"/>
        <v>386.66</v>
      </c>
      <c r="AN42" vm="8385">
        <f ca="1"/>
        <v>385.04</v>
      </c>
      <c r="AO42" vm="8386">
        <f ca="1"/>
        <v>384.26</v>
      </c>
      <c r="AP42" vm="8387">
        <f ca="1"/>
        <v>392.64</v>
      </c>
      <c r="AQ42" vm="8388">
        <f ca="1"/>
        <v>378.75</v>
      </c>
      <c r="AR42" vm="8389">
        <f ca="1"/>
        <v>378.04</v>
      </c>
      <c r="AS42" vm="8390">
        <f ca="1"/>
        <v>385.42</v>
      </c>
      <c r="AT42" vm="8391">
        <f ca="1"/>
        <v>384.44</v>
      </c>
      <c r="AU42" vm="8392">
        <f ca="1"/>
        <v>384.52</v>
      </c>
      <c r="AV42" vm="8393">
        <f ca="1"/>
        <v>388.27</v>
      </c>
      <c r="AW42" vm="8394">
        <f ca="1"/>
        <v>390.47</v>
      </c>
      <c r="AX42" vm="8395">
        <f ca="1"/>
        <v>391.05</v>
      </c>
      <c r="AY42" vm="8396">
        <f ca="1"/>
        <v>390.22</v>
      </c>
      <c r="AZ42" vm="8397">
        <f ca="1"/>
        <v>390.81</v>
      </c>
      <c r="BA42" vm="5270">
        <f ca="1"/>
        <v>393.18</v>
      </c>
      <c r="BB42" vm="8398">
        <f ca="1"/>
        <v>389.05</v>
      </c>
      <c r="BC42" vm="8399">
        <f ca="1"/>
        <v>388.1</v>
      </c>
      <c r="BD42" vm="8400">
        <f ca="1"/>
        <v>392.25</v>
      </c>
      <c r="BE42" vm="8401">
        <f ca="1"/>
        <v>390.91</v>
      </c>
      <c r="BF42" vm="8402">
        <f ca="1"/>
        <v>389.57</v>
      </c>
      <c r="BG42" vm="8403">
        <f ca="1"/>
        <v>388.43</v>
      </c>
      <c r="BH42" vm="8404">
        <f ca="1"/>
        <v>386.99</v>
      </c>
      <c r="BI42" vm="8405">
        <f ca="1"/>
        <v>386.16</v>
      </c>
      <c r="BJ42" vm="8406">
        <f ca="1"/>
        <v>388.18</v>
      </c>
      <c r="BK42" vm="8407">
        <f ca="1"/>
        <v>392.31</v>
      </c>
      <c r="BL42" vm="8408">
        <f ca="1"/>
        <v>388.61</v>
      </c>
      <c r="BM42" vm="8409">
        <f ca="1"/>
        <v>387.21</v>
      </c>
      <c r="BN42" vm="8410">
        <f ca="1"/>
        <v>384.37</v>
      </c>
      <c r="BO42" vm="8411">
        <f ca="1"/>
        <v>388.66</v>
      </c>
      <c r="BP42" vm="8412">
        <f ca="1"/>
        <v>396.47</v>
      </c>
      <c r="BQ42" vm="8413">
        <f ca="1"/>
        <v>413.71</v>
      </c>
      <c r="BR42" vm="8414">
        <f ca="1"/>
        <v>406.82</v>
      </c>
      <c r="BS42" vm="8415">
        <f ca="1"/>
        <v>404.94</v>
      </c>
      <c r="BT42" vm="8416">
        <f ca="1"/>
        <v>406.18</v>
      </c>
      <c r="BU42" vm="8417">
        <f ca="1"/>
        <v>415.25</v>
      </c>
      <c r="BV42" vm="8418">
        <f ca="1"/>
        <v>417.69</v>
      </c>
      <c r="BW42" vm="8419">
        <f ca="1"/>
        <v>413.51</v>
      </c>
      <c r="BX42" vm="8420">
        <f ca="1"/>
        <v>410.15</v>
      </c>
      <c r="BY42" vm="8421">
        <f ca="1"/>
        <v>414</v>
      </c>
      <c r="BZ42" vm="8422">
        <f ca="1"/>
        <v>406.25</v>
      </c>
      <c r="CA42" vm="8423">
        <f ca="1"/>
        <v>408.07</v>
      </c>
      <c r="CB42" vm="5580">
        <f ca="1"/>
        <v>410.54</v>
      </c>
      <c r="CC42" vm="8424">
        <f ca="1"/>
        <v>410.71</v>
      </c>
      <c r="CD42" vm="8425">
        <f ca="1"/>
        <v>400.76</v>
      </c>
      <c r="CE42" vm="8426">
        <f ca="1"/>
        <v>397.48</v>
      </c>
      <c r="CF42" vm="8427">
        <f ca="1"/>
        <v>389.49</v>
      </c>
      <c r="CG42" vm="8428">
        <f ca="1"/>
        <v>400.88</v>
      </c>
      <c r="CH42" vm="8429">
        <f ca="1"/>
        <v>396.86</v>
      </c>
      <c r="CI42" vm="8430">
        <f ca="1"/>
        <v>403.91</v>
      </c>
      <c r="CJ42" vm="8431">
        <f ca="1"/>
        <v>403.11</v>
      </c>
      <c r="CK42" vm="8432">
        <f ca="1"/>
        <v>404</v>
      </c>
      <c r="CL42" vm="8433">
        <f ca="1"/>
        <v>417.35</v>
      </c>
      <c r="CM42" vm="8434">
        <f ca="1"/>
        <v>424</v>
      </c>
      <c r="CN42" vm="5662">
        <f ca="1"/>
        <v>423.04</v>
      </c>
      <c r="CO42" vm="8435">
        <f ca="1"/>
        <v>420.05</v>
      </c>
      <c r="CP42" vm="8436">
        <f ca="1"/>
        <v>427.57</v>
      </c>
      <c r="CQ42" vm="5666">
        <f ca="1"/>
        <v>430.81</v>
      </c>
      <c r="CR42" vm="8437">
        <f ca="1"/>
        <v>426.71</v>
      </c>
      <c r="CS42" vm="8438">
        <f ca="1"/>
        <v>426.95</v>
      </c>
      <c r="CT42" vm="8439">
        <f ca="1"/>
        <v>432.57</v>
      </c>
      <c r="CU42" vm="4904">
        <f ca="1"/>
        <v>438.18</v>
      </c>
      <c r="CV42" vm="8440">
        <f ca="1"/>
        <v>443.67</v>
      </c>
      <c r="CW42" vm="8441">
        <f ca="1"/>
        <v>443.8</v>
      </c>
      <c r="CX42" vm="5613">
        <f ca="1"/>
        <v>446.95</v>
      </c>
      <c r="CY42" vm="8442">
        <f ca="1"/>
        <v>455.56</v>
      </c>
      <c r="CZ42" vm="8443">
        <f ca="1"/>
        <v>454.73</v>
      </c>
      <c r="DA42" vm="8444">
        <f ca="1"/>
        <v>453.56</v>
      </c>
      <c r="DB42" vm="8445">
        <f ca="1"/>
        <v>458.47</v>
      </c>
      <c r="DC42" vm="8446">
        <f ca="1"/>
        <v>466.09</v>
      </c>
      <c r="DD42" vm="8447">
        <f ca="1"/>
        <v>464.52</v>
      </c>
      <c r="DE42" vm="8448">
        <f ca="1"/>
        <v>467.72</v>
      </c>
      <c r="DF42" vm="8449">
        <f ca="1"/>
        <v>462.94</v>
      </c>
      <c r="DG42" vm="8450">
        <f ca="1"/>
        <v>470.41</v>
      </c>
      <c r="DH42" vm="8451">
        <f ca="1"/>
        <v>462.38</v>
      </c>
      <c r="DI42" vm="8452">
        <f ca="1"/>
        <v>458.15</v>
      </c>
      <c r="DJ42" vm="8453">
        <f ca="1"/>
        <v>461.18</v>
      </c>
      <c r="DK42" vm="8454">
        <f ca="1"/>
        <v>459.81</v>
      </c>
      <c r="DL42" vm="8455">
        <f ca="1"/>
        <v>457.17</v>
      </c>
      <c r="DM42" vm="8456">
        <f ca="1"/>
        <v>450.23</v>
      </c>
      <c r="DN42" vm="4860">
        <f ca="1"/>
        <v>456.52</v>
      </c>
      <c r="DO42" vm="2322">
        <f ca="1"/>
        <v>454.98</v>
      </c>
      <c r="DP42" vm="8457">
        <f ca="1"/>
        <v>455.3</v>
      </c>
      <c r="DQ42" vm="8458">
        <f ca="1"/>
        <v>461.68</v>
      </c>
      <c r="DR42" vm="8459">
        <f ca="1"/>
        <v>458.1</v>
      </c>
      <c r="DS42" vm="8460">
        <f ca="1"/>
        <v>454.91</v>
      </c>
      <c r="DT42" vm="5621">
        <f ca="1"/>
        <v>453.55</v>
      </c>
      <c r="DU42" vm="8461">
        <f ca="1"/>
        <v>444.27</v>
      </c>
      <c r="DV42" vm="8462">
        <f ca="1"/>
        <v>448.7</v>
      </c>
      <c r="DW42" vm="8463">
        <f ca="1"/>
        <v>446.35</v>
      </c>
      <c r="DX42" vm="8464">
        <f ca="1"/>
        <v>446.46</v>
      </c>
      <c r="DY42" vm="8465">
        <f ca="1"/>
        <v>450.18</v>
      </c>
      <c r="DZ42" vm="8466">
        <f ca="1"/>
        <v>457.43</v>
      </c>
      <c r="EA42" vm="8467">
        <f ca="1"/>
        <v>458.05</v>
      </c>
      <c r="EB42" vm="8465">
        <f ca="1"/>
        <v>450.18</v>
      </c>
      <c r="EC42" vm="8468">
        <f ca="1"/>
        <v>462.09</v>
      </c>
      <c r="ED42" vm="8469">
        <f ca="1"/>
        <v>457.38</v>
      </c>
      <c r="EE42" vm="8470">
        <f ca="1"/>
        <v>455.86</v>
      </c>
      <c r="EF42" vm="8471">
        <f ca="1"/>
        <v>445.96</v>
      </c>
      <c r="EG42" vm="8472">
        <f ca="1"/>
        <v>452.32</v>
      </c>
      <c r="EH42" vm="8473">
        <f ca="1"/>
        <v>463.66</v>
      </c>
      <c r="EI42" vm="8474">
        <f ca="1"/>
        <v>465.61</v>
      </c>
      <c r="EJ42" vm="8475">
        <f ca="1"/>
        <v>467.92</v>
      </c>
      <c r="EK42" vm="8476">
        <f ca="1"/>
        <v>464.75</v>
      </c>
      <c r="EL42" vm="8477">
        <f ca="1"/>
        <v>464.82</v>
      </c>
      <c r="EM42" vm="8478">
        <f ca="1"/>
        <v>472.83</v>
      </c>
      <c r="EN42" vm="4815">
        <f ca="1"/>
        <v>478.89</v>
      </c>
      <c r="EO42" vm="8479">
        <f ca="1"/>
        <v>479.23</v>
      </c>
      <c r="EP42" vm="8480">
        <f ca="1"/>
        <v>479.88</v>
      </c>
      <c r="EQ42" vm="5975">
        <f ca="1"/>
        <v>492.23</v>
      </c>
      <c r="ER42" vm="5306">
        <f ca="1"/>
        <v>503.02</v>
      </c>
      <c r="ES42" vm="8481">
        <f ca="1"/>
        <v>502.18</v>
      </c>
      <c r="ET42" vm="8482">
        <f ca="1"/>
        <v>486.21</v>
      </c>
      <c r="EU42" vm="8483">
        <f ca="1"/>
        <v>484.93</v>
      </c>
      <c r="EV42" vm="8484">
        <f ca="1"/>
        <v>487.04</v>
      </c>
      <c r="EW42" vm="8485">
        <f ca="1"/>
        <v>492.15</v>
      </c>
      <c r="EX42" vm="8486">
        <f ca="1"/>
        <v>486.7</v>
      </c>
      <c r="EY42" vm="8487">
        <f ca="1"/>
        <v>491.71</v>
      </c>
      <c r="EZ42" vm="8488">
        <f ca="1"/>
        <v>499.03</v>
      </c>
      <c r="FA42" vm="8489">
        <f ca="1"/>
        <v>492.72</v>
      </c>
      <c r="FB42" vm="8490">
        <f ca="1"/>
        <v>505.67</v>
      </c>
      <c r="FC42" vm="8491">
        <f ca="1"/>
        <v>509.03</v>
      </c>
      <c r="FD42" vm="8492">
        <f ca="1"/>
        <v>500.12</v>
      </c>
      <c r="FE42" vm="8493">
        <f ca="1"/>
        <v>470.64</v>
      </c>
      <c r="FF42" vm="8494">
        <f ca="1"/>
        <v>459.02</v>
      </c>
      <c r="FG42" vm="8495">
        <f ca="1"/>
        <v>470.22</v>
      </c>
      <c r="FH42" vm="8496">
        <f ca="1"/>
        <v>473.01</v>
      </c>
      <c r="FI42" vm="8497">
        <f ca="1"/>
        <v>485.77</v>
      </c>
      <c r="FJ42" vm="8498">
        <f ca="1"/>
        <v>490.26</v>
      </c>
      <c r="FK42" vm="8499">
        <f ca="1"/>
        <v>485.5</v>
      </c>
      <c r="FL42" vm="8500">
        <f ca="1"/>
        <v>491.94</v>
      </c>
      <c r="FM42" vm="8501">
        <f ca="1"/>
        <v>498.7</v>
      </c>
      <c r="FN42" vm="8502">
        <f ca="1"/>
        <v>499.02</v>
      </c>
      <c r="FO42" vm="8503">
        <f ca="1"/>
        <v>504.26</v>
      </c>
      <c r="FP42" vm="5373">
        <f ca="1"/>
        <v>504.68</v>
      </c>
      <c r="FQ42" vm="8504">
        <f ca="1"/>
        <v>497.34</v>
      </c>
      <c r="FR42" vm="8505">
        <f ca="1"/>
        <v>496.46</v>
      </c>
      <c r="FS42" vm="8506">
        <f ca="1"/>
        <v>497.75</v>
      </c>
      <c r="FT42" vm="8507">
        <f ca="1"/>
        <v>509.42</v>
      </c>
      <c r="FU42" vm="8508">
        <f ca="1"/>
        <v>507.87</v>
      </c>
      <c r="FV42" vm="8509">
        <f ca="1"/>
        <v>507.26</v>
      </c>
      <c r="FW42" vm="8510">
        <f ca="1"/>
        <v>503.33</v>
      </c>
      <c r="FX42" vm="8511">
        <f ca="1"/>
        <v>510.1</v>
      </c>
      <c r="FY42" vm="8512">
        <f ca="1"/>
        <v>510.25</v>
      </c>
      <c r="FZ42" vm="8513">
        <f ca="1"/>
        <v>487.46</v>
      </c>
      <c r="GA42" vm="8514">
        <f ca="1"/>
        <v>490.64</v>
      </c>
      <c r="GB42" vm="8515">
        <f ca="1"/>
        <v>487.88</v>
      </c>
      <c r="GC42" vm="8516">
        <f ca="1"/>
        <v>479.61</v>
      </c>
      <c r="GD42" vm="8517">
        <f ca="1"/>
        <v>488.57</v>
      </c>
      <c r="GE42" vm="8518">
        <f ca="1"/>
        <v>467.13</v>
      </c>
      <c r="GF42" vm="8519">
        <f ca="1"/>
        <v>471.17</v>
      </c>
      <c r="GG42" vm="5972">
        <f ca="1"/>
        <v>474.06</v>
      </c>
      <c r="GH42" vm="8520">
        <f ca="1"/>
        <v>478.99</v>
      </c>
      <c r="GI42" vm="8521">
        <f ca="1"/>
        <v>485.16</v>
      </c>
      <c r="GJ42" vm="519">
        <f ca="1"/>
        <v>485.39</v>
      </c>
      <c r="GK42" vm="8522">
        <f ca="1"/>
        <v>484.58</v>
      </c>
      <c r="GL42" vm="8523">
        <f ca="1"/>
        <v>503.83</v>
      </c>
      <c r="GM42" vm="8524">
        <f ca="1"/>
        <v>498.43</v>
      </c>
      <c r="GN42" vm="8525">
        <f ca="1"/>
        <v>497.41</v>
      </c>
      <c r="GO42" vm="4955">
        <f ca="1"/>
        <v>498.02</v>
      </c>
      <c r="GP42" vm="8526">
        <f ca="1"/>
        <v>491.14</v>
      </c>
      <c r="GQ42" vm="8527">
        <f ca="1"/>
        <v>496.92</v>
      </c>
      <c r="GR42" vm="8528">
        <f ca="1"/>
        <v>498.51</v>
      </c>
      <c r="GS42" vm="8529">
        <f ca="1"/>
        <v>495.11</v>
      </c>
      <c r="GT42" vm="8530">
        <f ca="1"/>
        <v>490.17</v>
      </c>
      <c r="GU42" vm="8531">
        <f ca="1"/>
        <v>491.99</v>
      </c>
      <c r="GV42" vm="8532">
        <f ca="1"/>
        <v>486.1</v>
      </c>
      <c r="GW42" vm="8533">
        <f ca="1"/>
        <v>495.16</v>
      </c>
      <c r="GX42" vm="8534">
        <f ca="1"/>
        <v>494.62</v>
      </c>
      <c r="GY42" vm="8535">
        <f ca="1"/>
        <v>496.57</v>
      </c>
      <c r="GZ42" vm="8536">
        <f ca="1"/>
        <v>505.18</v>
      </c>
      <c r="HA42" vm="8537">
        <f ca="1"/>
        <v>503.72</v>
      </c>
      <c r="HB42" vm="8538">
        <f ca="1"/>
        <v>516.29999999999995</v>
      </c>
      <c r="HC42" vm="8539">
        <f ca="1"/>
        <v>522.75</v>
      </c>
      <c r="HD42" vm="8540">
        <f ca="1"/>
        <v>522.38</v>
      </c>
      <c r="HE42" vm="8541">
        <f ca="1"/>
        <v>529.86</v>
      </c>
      <c r="HF42" vm="8542">
        <f ca="1"/>
        <v>529</v>
      </c>
      <c r="HG42" vm="8543">
        <f ca="1"/>
        <v>528.5</v>
      </c>
      <c r="HH42" vm="8544">
        <f ca="1"/>
        <v>517.79999999999995</v>
      </c>
      <c r="HI42" vm="8545">
        <f ca="1"/>
        <v>518.29999999999995</v>
      </c>
      <c r="HJ42" vm="8546">
        <f ca="1"/>
        <v>517.20000000000005</v>
      </c>
      <c r="HK42" vm="8547">
        <f ca="1"/>
        <v>524.5</v>
      </c>
      <c r="HL42" vm="8548">
        <f ca="1"/>
        <v>512.6</v>
      </c>
      <c r="HM42" vm="8549">
        <f ca="1"/>
        <v>523.58000000000004</v>
      </c>
      <c r="HN42" vm="8550">
        <f ca="1"/>
        <v>524.28</v>
      </c>
      <c r="HO42" vm="8551">
        <f ca="1"/>
        <v>524.4</v>
      </c>
      <c r="HP42" vm="8552">
        <f ca="1"/>
        <v>517.79</v>
      </c>
      <c r="HQ42" vm="8553">
        <f ca="1"/>
        <v>519.35</v>
      </c>
      <c r="HR42" vm="8554">
        <f ca="1"/>
        <v>511.47</v>
      </c>
      <c r="HS42" vm="8555">
        <f ca="1"/>
        <v>526.96</v>
      </c>
      <c r="HT42" vm="8556">
        <f ca="1"/>
        <v>595.98</v>
      </c>
      <c r="HU42" vm="8557">
        <f ca="1"/>
        <v>582.16999999999996</v>
      </c>
      <c r="HV42" vm="8558">
        <f ca="1"/>
        <v>589.26</v>
      </c>
      <c r="HW42" vm="8559">
        <f ca="1"/>
        <v>602.34</v>
      </c>
      <c r="HX42" vm="8560">
        <f ca="1"/>
        <v>592.59</v>
      </c>
      <c r="HY42" vm="8561">
        <f ca="1"/>
        <v>594.22</v>
      </c>
      <c r="HZ42" vm="8562">
        <f ca="1"/>
        <v>588.61</v>
      </c>
      <c r="IA42" vm="8563">
        <f ca="1"/>
        <v>593.54</v>
      </c>
      <c r="IB42" vm="8564">
        <f ca="1"/>
        <v>587.99</v>
      </c>
      <c r="IC42" vm="8565">
        <f ca="1"/>
        <v>581.38</v>
      </c>
      <c r="ID42" vm="8566">
        <f ca="1"/>
        <v>581.92999999999995</v>
      </c>
      <c r="IE42" vm="8567">
        <f ca="1"/>
        <v>596.11</v>
      </c>
      <c r="IF42" vm="8568">
        <f ca="1"/>
        <v>602.78</v>
      </c>
      <c r="IG42" vm="8569">
        <f ca="1"/>
        <v>603.03</v>
      </c>
      <c r="IH42" vm="8570">
        <f ca="1"/>
        <v>605.5</v>
      </c>
      <c r="II42" vm="8571">
        <f ca="1"/>
        <v>605.42999999999995</v>
      </c>
      <c r="IJ42" vm="8572">
        <f ca="1"/>
        <v>608.57000000000005</v>
      </c>
      <c r="IK42" vm="8573">
        <f ca="1"/>
        <v>601.71</v>
      </c>
      <c r="IL42" vm="8574">
        <f ca="1"/>
        <v>602.08000000000004</v>
      </c>
      <c r="IM42" vm="8575">
        <f ca="1"/>
        <v>598.71</v>
      </c>
      <c r="IN42" vm="8576">
        <f ca="1"/>
        <v>596.79999999999995</v>
      </c>
      <c r="IO42" vm="8577">
        <f ca="1"/>
        <v>599.67999999999995</v>
      </c>
      <c r="IP42" vm="8578">
        <f ca="1"/>
        <v>594.12</v>
      </c>
      <c r="IQ42" vm="8579">
        <f ca="1"/>
        <v>585.03</v>
      </c>
    </row>
    <row r="43" spans="1:251">
      <c r="A43" cm="1" vm="8580">
        <f t="array" aca="1" ref="A43:IQ43" ca="1">TRANSPOSE(_xlfn.STOCKHISTORY(Table3[[#This Row],[Stock Name ]],TODAY()-365,TODAY(),0,0,1))</f>
        <v>333.2</v>
      </c>
      <c r="B43" vm="8581">
        <f ca="1"/>
        <v>343.4</v>
      </c>
      <c r="C43" vm="8582">
        <f ca="1"/>
        <v>351.81</v>
      </c>
      <c r="D43" vm="8583">
        <f ca="1"/>
        <v>354</v>
      </c>
      <c r="E43" vm="8584">
        <f ca="1"/>
        <v>350.81</v>
      </c>
      <c r="F43" vm="8585">
        <f ca="1"/>
        <v>352.07</v>
      </c>
      <c r="G43" vm="8586">
        <f ca="1"/>
        <v>348.66</v>
      </c>
      <c r="H43" vm="8587">
        <f ca="1"/>
        <v>348.97</v>
      </c>
      <c r="I43" vm="8588">
        <f ca="1"/>
        <v>348.59</v>
      </c>
      <c r="J43" vm="8589">
        <f ca="1"/>
        <v>349.31</v>
      </c>
      <c r="K43" vm="8590">
        <f ca="1"/>
        <v>348.53</v>
      </c>
      <c r="L43" vm="8591">
        <f ca="1"/>
        <v>347.36</v>
      </c>
      <c r="M43" vm="8592">
        <f ca="1"/>
        <v>346.55</v>
      </c>
      <c r="N43" vm="8593">
        <f ca="1"/>
        <v>345.08</v>
      </c>
      <c r="O43" vm="8594">
        <f ca="1"/>
        <v>338.26</v>
      </c>
      <c r="P43" vm="8595">
        <f ca="1"/>
        <v>338.59</v>
      </c>
      <c r="Q43" vm="8596">
        <f ca="1"/>
        <v>342.94</v>
      </c>
      <c r="R43" vm="8597">
        <f ca="1"/>
        <v>347.93</v>
      </c>
      <c r="S43" vm="8598">
        <f ca="1"/>
        <v>346.19</v>
      </c>
      <c r="T43" vm="8599">
        <f ca="1"/>
        <v>356.8</v>
      </c>
      <c r="U43" vm="8600">
        <f ca="1"/>
        <v>356.53</v>
      </c>
      <c r="V43" vm="8601">
        <f ca="1"/>
        <v>355.71</v>
      </c>
      <c r="W43" vm="8602">
        <f ca="1"/>
        <v>358.43</v>
      </c>
      <c r="X43" vm="8603">
        <f ca="1"/>
        <v>355.7</v>
      </c>
      <c r="Y43" vm="8604">
        <f ca="1"/>
        <v>357.9</v>
      </c>
      <c r="Z43" vm="8605">
        <f ca="1"/>
        <v>362.41</v>
      </c>
      <c r="AA43" vm="8606">
        <f ca="1"/>
        <v>356.69</v>
      </c>
      <c r="AB43" vm="8607">
        <f ca="1"/>
        <v>350.78</v>
      </c>
      <c r="AC43" vm="8608">
        <f ca="1"/>
        <v>347.27</v>
      </c>
      <c r="AD43" vm="8609">
        <f ca="1"/>
        <v>350.97</v>
      </c>
      <c r="AE43" vm="8610">
        <f ca="1"/>
        <v>355.3</v>
      </c>
      <c r="AF43" vm="8603">
        <f ca="1"/>
        <v>355.7</v>
      </c>
      <c r="AG43" vm="8611">
        <f ca="1"/>
        <v>357.1</v>
      </c>
      <c r="AH43" vm="8612">
        <f ca="1"/>
        <v>352.96</v>
      </c>
      <c r="AI43" vm="8613">
        <f ca="1"/>
        <v>360.07</v>
      </c>
      <c r="AJ43" vm="8614">
        <f ca="1"/>
        <v>357.23</v>
      </c>
      <c r="AK43" vm="8615">
        <f ca="1"/>
        <v>355.14</v>
      </c>
      <c r="AL43" vm="8616">
        <f ca="1"/>
        <v>356.25</v>
      </c>
      <c r="AM43" vm="8617">
        <f ca="1"/>
        <v>362.69</v>
      </c>
      <c r="AN43" vm="8618">
        <f ca="1"/>
        <v>363.72</v>
      </c>
      <c r="AO43" vm="8619">
        <f ca="1"/>
        <v>363.15</v>
      </c>
      <c r="AP43" vm="8620">
        <f ca="1"/>
        <v>365.45</v>
      </c>
      <c r="AQ43" vm="8621">
        <f ca="1"/>
        <v>357.59</v>
      </c>
      <c r="AR43" vm="8622">
        <f ca="1"/>
        <v>358.23</v>
      </c>
      <c r="AS43" vm="8623">
        <f ca="1"/>
        <v>361.08</v>
      </c>
      <c r="AT43" vm="8624">
        <f ca="1"/>
        <v>362.35</v>
      </c>
      <c r="AU43" vm="8625">
        <f ca="1"/>
        <v>362.57</v>
      </c>
      <c r="AV43" vm="8626">
        <f ca="1"/>
        <v>364.13</v>
      </c>
      <c r="AW43" vm="8627">
        <f ca="1"/>
        <v>371.34</v>
      </c>
      <c r="AX43" vm="8628">
        <f ca="1"/>
        <v>371.96</v>
      </c>
      <c r="AY43" vm="8629">
        <f ca="1"/>
        <v>371.6</v>
      </c>
      <c r="AZ43" vm="8630">
        <f ca="1"/>
        <v>375.56</v>
      </c>
      <c r="BA43" vm="8631">
        <f ca="1"/>
        <v>377.61</v>
      </c>
      <c r="BB43" vm="8632">
        <f ca="1"/>
        <v>380.61</v>
      </c>
      <c r="BC43" vm="8633">
        <f ca="1"/>
        <v>384.45</v>
      </c>
      <c r="BD43" vm="8634">
        <f ca="1"/>
        <v>380.37</v>
      </c>
      <c r="BE43" vm="8635">
        <f ca="1"/>
        <v>378.45</v>
      </c>
      <c r="BF43" vm="8636">
        <f ca="1"/>
        <v>377.44</v>
      </c>
      <c r="BG43" vm="8637">
        <f ca="1"/>
        <v>376.55</v>
      </c>
      <c r="BH43" vm="8638">
        <f ca="1"/>
        <v>373.35</v>
      </c>
      <c r="BI43" vm="8639">
        <f ca="1"/>
        <v>371.52</v>
      </c>
      <c r="BJ43" vm="8640">
        <f ca="1"/>
        <v>374.54</v>
      </c>
      <c r="BK43" vm="8641">
        <f ca="1"/>
        <v>378.99</v>
      </c>
      <c r="BL43" vm="8642">
        <f ca="1"/>
        <v>375.27</v>
      </c>
      <c r="BM43" vm="8643">
        <f ca="1"/>
        <v>373.23</v>
      </c>
      <c r="BN43" vm="8644">
        <f ca="1"/>
        <v>371.91</v>
      </c>
      <c r="BO43" vm="8645">
        <f ca="1"/>
        <v>379.41</v>
      </c>
      <c r="BP43" vm="8646">
        <f ca="1"/>
        <v>384.41</v>
      </c>
      <c r="BQ43" vm="8647">
        <f ca="1"/>
        <v>395.2</v>
      </c>
      <c r="BR43" vm="8648">
        <f ca="1"/>
        <v>390.28</v>
      </c>
      <c r="BS43" vm="8649">
        <f ca="1"/>
        <v>383.51</v>
      </c>
      <c r="BT43" vm="8650">
        <f ca="1"/>
        <v>379.93</v>
      </c>
      <c r="BU43" vm="8651">
        <f ca="1"/>
        <v>385.89</v>
      </c>
      <c r="BV43" vm="8652">
        <f ca="1"/>
        <v>383.6</v>
      </c>
      <c r="BW43" vm="8653">
        <f ca="1"/>
        <v>368.03</v>
      </c>
      <c r="BX43" vm="8654">
        <f ca="1"/>
        <v>363</v>
      </c>
      <c r="BY43" vm="8655">
        <f ca="1"/>
        <v>359.9</v>
      </c>
      <c r="BZ43" vm="8656">
        <f ca="1"/>
        <v>357.68</v>
      </c>
      <c r="CA43" vm="8657">
        <f ca="1"/>
        <v>357.87</v>
      </c>
      <c r="CB43" vm="8658">
        <f ca="1"/>
        <v>362.05</v>
      </c>
      <c r="CC43" vm="8659">
        <f ca="1"/>
        <v>361.42</v>
      </c>
      <c r="CD43" vm="8660">
        <f ca="1"/>
        <v>350.56</v>
      </c>
      <c r="CE43" vm="8661">
        <f ca="1"/>
        <v>347.37</v>
      </c>
      <c r="CF43" vm="8662">
        <f ca="1"/>
        <v>342.87</v>
      </c>
      <c r="CG43" vm="8663">
        <f ca="1"/>
        <v>337.93</v>
      </c>
      <c r="CH43" vm="8664">
        <f ca="1"/>
        <v>334.83</v>
      </c>
      <c r="CI43" vm="8665">
        <f ca="1"/>
        <v>332.83</v>
      </c>
      <c r="CJ43" vm="8666">
        <f ca="1"/>
        <v>332.89</v>
      </c>
      <c r="CK43" vm="8667">
        <f ca="1"/>
        <v>335.36</v>
      </c>
      <c r="CL43" vm="8668">
        <f ca="1"/>
        <v>336.11</v>
      </c>
      <c r="CM43" vm="8669">
        <f ca="1"/>
        <v>339</v>
      </c>
      <c r="CN43" vm="8670">
        <f ca="1"/>
        <v>333.01</v>
      </c>
      <c r="CO43" vm="8671">
        <f ca="1"/>
        <v>331.98</v>
      </c>
      <c r="CP43" vm="8672">
        <f ca="1"/>
        <v>335.09</v>
      </c>
      <c r="CQ43" vm="8673">
        <f ca="1"/>
        <v>336.8</v>
      </c>
      <c r="CR43" vm="5241">
        <f ca="1"/>
        <v>334.22</v>
      </c>
      <c r="CS43" vm="8674">
        <f ca="1"/>
        <v>331.97</v>
      </c>
      <c r="CT43" vm="8675">
        <f ca="1"/>
        <v>335.53</v>
      </c>
      <c r="CU43" vm="8676">
        <f ca="1"/>
        <v>342.85</v>
      </c>
      <c r="CV43" vm="8677">
        <f ca="1"/>
        <v>342.29</v>
      </c>
      <c r="CW43" vm="8678">
        <f ca="1"/>
        <v>340.69</v>
      </c>
      <c r="CX43" vm="8679">
        <f ca="1"/>
        <v>338.83</v>
      </c>
      <c r="CY43" vm="8680">
        <f ca="1"/>
        <v>347.44</v>
      </c>
      <c r="CZ43" vm="8681">
        <f ca="1"/>
        <v>346.43</v>
      </c>
      <c r="DA43" vm="8682">
        <f ca="1"/>
        <v>340.96</v>
      </c>
      <c r="DB43" vm="8683">
        <f ca="1"/>
        <v>340.5</v>
      </c>
      <c r="DC43" vm="8684">
        <f ca="1"/>
        <v>348.67</v>
      </c>
      <c r="DD43" vm="8685">
        <f ca="1"/>
        <v>342.73</v>
      </c>
      <c r="DE43" vm="8686">
        <f ca="1"/>
        <v>344.21</v>
      </c>
      <c r="DF43" vm="8687">
        <f ca="1"/>
        <v>337.82</v>
      </c>
      <c r="DG43" vm="8688">
        <f ca="1"/>
        <v>336.15</v>
      </c>
      <c r="DH43" vm="8689">
        <f ca="1"/>
        <v>330.59</v>
      </c>
      <c r="DI43" vm="8690">
        <f ca="1"/>
        <v>326.89</v>
      </c>
      <c r="DJ43" vm="8691">
        <f ca="1"/>
        <v>325.10000000000002</v>
      </c>
      <c r="DK43" vm="8692">
        <f ca="1"/>
        <v>328.7</v>
      </c>
      <c r="DL43" vm="8693">
        <f ca="1"/>
        <v>325.91000000000003</v>
      </c>
      <c r="DM43" vm="8694">
        <f ca="1"/>
        <v>329.18</v>
      </c>
      <c r="DN43" vm="8695">
        <f ca="1"/>
        <v>334.87</v>
      </c>
      <c r="DO43" vm="8696">
        <f ca="1"/>
        <v>328.01</v>
      </c>
      <c r="DP43" vm="8697">
        <f ca="1"/>
        <v>328.26</v>
      </c>
      <c r="DQ43" vm="8698">
        <f ca="1"/>
        <v>330.26</v>
      </c>
      <c r="DR43" vm="8699">
        <f ca="1"/>
        <v>331.1</v>
      </c>
      <c r="DS43" vm="8700">
        <f ca="1"/>
        <v>327.02999999999997</v>
      </c>
      <c r="DT43" vm="8701">
        <f ca="1"/>
        <v>332.56</v>
      </c>
      <c r="DU43" vm="8702">
        <f ca="1"/>
        <v>335.72</v>
      </c>
      <c r="DV43" vm="8703">
        <f ca="1"/>
        <v>344.14</v>
      </c>
      <c r="DW43" vm="8704">
        <f ca="1"/>
        <v>347.88</v>
      </c>
      <c r="DX43" vm="8705">
        <f ca="1"/>
        <v>346.84</v>
      </c>
      <c r="DY43" vm="8706">
        <f ca="1"/>
        <v>349.5</v>
      </c>
      <c r="DZ43" vm="8707">
        <f ca="1"/>
        <v>353.87</v>
      </c>
      <c r="EA43" vm="8708">
        <f ca="1"/>
        <v>353.44</v>
      </c>
      <c r="EB43" vm="8709">
        <f ca="1"/>
        <v>355.8</v>
      </c>
      <c r="EC43" vm="8710">
        <f ca="1"/>
        <v>350.88</v>
      </c>
      <c r="ED43" vm="8711">
        <f ca="1"/>
        <v>338.32</v>
      </c>
      <c r="EE43" vm="8712">
        <f ca="1"/>
        <v>341.82</v>
      </c>
      <c r="EF43" vm="8713">
        <f ca="1"/>
        <v>341.49</v>
      </c>
      <c r="EG43" vm="8714">
        <f ca="1"/>
        <v>344.24</v>
      </c>
      <c r="EH43" vm="8715">
        <f ca="1"/>
        <v>336.19</v>
      </c>
      <c r="EI43" vm="8716">
        <f ca="1"/>
        <v>334.97</v>
      </c>
      <c r="EJ43" vm="8717">
        <f ca="1"/>
        <v>333.64</v>
      </c>
      <c r="EK43" vm="8718">
        <f ca="1"/>
        <v>334.58</v>
      </c>
      <c r="EL43" vm="8719">
        <f ca="1"/>
        <v>339.6</v>
      </c>
      <c r="EM43" vm="8720">
        <f ca="1"/>
        <v>337.09</v>
      </c>
      <c r="EN43" vm="8721">
        <f ca="1"/>
        <v>344.18</v>
      </c>
      <c r="EO43" vm="8722">
        <f ca="1"/>
        <v>353.79</v>
      </c>
      <c r="EP43" vm="8723">
        <f ca="1"/>
        <v>359.77</v>
      </c>
      <c r="EQ43" vm="8724">
        <f ca="1"/>
        <v>358.46</v>
      </c>
      <c r="ER43" vm="8725">
        <f ca="1"/>
        <v>369.12</v>
      </c>
      <c r="ES43" vm="8726">
        <f ca="1"/>
        <v>371.89</v>
      </c>
      <c r="ET43" vm="8727">
        <f ca="1"/>
        <v>366.08</v>
      </c>
      <c r="EU43" vm="8728">
        <f ca="1"/>
        <v>363.36</v>
      </c>
      <c r="EV43" vm="8729">
        <f ca="1"/>
        <v>363.25</v>
      </c>
      <c r="EW43" vm="8730">
        <f ca="1"/>
        <v>359.62</v>
      </c>
      <c r="EX43" vm="8731">
        <f ca="1"/>
        <v>350.31</v>
      </c>
      <c r="EY43" vm="8732">
        <f ca="1"/>
        <v>353.29</v>
      </c>
      <c r="EZ43" vm="8733">
        <f ca="1"/>
        <v>359.51</v>
      </c>
      <c r="FA43" vm="8734">
        <f ca="1"/>
        <v>361.67</v>
      </c>
      <c r="FB43" vm="8735">
        <f ca="1"/>
        <v>363.69</v>
      </c>
      <c r="FC43" vm="8736">
        <f ca="1"/>
        <v>368.16</v>
      </c>
      <c r="FD43" vm="8737">
        <f ca="1"/>
        <v>358.58</v>
      </c>
      <c r="FE43" vm="8738">
        <f ca="1"/>
        <v>355.43</v>
      </c>
      <c r="FF43" vm="8739">
        <f ca="1"/>
        <v>350.01</v>
      </c>
      <c r="FG43" vm="8740">
        <f ca="1"/>
        <v>353.91</v>
      </c>
      <c r="FH43" vm="8741">
        <f ca="1"/>
        <v>342.4</v>
      </c>
      <c r="FI43" vm="8742">
        <f ca="1"/>
        <v>348.34</v>
      </c>
      <c r="FJ43" vm="8743">
        <f ca="1"/>
        <v>348.64</v>
      </c>
      <c r="FK43" vm="8744">
        <f ca="1"/>
        <v>345.81</v>
      </c>
      <c r="FL43" vm="8745">
        <f ca="1"/>
        <v>350.07</v>
      </c>
      <c r="FM43" vm="8746">
        <f ca="1"/>
        <v>355.66</v>
      </c>
      <c r="FN43" vm="8613">
        <f ca="1"/>
        <v>360.07</v>
      </c>
      <c r="FO43" vm="8747">
        <f ca="1"/>
        <v>362.06</v>
      </c>
      <c r="FP43" vm="8748">
        <f ca="1"/>
        <v>363.07</v>
      </c>
      <c r="FQ43" vm="8749">
        <f ca="1"/>
        <v>367.27</v>
      </c>
      <c r="FR43" vm="8750">
        <f ca="1"/>
        <v>370.46</v>
      </c>
      <c r="FS43" vm="8751">
        <f ca="1"/>
        <v>365.36</v>
      </c>
      <c r="FT43" vm="8752">
        <f ca="1"/>
        <v>375.59</v>
      </c>
      <c r="FU43" vm="8753">
        <f ca="1"/>
        <v>374.11</v>
      </c>
      <c r="FV43" vm="8754">
        <f ca="1"/>
        <v>373.18</v>
      </c>
      <c r="FW43" vm="8755">
        <f ca="1"/>
        <v>372.69</v>
      </c>
      <c r="FX43" vm="8756">
        <f ca="1"/>
        <v>367.06</v>
      </c>
      <c r="FY43" vm="8757">
        <f ca="1"/>
        <v>368.5</v>
      </c>
      <c r="FZ43" vm="8758">
        <f ca="1"/>
        <v>364.74</v>
      </c>
      <c r="GA43" vm="8759">
        <f ca="1"/>
        <v>364.67</v>
      </c>
      <c r="GB43" vm="8760">
        <f ca="1"/>
        <v>361.85</v>
      </c>
      <c r="GC43" vm="8761">
        <f ca="1"/>
        <v>360.05</v>
      </c>
      <c r="GD43" vm="8762">
        <f ca="1"/>
        <v>365.52</v>
      </c>
      <c r="GE43" vm="5497">
        <f ca="1"/>
        <v>370.87</v>
      </c>
      <c r="GF43" vm="8763">
        <f ca="1"/>
        <v>370.49</v>
      </c>
      <c r="GG43" vm="8764">
        <f ca="1"/>
        <v>374.43</v>
      </c>
      <c r="GH43" vm="8765">
        <f ca="1"/>
        <v>379.99</v>
      </c>
      <c r="GI43" vm="8766">
        <f ca="1"/>
        <v>382.01</v>
      </c>
      <c r="GJ43" vm="8767">
        <f ca="1"/>
        <v>383.24</v>
      </c>
      <c r="GK43" vm="8379">
        <f ca="1"/>
        <v>384.01</v>
      </c>
      <c r="GL43" vm="8768">
        <f ca="1"/>
        <v>390.34</v>
      </c>
      <c r="GM43" vm="8769">
        <f ca="1"/>
        <v>389.86</v>
      </c>
      <c r="GN43" vm="8770">
        <f ca="1"/>
        <v>391.96</v>
      </c>
      <c r="GO43" vm="8771">
        <f ca="1"/>
        <v>400.66</v>
      </c>
      <c r="GP43" vm="8772">
        <f ca="1"/>
        <v>396.93</v>
      </c>
      <c r="GQ43" vm="8773">
        <f ca="1"/>
        <v>396.7</v>
      </c>
      <c r="GR43" vm="8774">
        <f ca="1"/>
        <v>399.53</v>
      </c>
      <c r="GS43" vm="8775">
        <f ca="1"/>
        <v>405.2</v>
      </c>
      <c r="GT43" vm="8776">
        <f ca="1"/>
        <v>409.05</v>
      </c>
      <c r="GU43" vm="8777">
        <f ca="1"/>
        <v>411.26</v>
      </c>
      <c r="GV43" vm="8778">
        <f ca="1"/>
        <v>411.58</v>
      </c>
      <c r="GW43" vm="8779">
        <f ca="1"/>
        <v>408.36</v>
      </c>
      <c r="GX43" vm="8780">
        <f ca="1"/>
        <v>408.06</v>
      </c>
      <c r="GY43" vm="8781">
        <f ca="1"/>
        <v>414.18</v>
      </c>
      <c r="GZ43" vm="5597">
        <f ca="1"/>
        <v>416.07</v>
      </c>
      <c r="HA43" vm="8782">
        <f ca="1"/>
        <v>409.96</v>
      </c>
      <c r="HB43" vm="8783">
        <f ca="1"/>
        <v>411.9</v>
      </c>
      <c r="HC43" vm="8784">
        <f ca="1"/>
        <v>415.42</v>
      </c>
      <c r="HD43" vm="8785">
        <f ca="1"/>
        <v>415.58</v>
      </c>
      <c r="HE43" vm="8786">
        <f ca="1"/>
        <v>418.61</v>
      </c>
      <c r="HF43" vm="8787">
        <f ca="1"/>
        <v>415.6</v>
      </c>
      <c r="HG43" vm="5706">
        <f ca="1"/>
        <v>415</v>
      </c>
      <c r="HH43" vm="8788">
        <f ca="1"/>
        <v>406.4</v>
      </c>
      <c r="HI43" vm="8789">
        <f ca="1"/>
        <v>401.85</v>
      </c>
      <c r="HJ43" vm="8790">
        <f ca="1"/>
        <v>399.64</v>
      </c>
      <c r="HK43" vm="8791">
        <f ca="1"/>
        <v>402.68</v>
      </c>
      <c r="HL43" vm="8792">
        <f ca="1"/>
        <v>398.91</v>
      </c>
      <c r="HM43" vm="8793">
        <f ca="1"/>
        <v>402.89</v>
      </c>
      <c r="HN43" vm="8794">
        <f ca="1"/>
        <v>395.07</v>
      </c>
      <c r="HO43" vm="8795">
        <f ca="1"/>
        <v>392.52</v>
      </c>
      <c r="HP43" vm="8796">
        <f ca="1"/>
        <v>393.75</v>
      </c>
      <c r="HQ43" vm="8797">
        <f ca="1"/>
        <v>392.59</v>
      </c>
      <c r="HR43" vm="8798">
        <f ca="1"/>
        <v>395.57</v>
      </c>
      <c r="HS43" vm="8799">
        <f ca="1"/>
        <v>400.09</v>
      </c>
      <c r="HT43" vm="8800">
        <f ca="1"/>
        <v>388.37</v>
      </c>
      <c r="HU43" vm="8801">
        <f ca="1"/>
        <v>399.44</v>
      </c>
      <c r="HV43" vm="8802">
        <f ca="1"/>
        <v>405.9</v>
      </c>
      <c r="HW43" vm="8803">
        <f ca="1"/>
        <v>408.29</v>
      </c>
      <c r="HX43" vm="8804">
        <f ca="1"/>
        <v>403.08</v>
      </c>
      <c r="HY43" vm="8805">
        <f ca="1"/>
        <v>410.19</v>
      </c>
      <c r="HZ43" vm="5660">
        <f ca="1"/>
        <v>405.72</v>
      </c>
      <c r="IA43" vm="8806">
        <f ca="1"/>
        <v>408.18</v>
      </c>
      <c r="IB43" vm="8807">
        <f ca="1"/>
        <v>410.44</v>
      </c>
      <c r="IC43" vm="2264">
        <f ca="1"/>
        <v>406.8</v>
      </c>
      <c r="ID43" vm="8808">
        <f ca="1"/>
        <v>400</v>
      </c>
      <c r="IE43" vm="8809">
        <f ca="1"/>
        <v>410.45</v>
      </c>
      <c r="IF43" vm="8810">
        <f ca="1"/>
        <v>420</v>
      </c>
      <c r="IG43" vm="8811">
        <f ca="1"/>
        <v>428.67</v>
      </c>
      <c r="IH43" vm="8812">
        <f ca="1"/>
        <v>429.52</v>
      </c>
      <c r="II43" vm="8813">
        <f ca="1"/>
        <v>427.19</v>
      </c>
      <c r="IJ43" vm="8814">
        <f ca="1"/>
        <v>429.13</v>
      </c>
      <c r="IK43" vm="8815">
        <f ca="1"/>
        <v>426.96</v>
      </c>
      <c r="IL43" vm="8816">
        <f ca="1"/>
        <v>429.35</v>
      </c>
      <c r="IM43" vm="8817">
        <f ca="1"/>
        <v>427.92</v>
      </c>
      <c r="IN43" vm="8818">
        <f ca="1"/>
        <v>426.54</v>
      </c>
      <c r="IO43" vm="8819">
        <f ca="1"/>
        <v>431.37</v>
      </c>
      <c r="IP43" vm="8820">
        <f ca="1"/>
        <v>429.18</v>
      </c>
      <c r="IQ43" vm="8821">
        <f ca="1"/>
        <v>422.59</v>
      </c>
    </row>
    <row r="44" spans="1:251">
      <c r="A44" cm="1" vm="1070">
        <f t="array" aca="1" ref="A44:IQ44" ca="1">TRANSPOSE(_xlfn.STOCKHISTORY(Table3[[#This Row],[Stock Name ]],TODAY()-365,TODAY(),0,0,1))</f>
        <v>145.94</v>
      </c>
      <c r="B44" vm="4197">
        <f ca="1"/>
        <v>148.58000000000001</v>
      </c>
      <c r="C44" vm="2730">
        <f ca="1"/>
        <v>144.66</v>
      </c>
      <c r="D44" vm="1076">
        <f ca="1"/>
        <v>143.96</v>
      </c>
      <c r="E44" vm="8822">
        <f ca="1"/>
        <v>146.16999999999999</v>
      </c>
      <c r="F44" vm="8822">
        <f ca="1"/>
        <v>146.16999999999999</v>
      </c>
      <c r="G44" vm="8823">
        <f ca="1"/>
        <v>143.91</v>
      </c>
      <c r="H44" vm="8824">
        <f ca="1"/>
        <v>144.26</v>
      </c>
      <c r="I44" vm="2627">
        <f ca="1"/>
        <v>145.28</v>
      </c>
      <c r="J44" vm="1070">
        <f ca="1"/>
        <v>145.94</v>
      </c>
      <c r="K44" vm="8825">
        <f ca="1"/>
        <v>146.06</v>
      </c>
      <c r="L44" vm="2740">
        <f ca="1"/>
        <v>145.72999999999999</v>
      </c>
      <c r="M44" vm="8826">
        <f ca="1"/>
        <v>146.54</v>
      </c>
      <c r="N44" vm="861">
        <f ca="1"/>
        <v>148.74</v>
      </c>
      <c r="O44" vm="8827">
        <f ca="1"/>
        <v>147.84</v>
      </c>
      <c r="P44" vm="8828">
        <f ca="1"/>
        <v>148.65</v>
      </c>
      <c r="Q44" vm="1252">
        <f ca="1"/>
        <v>147.41999999999999</v>
      </c>
      <c r="R44" vm="8829">
        <f ca="1"/>
        <v>148.69</v>
      </c>
      <c r="S44" vm="7994">
        <f ca="1"/>
        <v>149.30000000000001</v>
      </c>
      <c r="T44" vm="8830">
        <f ca="1"/>
        <v>149.94</v>
      </c>
      <c r="U44" vm="8831">
        <f ca="1"/>
        <v>150.51</v>
      </c>
      <c r="V44" vm="644">
        <f ca="1"/>
        <v>150.6</v>
      </c>
      <c r="W44" vm="8832">
        <f ca="1"/>
        <v>149.79</v>
      </c>
      <c r="X44" vm="8830">
        <f ca="1"/>
        <v>149.94</v>
      </c>
      <c r="Y44" vm="8833">
        <f ca="1"/>
        <v>148.13999999999999</v>
      </c>
      <c r="Z44" vm="8834">
        <f ca="1"/>
        <v>147.57</v>
      </c>
      <c r="AA44" vm="8835">
        <f ca="1"/>
        <v>147.86000000000001</v>
      </c>
      <c r="AB44" vm="8836">
        <f ca="1"/>
        <v>153.97999999999999</v>
      </c>
      <c r="AC44" vm="1255">
        <f ca="1"/>
        <v>152.12</v>
      </c>
      <c r="AD44" vm="8837">
        <f ca="1"/>
        <v>155.62</v>
      </c>
      <c r="AE44" vm="869">
        <f ca="1"/>
        <v>156.13999999999999</v>
      </c>
      <c r="AF44" vm="7931">
        <f ca="1"/>
        <v>156.16</v>
      </c>
      <c r="AG44" vm="8838">
        <f ca="1"/>
        <v>157.49</v>
      </c>
      <c r="AH44" vm="8839">
        <f ca="1"/>
        <v>157.13999999999999</v>
      </c>
      <c r="AI44" vm="8840">
        <f ca="1"/>
        <v>159.18</v>
      </c>
      <c r="AJ44" vm="8841">
        <f ca="1"/>
        <v>158.09</v>
      </c>
      <c r="AK44" vm="8842">
        <f ca="1"/>
        <v>158.21</v>
      </c>
      <c r="AL44" vm="670">
        <f ca="1"/>
        <v>158.96</v>
      </c>
      <c r="AM44" vm="1277">
        <f ca="1"/>
        <v>159.12</v>
      </c>
      <c r="AN44" vm="8843">
        <f ca="1"/>
        <v>158.63999999999999</v>
      </c>
      <c r="AO44" vm="8844">
        <f ca="1"/>
        <v>157.41999999999999</v>
      </c>
      <c r="AP44" vm="8845">
        <f ca="1"/>
        <v>157.11000000000001</v>
      </c>
      <c r="AQ44" vm="8846">
        <f ca="1"/>
        <v>156.27000000000001</v>
      </c>
      <c r="AR44" vm="8847">
        <f ca="1"/>
        <v>155.63</v>
      </c>
      <c r="AS44" vm="8848">
        <f ca="1"/>
        <v>157.01</v>
      </c>
      <c r="AT44" vm="7925">
        <f ca="1"/>
        <v>157.51</v>
      </c>
      <c r="AU44" vm="8849">
        <f ca="1"/>
        <v>158.51</v>
      </c>
      <c r="AV44" vm="8850">
        <f ca="1"/>
        <v>160.4</v>
      </c>
      <c r="AW44" vm="8851">
        <f ca="1"/>
        <v>160.56</v>
      </c>
      <c r="AX44" vm="8852">
        <f ca="1"/>
        <v>161.03</v>
      </c>
      <c r="AY44" vm="4241">
        <f ca="1"/>
        <v>160.22</v>
      </c>
      <c r="AZ44" vm="8853">
        <f ca="1"/>
        <v>159.30000000000001</v>
      </c>
      <c r="BA44" vm="3909">
        <f ca="1"/>
        <v>160.05000000000001</v>
      </c>
      <c r="BB44" vm="1180">
        <f ca="1"/>
        <v>158.94</v>
      </c>
      <c r="BC44" vm="8854">
        <f ca="1"/>
        <v>158.85</v>
      </c>
      <c r="BD44" vm="4141">
        <f ca="1"/>
        <v>159.56</v>
      </c>
      <c r="BE44" vm="1204">
        <f ca="1"/>
        <v>159.32</v>
      </c>
      <c r="BF44" vm="2726">
        <f ca="1"/>
        <v>159.57</v>
      </c>
      <c r="BG44" vm="4242">
        <f ca="1"/>
        <v>160.62</v>
      </c>
      <c r="BH44" vm="8855">
        <f ca="1"/>
        <v>160.35</v>
      </c>
      <c r="BI44" vm="4160">
        <f ca="1"/>
        <v>161.55000000000001</v>
      </c>
      <c r="BJ44" vm="1391">
        <f ca="1"/>
        <v>161.93</v>
      </c>
      <c r="BK44" vm="2687">
        <f ca="1"/>
        <v>162.30000000000001</v>
      </c>
      <c r="BL44" vm="3913">
        <f ca="1"/>
        <v>161.5</v>
      </c>
      <c r="BM44" vm="4161">
        <f ca="1"/>
        <v>161.38</v>
      </c>
      <c r="BN44" vm="4138">
        <f ca="1"/>
        <v>161.21</v>
      </c>
      <c r="BO44" vm="8856">
        <f ca="1"/>
        <v>161.83000000000001</v>
      </c>
      <c r="BP44" vm="4266">
        <f ca="1"/>
        <v>161.99</v>
      </c>
      <c r="BQ44" vm="1215">
        <f ca="1"/>
        <v>161.86000000000001</v>
      </c>
      <c r="BR44" vm="8857">
        <f ca="1"/>
        <v>161.66</v>
      </c>
      <c r="BS44" vm="8858">
        <f ca="1"/>
        <v>160.19</v>
      </c>
      <c r="BT44" vm="8859">
        <f ca="1"/>
        <v>160.55000000000001</v>
      </c>
      <c r="BU44" vm="8860">
        <f ca="1"/>
        <v>162.61000000000001</v>
      </c>
      <c r="BV44" vm="8861">
        <f ca="1"/>
        <v>162.25</v>
      </c>
      <c r="BW44" vm="8862">
        <f ca="1"/>
        <v>160.58000000000001</v>
      </c>
      <c r="BX44" vm="8863">
        <f ca="1"/>
        <v>160.57</v>
      </c>
      <c r="BY44" vm="8864">
        <f ca="1"/>
        <v>156.15</v>
      </c>
      <c r="BZ44" vm="8865">
        <f ca="1"/>
        <v>155.44999999999999</v>
      </c>
      <c r="CA44" vm="8866">
        <f ca="1"/>
        <v>156.1</v>
      </c>
      <c r="CB44" vm="8867">
        <f ca="1"/>
        <v>156.04</v>
      </c>
      <c r="CC44" vm="8868">
        <f ca="1"/>
        <v>156.66</v>
      </c>
      <c r="CD44" vm="1197">
        <f ca="1"/>
        <v>157.24</v>
      </c>
      <c r="CE44" vm="8869">
        <f ca="1"/>
        <v>155.84</v>
      </c>
      <c r="CF44" vm="8870">
        <f ca="1"/>
        <v>155.33000000000001</v>
      </c>
      <c r="CG44" vm="8865">
        <f ca="1"/>
        <v>155.44999999999999</v>
      </c>
      <c r="CH44" vm="738">
        <f ca="1"/>
        <v>155.94999999999999</v>
      </c>
      <c r="CI44" vm="8871">
        <f ca="1"/>
        <v>156.96</v>
      </c>
      <c r="CJ44" vm="8872">
        <f ca="1"/>
        <v>157.29</v>
      </c>
      <c r="CK44" vm="870">
        <f ca="1"/>
        <v>158.13999999999999</v>
      </c>
      <c r="CL44" vm="948">
        <f ca="1"/>
        <v>160.54</v>
      </c>
      <c r="CM44" vm="3913">
        <f ca="1"/>
        <v>161.5</v>
      </c>
      <c r="CN44" vm="8873">
        <f ca="1"/>
        <v>162.6</v>
      </c>
      <c r="CO44" vm="8874">
        <f ca="1"/>
        <v>162.55000000000001</v>
      </c>
      <c r="CP44" vm="8875">
        <f ca="1"/>
        <v>161.29</v>
      </c>
      <c r="CQ44" vm="8857">
        <f ca="1"/>
        <v>161.66</v>
      </c>
      <c r="CR44" vm="8876">
        <f ca="1"/>
        <v>163.19999999999999</v>
      </c>
      <c r="CS44" vm="964">
        <f ca="1"/>
        <v>163.4</v>
      </c>
      <c r="CT44" vm="950">
        <f ca="1"/>
        <v>163.84</v>
      </c>
      <c r="CU44" vm="8877">
        <f ca="1"/>
        <v>164.46</v>
      </c>
      <c r="CV44" vm="7916">
        <f ca="1"/>
        <v>164.44</v>
      </c>
      <c r="CW44" vm="8878">
        <f ca="1"/>
        <v>165.76</v>
      </c>
      <c r="CX44" vm="8879">
        <f ca="1"/>
        <v>165.07</v>
      </c>
      <c r="CY44" vm="8880">
        <f ca="1"/>
        <v>166.04</v>
      </c>
      <c r="CZ44" vm="4003">
        <f ca="1"/>
        <v>166.85</v>
      </c>
      <c r="DA44" vm="8881">
        <f ca="1"/>
        <v>165.87</v>
      </c>
      <c r="DB44" vm="8878">
        <f ca="1"/>
        <v>165.76</v>
      </c>
      <c r="DC44" vm="7914">
        <f ca="1"/>
        <v>166.51</v>
      </c>
      <c r="DD44" vm="8882">
        <f ca="1"/>
        <v>167.86</v>
      </c>
      <c r="DE44" vm="8883">
        <f ca="1"/>
        <v>167.64</v>
      </c>
      <c r="DF44" vm="984">
        <f ca="1"/>
        <v>167.31</v>
      </c>
      <c r="DG44" vm="8884">
        <f ca="1"/>
        <v>168.35</v>
      </c>
      <c r="DH44" vm="8885">
        <f ca="1"/>
        <v>167.81</v>
      </c>
      <c r="DI44" vm="959">
        <f ca="1"/>
        <v>165.49</v>
      </c>
      <c r="DJ44" vm="8886">
        <f ca="1"/>
        <v>165.33</v>
      </c>
      <c r="DK44" vm="8887">
        <f ca="1"/>
        <v>163.11000000000001</v>
      </c>
      <c r="DL44" vm="8888">
        <f ca="1"/>
        <v>161.65</v>
      </c>
      <c r="DM44" vm="8889">
        <f ca="1"/>
        <v>162.58000000000001</v>
      </c>
      <c r="DN44" vm="8890">
        <f ca="1"/>
        <v>164.54</v>
      </c>
      <c r="DO44" vm="8891">
        <f ca="1"/>
        <v>164.65</v>
      </c>
      <c r="DP44" vm="8892">
        <f ca="1"/>
        <v>167.01</v>
      </c>
      <c r="DQ44" vm="8893">
        <f ca="1"/>
        <v>166.05</v>
      </c>
      <c r="DR44" vm="8894">
        <f ca="1"/>
        <v>168.47</v>
      </c>
      <c r="DS44" vm="1212">
        <f ca="1"/>
        <v>167.06</v>
      </c>
      <c r="DT44" vm="8895">
        <f ca="1"/>
        <v>167.35</v>
      </c>
      <c r="DU44" vm="8896">
        <f ca="1"/>
        <v>167.48</v>
      </c>
      <c r="DV44" vm="8897">
        <f ca="1"/>
        <v>165.18</v>
      </c>
      <c r="DW44" vm="8898">
        <f ca="1"/>
        <v>166.41</v>
      </c>
      <c r="DX44" vm="8899">
        <f ca="1"/>
        <v>166.79</v>
      </c>
      <c r="DY44" vm="4312">
        <f ca="1"/>
        <v>167.5</v>
      </c>
      <c r="DZ44" vm="986">
        <f ca="1"/>
        <v>168.56</v>
      </c>
      <c r="EA44" vm="8900">
        <f ca="1"/>
        <v>167.67</v>
      </c>
      <c r="EB44" vm="3993">
        <f ca="1"/>
        <v>168.26</v>
      </c>
      <c r="EC44" vm="1546">
        <f ca="1"/>
        <v>168.45</v>
      </c>
      <c r="ED44" vm="4003">
        <f ca="1"/>
        <v>166.85</v>
      </c>
      <c r="EE44" vm="8901">
        <f ca="1"/>
        <v>167.45</v>
      </c>
      <c r="EF44" vm="1119">
        <f ca="1"/>
        <v>166.62</v>
      </c>
      <c r="EG44" vm="8902">
        <f ca="1"/>
        <v>164.92</v>
      </c>
      <c r="EH44" vm="1223">
        <f ca="1"/>
        <v>162.72</v>
      </c>
      <c r="EI44" vm="684">
        <f ca="1"/>
        <v>163.9</v>
      </c>
      <c r="EJ44" vm="981">
        <f ca="1"/>
        <v>163.83000000000001</v>
      </c>
      <c r="EK44" vm="8903">
        <f ca="1"/>
        <v>165.21</v>
      </c>
      <c r="EL44" vm="8904">
        <f ca="1"/>
        <v>166.52</v>
      </c>
      <c r="EM44" vm="8905">
        <f ca="1"/>
        <v>165.66</v>
      </c>
      <c r="EN44" vm="1394">
        <f ca="1"/>
        <v>166.8</v>
      </c>
      <c r="EO44" vm="8906">
        <f ca="1"/>
        <v>165.54</v>
      </c>
      <c r="EP44" vm="4258">
        <f ca="1"/>
        <v>166.61</v>
      </c>
      <c r="EQ44" vm="8907">
        <f ca="1"/>
        <v>164.58</v>
      </c>
      <c r="ER44" vm="8908">
        <f ca="1"/>
        <v>166.95</v>
      </c>
      <c r="ES44" vm="8909">
        <f ca="1"/>
        <v>169.44</v>
      </c>
      <c r="ET44" vm="8910">
        <f ca="1"/>
        <v>168.44</v>
      </c>
      <c r="EU44" vm="8911">
        <f ca="1"/>
        <v>167.96</v>
      </c>
      <c r="EV44" vm="8912">
        <f ca="1"/>
        <v>168.25</v>
      </c>
      <c r="EW44" vm="1119">
        <f ca="1"/>
        <v>166.62</v>
      </c>
      <c r="EX44" vm="1551">
        <f ca="1"/>
        <v>168</v>
      </c>
      <c r="EY44" vm="663">
        <f ca="1"/>
        <v>166.9</v>
      </c>
      <c r="EZ44" vm="8913">
        <f ca="1"/>
        <v>169.11</v>
      </c>
      <c r="FA44" vm="8914">
        <f ca="1"/>
        <v>169.93</v>
      </c>
      <c r="FB44" vm="8915">
        <f ca="1"/>
        <v>161.69999999999999</v>
      </c>
      <c r="FC44" vm="2787">
        <f ca="1"/>
        <v>160.76</v>
      </c>
      <c r="FD44" vm="593">
        <f ca="1"/>
        <v>165.69</v>
      </c>
      <c r="FE44" vm="8916">
        <f ca="1"/>
        <v>170.08</v>
      </c>
      <c r="FF44" vm="8917">
        <f ca="1"/>
        <v>168.06</v>
      </c>
      <c r="FG44" vm="8918">
        <f ca="1"/>
        <v>168.09</v>
      </c>
      <c r="FH44" vm="6812">
        <f ca="1"/>
        <v>170.02</v>
      </c>
      <c r="FI44" vm="8919">
        <f ca="1"/>
        <v>170.87</v>
      </c>
      <c r="FJ44" vm="8920">
        <f ca="1"/>
        <v>170.54</v>
      </c>
      <c r="FK44" vm="8091">
        <f ca="1"/>
        <v>166.81</v>
      </c>
      <c r="FL44" vm="8921">
        <f ca="1"/>
        <v>167.29</v>
      </c>
      <c r="FM44" vm="8922">
        <f ca="1"/>
        <v>168.8</v>
      </c>
      <c r="FN44" vm="8923">
        <f ca="1"/>
        <v>167.92</v>
      </c>
      <c r="FO44" vm="753">
        <f ca="1"/>
        <v>167.89</v>
      </c>
      <c r="FP44" vm="575">
        <f ca="1"/>
        <v>168.42</v>
      </c>
      <c r="FQ44" vm="8924">
        <f ca="1"/>
        <v>170.41</v>
      </c>
      <c r="FR44" vm="8925">
        <f ca="1"/>
        <v>170.16</v>
      </c>
      <c r="FS44" vm="8926">
        <f ca="1"/>
        <v>170.15</v>
      </c>
      <c r="FT44" vm="8927">
        <f ca="1"/>
        <v>169.17</v>
      </c>
      <c r="FU44" vm="8928">
        <f ca="1"/>
        <v>170.35</v>
      </c>
      <c r="FV44" vm="8929">
        <f ca="1"/>
        <v>169.25</v>
      </c>
      <c r="FW44" vm="8930">
        <f ca="1"/>
        <v>169.06</v>
      </c>
      <c r="FX44" vm="1541">
        <f ca="1"/>
        <v>170.03</v>
      </c>
      <c r="FY44" vm="589">
        <f ca="1"/>
        <v>171.54</v>
      </c>
      <c r="FZ44" vm="8106">
        <f ca="1"/>
        <v>174.52</v>
      </c>
      <c r="GA44" vm="1137">
        <f ca="1"/>
        <v>175.9</v>
      </c>
      <c r="GB44" vm="8931">
        <f ca="1"/>
        <v>175.47</v>
      </c>
      <c r="GC44" vm="8932">
        <f ca="1"/>
        <v>175.59</v>
      </c>
      <c r="GD44" vm="1130">
        <f ca="1"/>
        <v>176.06</v>
      </c>
      <c r="GE44" vm="1147">
        <f ca="1"/>
        <v>177.79</v>
      </c>
      <c r="GF44" vm="4013">
        <f ca="1"/>
        <v>173.92</v>
      </c>
      <c r="GG44" vm="3997">
        <f ca="1"/>
        <v>173.47</v>
      </c>
      <c r="GH44" vm="8933">
        <f ca="1"/>
        <v>174.08</v>
      </c>
      <c r="GI44" vm="1150">
        <f ca="1"/>
        <v>177.24</v>
      </c>
      <c r="GJ44" vm="8934">
        <f ca="1"/>
        <v>175.88</v>
      </c>
      <c r="GK44" vm="4013">
        <f ca="1"/>
        <v>173.92</v>
      </c>
      <c r="GL44" vm="589">
        <f ca="1"/>
        <v>171.54</v>
      </c>
      <c r="GM44" vm="8935">
        <f ca="1"/>
        <v>174.22</v>
      </c>
      <c r="GN44" vm="8936">
        <f ca="1"/>
        <v>173.77</v>
      </c>
      <c r="GO44" vm="8937">
        <f ca="1"/>
        <v>173.24</v>
      </c>
      <c r="GP44" vm="8156">
        <f ca="1"/>
        <v>172.26</v>
      </c>
      <c r="GQ44" vm="8938">
        <f ca="1"/>
        <v>173.21</v>
      </c>
      <c r="GR44" vm="1134">
        <f ca="1"/>
        <v>173.55</v>
      </c>
      <c r="GS44" vm="8939">
        <f ca="1"/>
        <v>173.2</v>
      </c>
      <c r="GT44" vm="8940">
        <f ca="1"/>
        <v>173.04</v>
      </c>
      <c r="GU44" vm="8941">
        <f ca="1"/>
        <v>171.92</v>
      </c>
      <c r="GV44" vm="1525">
        <f ca="1"/>
        <v>170.12</v>
      </c>
      <c r="GW44" vm="8942">
        <f ca="1"/>
        <v>168.88</v>
      </c>
      <c r="GX44" vm="8943">
        <f ca="1"/>
        <v>167.12</v>
      </c>
      <c r="GY44" vm="8944">
        <f ca="1"/>
        <v>168.16</v>
      </c>
      <c r="GZ44" vm="8945">
        <f ca="1"/>
        <v>169.27</v>
      </c>
      <c r="HA44" vm="1243">
        <f ca="1"/>
        <v>168.95</v>
      </c>
      <c r="HB44" vm="8946">
        <f ca="1"/>
        <v>171.09</v>
      </c>
      <c r="HC44" vm="1128">
        <f ca="1"/>
        <v>172.51</v>
      </c>
      <c r="HD44" vm="8947">
        <f ca="1"/>
        <v>173.57</v>
      </c>
      <c r="HE44" vm="8948">
        <f ca="1"/>
        <v>172.38</v>
      </c>
      <c r="HF44" vm="1536">
        <f ca="1"/>
        <v>172.28</v>
      </c>
      <c r="HG44" vm="8949">
        <f ca="1"/>
        <v>171.28</v>
      </c>
      <c r="HH44" vm="8950">
        <f ca="1"/>
        <v>169.54</v>
      </c>
      <c r="HI44" vm="7905">
        <f ca="1"/>
        <v>169.7</v>
      </c>
      <c r="HJ44" vm="1545">
        <f ca="1"/>
        <v>169.58</v>
      </c>
      <c r="HK44" vm="8951">
        <f ca="1"/>
        <v>169.62</v>
      </c>
      <c r="HL44" vm="8952">
        <f ca="1"/>
        <v>168.22</v>
      </c>
      <c r="HM44" vm="1557">
        <f ca="1"/>
        <v>169.3</v>
      </c>
      <c r="HN44" vm="8953">
        <f ca="1"/>
        <v>167.17</v>
      </c>
      <c r="HO44" vm="1192">
        <f ca="1"/>
        <v>166.16</v>
      </c>
      <c r="HP44" vm="8897">
        <f ca="1"/>
        <v>165.18</v>
      </c>
      <c r="HQ44" vm="8954">
        <f ca="1"/>
        <v>165.1</v>
      </c>
      <c r="HR44" vm="8955">
        <f ca="1"/>
        <v>165.08</v>
      </c>
      <c r="HS44" vm="8878">
        <f ca="1"/>
        <v>165.76</v>
      </c>
      <c r="HT44" vm="8956">
        <f ca="1"/>
        <v>161.05000000000001</v>
      </c>
      <c r="HU44" vm="8957">
        <f ca="1"/>
        <v>163.41</v>
      </c>
      <c r="HV44" vm="6793">
        <f ca="1"/>
        <v>167.71</v>
      </c>
      <c r="HW44" vm="8958">
        <f ca="1"/>
        <v>166.03</v>
      </c>
      <c r="HX44" vm="1554">
        <f ca="1"/>
        <v>165.84</v>
      </c>
      <c r="HY44" vm="7911">
        <f ca="1"/>
        <v>166.58</v>
      </c>
      <c r="HZ44" vm="1293">
        <f ca="1"/>
        <v>167.08</v>
      </c>
      <c r="IA44" vm="8950">
        <f ca="1"/>
        <v>169.54</v>
      </c>
      <c r="IB44" vm="8959">
        <f ca="1"/>
        <v>170.75</v>
      </c>
      <c r="IC44" vm="1176">
        <f ca="1"/>
        <v>170.76</v>
      </c>
      <c r="ID44" vm="3999">
        <f ca="1"/>
        <v>170.89</v>
      </c>
      <c r="IE44" vm="1528">
        <f ca="1"/>
        <v>172.75</v>
      </c>
      <c r="IF44" vm="8960">
        <f ca="1"/>
        <v>176.28</v>
      </c>
      <c r="IG44" vm="8961">
        <f ca="1"/>
        <v>177.39</v>
      </c>
      <c r="IH44" vm="8962">
        <f ca="1"/>
        <v>179.31</v>
      </c>
      <c r="II44" vm="8963">
        <f ca="1"/>
        <v>179.36</v>
      </c>
      <c r="IJ44" vm="8964">
        <f ca="1"/>
        <v>179.26</v>
      </c>
      <c r="IK44" vm="3940">
        <f ca="1"/>
        <v>179.7</v>
      </c>
      <c r="IL44" vm="8965">
        <f ca="1"/>
        <v>175.42</v>
      </c>
      <c r="IM44" vm="8966">
        <f ca="1"/>
        <v>175.11</v>
      </c>
      <c r="IN44" vm="4336">
        <f ca="1"/>
        <v>176.03</v>
      </c>
      <c r="IO44" vm="8967">
        <f ca="1"/>
        <v>173.82</v>
      </c>
      <c r="IP44" vm="8968">
        <f ca="1"/>
        <v>170.79</v>
      </c>
      <c r="IQ44" vm="1536">
        <f ca="1"/>
        <v>172.28</v>
      </c>
    </row>
    <row r="45" spans="1:251">
      <c r="A45" cm="1" vm="8969">
        <f t="array" aca="1" ref="A45:IQ45" ca="1">TRANSPOSE(_xlfn.STOCKHISTORY(Table3[[#This Row],[Stock Name ]],TODAY()-365,TODAY(),0,0,1))</f>
        <v>91.07</v>
      </c>
      <c r="B45" vm="5811">
        <f ca="1"/>
        <v>92.83</v>
      </c>
      <c r="C45" vm="6283">
        <f ca="1"/>
        <v>93.94</v>
      </c>
      <c r="D45" vm="7678">
        <f ca="1"/>
        <v>93.46</v>
      </c>
      <c r="E45" vm="8970">
        <f ca="1"/>
        <v>92.86</v>
      </c>
      <c r="F45" vm="8971">
        <f ca="1"/>
        <v>93.93</v>
      </c>
      <c r="G45" vm="8972">
        <f ca="1"/>
        <v>91.27</v>
      </c>
      <c r="H45" vm="8973">
        <f ca="1"/>
        <v>92.02</v>
      </c>
      <c r="I45" vm="8974">
        <f ca="1"/>
        <v>91.02</v>
      </c>
      <c r="J45" vm="6268">
        <f ca="1"/>
        <v>90.95</v>
      </c>
      <c r="K45" vm="8975">
        <f ca="1"/>
        <v>90.38</v>
      </c>
      <c r="L45" vm="8976">
        <f ca="1"/>
        <v>90.4</v>
      </c>
      <c r="M45" vm="8977">
        <f ca="1"/>
        <v>90.29</v>
      </c>
      <c r="N45" vm="7695">
        <f ca="1"/>
        <v>90.71</v>
      </c>
      <c r="O45" vm="5799">
        <f ca="1"/>
        <v>91.65</v>
      </c>
      <c r="P45" vm="8978">
        <f ca="1"/>
        <v>90.56</v>
      </c>
      <c r="Q45" vm="8979">
        <f ca="1"/>
        <v>90.9</v>
      </c>
      <c r="R45" vm="8980">
        <f ca="1"/>
        <v>91.55</v>
      </c>
      <c r="S45" vm="8981">
        <f ca="1"/>
        <v>89.67</v>
      </c>
      <c r="T45" vm="8982">
        <f ca="1"/>
        <v>89.29</v>
      </c>
      <c r="U45" vm="8983">
        <f ca="1"/>
        <v>89.45</v>
      </c>
      <c r="V45" vm="8984">
        <f ca="1"/>
        <v>90.35</v>
      </c>
      <c r="W45" vm="8985">
        <f ca="1"/>
        <v>93.05</v>
      </c>
      <c r="X45" vm="6286">
        <f ca="1"/>
        <v>90.34</v>
      </c>
      <c r="Y45" vm="7789">
        <f ca="1"/>
        <v>92.21</v>
      </c>
      <c r="Z45" vm="8986">
        <f ca="1"/>
        <v>93.06</v>
      </c>
      <c r="AA45" vm="8987">
        <f ca="1"/>
        <v>95.08</v>
      </c>
      <c r="AB45" vm="8988">
        <f ca="1"/>
        <v>93.77</v>
      </c>
      <c r="AC45" vm="5790">
        <f ca="1"/>
        <v>93.5</v>
      </c>
      <c r="AD45" vm="7783">
        <f ca="1"/>
        <v>94.86</v>
      </c>
      <c r="AE45" vm="8989">
        <f ca="1"/>
        <v>95.36</v>
      </c>
      <c r="AF45" vm="7802">
        <f ca="1"/>
        <v>97.49</v>
      </c>
      <c r="AG45" vm="8990">
        <f ca="1"/>
        <v>96.94</v>
      </c>
      <c r="AH45" vm="7797">
        <f ca="1"/>
        <v>96.05</v>
      </c>
      <c r="AI45" vm="8991">
        <f ca="1"/>
        <v>97.06</v>
      </c>
      <c r="AJ45" vm="8992">
        <f ca="1"/>
        <v>97.13</v>
      </c>
      <c r="AK45" vm="8993">
        <f ca="1"/>
        <v>96.65</v>
      </c>
      <c r="AL45" vm="8994">
        <f ca="1"/>
        <v>99.29</v>
      </c>
      <c r="AM45" vm="8995">
        <f ca="1"/>
        <v>99.14</v>
      </c>
      <c r="AN45" vm="8996">
        <f ca="1"/>
        <v>110.54</v>
      </c>
      <c r="AO45" vm="8997">
        <f ca="1"/>
        <v>108.39</v>
      </c>
      <c r="AP45" vm="8998">
        <f ca="1"/>
        <v>109.29</v>
      </c>
      <c r="AQ45" vm="5919">
        <f ca="1"/>
        <v>110.46</v>
      </c>
      <c r="AR45" vm="8999">
        <f ca="1"/>
        <v>111.56</v>
      </c>
      <c r="AS45" vm="9000">
        <f ca="1"/>
        <v>112.45</v>
      </c>
      <c r="AT45" vm="9001">
        <f ca="1"/>
        <v>111.6</v>
      </c>
      <c r="AU45" vm="9002">
        <f ca="1"/>
        <v>109.44</v>
      </c>
      <c r="AV45" vm="9003">
        <f ca="1"/>
        <v>107.67</v>
      </c>
      <c r="AW45" vm="5915">
        <f ca="1"/>
        <v>107.64</v>
      </c>
      <c r="AX45" vm="9004">
        <f ca="1"/>
        <v>107.74</v>
      </c>
      <c r="AY45" vm="7292">
        <f ca="1"/>
        <v>107.68</v>
      </c>
      <c r="AZ45" vm="9005">
        <f ca="1"/>
        <v>109.42</v>
      </c>
      <c r="BA45" vm="9006">
        <f ca="1"/>
        <v>110.8</v>
      </c>
      <c r="BB45" vm="7308">
        <f ca="1"/>
        <v>111.58</v>
      </c>
      <c r="BC45" vm="6678">
        <f ca="1"/>
        <v>111.95</v>
      </c>
      <c r="BD45" vm="9007">
        <f ca="1"/>
        <v>113.69</v>
      </c>
      <c r="BE45" vm="9008">
        <f ca="1"/>
        <v>112.87</v>
      </c>
      <c r="BF45" vm="9009">
        <f ca="1"/>
        <v>110.06</v>
      </c>
      <c r="BG45" vm="9010">
        <f ca="1"/>
        <v>110.18</v>
      </c>
      <c r="BH45" vm="9011">
        <f ca="1"/>
        <v>110.32</v>
      </c>
      <c r="BI45" vm="7320">
        <f ca="1"/>
        <v>112.31</v>
      </c>
      <c r="BJ45" vm="9012">
        <f ca="1"/>
        <v>112.46</v>
      </c>
      <c r="BK45" vm="9013">
        <f ca="1"/>
        <v>112.5</v>
      </c>
      <c r="BL45" vm="9014">
        <f ca="1"/>
        <v>112.06</v>
      </c>
      <c r="BM45" vm="6678">
        <f ca="1"/>
        <v>111.95</v>
      </c>
      <c r="BN45" vm="3630">
        <f ca="1"/>
        <v>113.85</v>
      </c>
      <c r="BO45" vm="9015">
        <f ca="1"/>
        <v>114.51</v>
      </c>
      <c r="BP45" vm="9016">
        <f ca="1"/>
        <v>116.46</v>
      </c>
      <c r="BQ45" vm="9017">
        <f ca="1"/>
        <v>116.7</v>
      </c>
      <c r="BR45" vm="7388">
        <f ca="1"/>
        <v>115.87</v>
      </c>
      <c r="BS45" vm="9018">
        <f ca="1"/>
        <v>119.36</v>
      </c>
      <c r="BT45" vm="3652">
        <f ca="1"/>
        <v>119.93</v>
      </c>
      <c r="BU45" vm="9019">
        <f ca="1"/>
        <v>120.98</v>
      </c>
      <c r="BV45" vm="9020">
        <f ca="1"/>
        <v>122.36</v>
      </c>
      <c r="BW45" vm="9021">
        <f ca="1"/>
        <v>121.53</v>
      </c>
      <c r="BX45" vm="9022">
        <f ca="1"/>
        <v>122.82</v>
      </c>
      <c r="BY45" vm="9023">
        <f ca="1"/>
        <v>118.98</v>
      </c>
      <c r="BZ45" vm="6730">
        <f ca="1"/>
        <v>117.09</v>
      </c>
      <c r="CA45" vm="9024">
        <f ca="1"/>
        <v>118.38</v>
      </c>
      <c r="CB45" vm="9025">
        <f ca="1"/>
        <v>117.35</v>
      </c>
      <c r="CC45" vm="3687">
        <f ca="1"/>
        <v>117.97</v>
      </c>
      <c r="CD45" vm="6731">
        <f ca="1"/>
        <v>117.19</v>
      </c>
      <c r="CE45" vm="9026">
        <f ca="1"/>
        <v>117.15</v>
      </c>
      <c r="CF45" vm="9027">
        <f ca="1"/>
        <v>114.01</v>
      </c>
      <c r="CG45" vm="9028">
        <f ca="1"/>
        <v>112.95</v>
      </c>
      <c r="CH45" vm="9029">
        <f ca="1"/>
        <v>113.88</v>
      </c>
      <c r="CI45" vm="7389">
        <f ca="1"/>
        <v>112.94</v>
      </c>
      <c r="CJ45" vm="9030">
        <f ca="1"/>
        <v>112.43</v>
      </c>
      <c r="CK45" vm="9031">
        <f ca="1"/>
        <v>112.61</v>
      </c>
      <c r="CL45" vm="9032">
        <f ca="1"/>
        <v>111.99</v>
      </c>
      <c r="CM45" vm="9033">
        <f ca="1"/>
        <v>113.71</v>
      </c>
      <c r="CN45" vm="9034">
        <f ca="1"/>
        <v>113.92</v>
      </c>
      <c r="CO45" vm="9035">
        <f ca="1"/>
        <v>112.77</v>
      </c>
      <c r="CP45" vm="9036">
        <f ca="1"/>
        <v>112.73</v>
      </c>
      <c r="CQ45" vm="9037">
        <f ca="1"/>
        <v>112.08</v>
      </c>
      <c r="CR45" vm="9038">
        <f ca="1"/>
        <v>111.1</v>
      </c>
      <c r="CS45" vm="9039">
        <f ca="1"/>
        <v>110.48</v>
      </c>
      <c r="CT45" vm="9040">
        <f ca="1"/>
        <v>112.62</v>
      </c>
      <c r="CU45" vm="9041">
        <f ca="1"/>
        <v>113.66</v>
      </c>
      <c r="CV45" vm="9042">
        <f ca="1"/>
        <v>116.47</v>
      </c>
      <c r="CW45" vm="9043">
        <f ca="1"/>
        <v>105.39</v>
      </c>
      <c r="CX45" vm="9044">
        <f ca="1"/>
        <v>105.44</v>
      </c>
      <c r="CY45" vm="9045">
        <f ca="1"/>
        <v>105.8</v>
      </c>
      <c r="CZ45" vm="9046">
        <f ca="1"/>
        <v>105.79</v>
      </c>
      <c r="DA45" vm="9047">
        <f ca="1"/>
        <v>105.83</v>
      </c>
      <c r="DB45" vm="9048">
        <f ca="1"/>
        <v>105.35</v>
      </c>
      <c r="DC45" vm="9049">
        <f ca="1"/>
        <v>102.77</v>
      </c>
      <c r="DD45" vm="9050">
        <f ca="1"/>
        <v>103.37</v>
      </c>
      <c r="DE45" vm="9051">
        <f ca="1"/>
        <v>103.25</v>
      </c>
      <c r="DF45" vm="9052">
        <f ca="1"/>
        <v>102.9</v>
      </c>
      <c r="DG45" vm="9053">
        <f ca="1"/>
        <v>103.01</v>
      </c>
      <c r="DH45" vm="9054">
        <f ca="1"/>
        <v>103.02</v>
      </c>
      <c r="DI45" vm="9055">
        <f ca="1"/>
        <v>100.66</v>
      </c>
      <c r="DJ45" vm="5873">
        <f ca="1"/>
        <v>101.76</v>
      </c>
      <c r="DK45" vm="5866">
        <f ca="1"/>
        <v>102.44</v>
      </c>
      <c r="DL45" vm="9056">
        <f ca="1"/>
        <v>100.88</v>
      </c>
      <c r="DM45" vm="9057">
        <f ca="1"/>
        <v>101.7</v>
      </c>
      <c r="DN45" vm="9058">
        <f ca="1"/>
        <v>103.91</v>
      </c>
      <c r="DO45" vm="9049">
        <f ca="1"/>
        <v>102.77</v>
      </c>
      <c r="DP45" vm="9059">
        <f ca="1"/>
        <v>103.33</v>
      </c>
      <c r="DQ45" vm="9060">
        <f ca="1"/>
        <v>101.5</v>
      </c>
      <c r="DR45" vm="9061">
        <f ca="1"/>
        <v>101.21</v>
      </c>
      <c r="DS45" vm="9062">
        <f ca="1"/>
        <v>101.54</v>
      </c>
      <c r="DT45" vm="6220">
        <f ca="1"/>
        <v>102.74</v>
      </c>
      <c r="DU45" vm="9063">
        <f ca="1"/>
        <v>100.87</v>
      </c>
      <c r="DV45" vm="9064">
        <f ca="1"/>
        <v>100.8</v>
      </c>
      <c r="DW45" vm="5902">
        <f ca="1"/>
        <v>100.09</v>
      </c>
      <c r="DX45" vm="9065">
        <f ca="1"/>
        <v>99.97</v>
      </c>
      <c r="DY45" vm="9066">
        <f ca="1"/>
        <v>101.52</v>
      </c>
      <c r="DZ45" vm="9060">
        <f ca="1"/>
        <v>101.5</v>
      </c>
      <c r="EA45" vm="7837">
        <f ca="1"/>
        <v>101.84</v>
      </c>
      <c r="EB45" vm="9067">
        <f ca="1"/>
        <v>102.27</v>
      </c>
      <c r="EC45" vm="9068">
        <f ca="1"/>
        <v>101.98</v>
      </c>
      <c r="ED45" vm="5891">
        <f ca="1"/>
        <v>102.2</v>
      </c>
      <c r="EE45" vm="9069">
        <f ca="1"/>
        <v>102.18</v>
      </c>
      <c r="EF45" vm="9070">
        <f ca="1"/>
        <v>102.17</v>
      </c>
      <c r="EG45" vm="8994">
        <f ca="1"/>
        <v>99.29</v>
      </c>
      <c r="EH45" vm="9071">
        <f ca="1"/>
        <v>98.04</v>
      </c>
      <c r="EI45" vm="9072">
        <f ca="1"/>
        <v>97.99</v>
      </c>
      <c r="EJ45" vm="9073">
        <f ca="1"/>
        <v>98.61</v>
      </c>
      <c r="EK45" vm="9072">
        <f ca="1"/>
        <v>97.99</v>
      </c>
      <c r="EL45" vm="9074">
        <f ca="1"/>
        <v>97.37</v>
      </c>
      <c r="EM45" vm="9075">
        <f ca="1"/>
        <v>97.05</v>
      </c>
      <c r="EN45" vm="9076">
        <f ca="1"/>
        <v>96.97</v>
      </c>
      <c r="EO45" vm="9077">
        <f ca="1"/>
        <v>96.6</v>
      </c>
      <c r="EP45" vm="8992">
        <f ca="1"/>
        <v>97.13</v>
      </c>
      <c r="EQ45" vm="9078">
        <f ca="1"/>
        <v>96.87</v>
      </c>
      <c r="ER45" vm="9079">
        <f ca="1"/>
        <v>98.47</v>
      </c>
      <c r="ES45" vm="7819">
        <f ca="1"/>
        <v>97.31</v>
      </c>
      <c r="ET45" vm="9080">
        <f ca="1"/>
        <v>96.79</v>
      </c>
      <c r="EU45" vm="6278">
        <f ca="1"/>
        <v>95.74</v>
      </c>
      <c r="EV45" vm="6266">
        <f ca="1"/>
        <v>94.13</v>
      </c>
      <c r="EW45" vm="6290">
        <f ca="1"/>
        <v>90.94</v>
      </c>
      <c r="EX45" vm="9081">
        <f ca="1"/>
        <v>89.8</v>
      </c>
      <c r="EY45" vm="9082">
        <f ca="1"/>
        <v>89.21</v>
      </c>
      <c r="EZ45" vm="9083">
        <f ca="1"/>
        <v>89.93</v>
      </c>
      <c r="FA45" vm="6509">
        <f ca="1"/>
        <v>92.14</v>
      </c>
      <c r="FB45" vm="9084">
        <f ca="1"/>
        <v>93.79</v>
      </c>
      <c r="FC45" vm="9085">
        <f ca="1"/>
        <v>93.69</v>
      </c>
      <c r="FD45" vm="8985">
        <f ca="1"/>
        <v>93.05</v>
      </c>
      <c r="FE45" vm="9086">
        <f ca="1"/>
        <v>89.57</v>
      </c>
      <c r="FF45" vm="9087">
        <f ca="1"/>
        <v>87.78</v>
      </c>
      <c r="FG45" vm="9088">
        <f ca="1"/>
        <v>89.97</v>
      </c>
      <c r="FH45" vm="9089">
        <f ca="1"/>
        <v>85.96</v>
      </c>
      <c r="FI45" vm="9089">
        <f ca="1"/>
        <v>85.96</v>
      </c>
      <c r="FJ45" vm="7710">
        <f ca="1"/>
        <v>86.21</v>
      </c>
      <c r="FK45" vm="7705">
        <f ca="1"/>
        <v>85.95</v>
      </c>
      <c r="FL45" vm="9090">
        <f ca="1"/>
        <v>85.6</v>
      </c>
      <c r="FM45" vm="9091">
        <f ca="1"/>
        <v>86.3</v>
      </c>
      <c r="FN45" vm="9092">
        <f ca="1"/>
        <v>88.79</v>
      </c>
      <c r="FO45" vm="7701">
        <f ca="1"/>
        <v>89.3</v>
      </c>
      <c r="FP45" vm="9093">
        <f ca="1"/>
        <v>90.82</v>
      </c>
      <c r="FQ45" vm="9094">
        <f ca="1"/>
        <v>89.74</v>
      </c>
      <c r="FR45" vm="9095">
        <f ca="1"/>
        <v>90.72</v>
      </c>
      <c r="FS45" vm="9096">
        <f ca="1"/>
        <v>89.92</v>
      </c>
      <c r="FT45" vm="8978">
        <f ca="1"/>
        <v>90.56</v>
      </c>
      <c r="FU45" vm="9097">
        <f ca="1"/>
        <v>91.78</v>
      </c>
      <c r="FV45" vm="8979">
        <f ca="1"/>
        <v>90.9</v>
      </c>
      <c r="FW45" vm="9098">
        <f ca="1"/>
        <v>89.49</v>
      </c>
      <c r="FX45" vm="9099">
        <f ca="1"/>
        <v>89.81</v>
      </c>
      <c r="FY45" vm="8975">
        <f ca="1"/>
        <v>90.38</v>
      </c>
      <c r="FZ45" vm="5775">
        <f ca="1"/>
        <v>89.13</v>
      </c>
      <c r="GA45" vm="9100">
        <f ca="1"/>
        <v>89.25</v>
      </c>
      <c r="GB45" vm="9101">
        <f ca="1"/>
        <v>88.65</v>
      </c>
      <c r="GC45" vm="9102">
        <f ca="1"/>
        <v>87.94</v>
      </c>
      <c r="GD45" vm="9103">
        <f ca="1"/>
        <v>88.34</v>
      </c>
      <c r="GE45" vm="6372">
        <f ca="1"/>
        <v>88.4</v>
      </c>
      <c r="GF45" vm="9104">
        <f ca="1"/>
        <v>88.32</v>
      </c>
      <c r="GG45" vm="7701">
        <f ca="1"/>
        <v>89.3</v>
      </c>
      <c r="GH45" vm="9105">
        <f ca="1"/>
        <v>90.55</v>
      </c>
      <c r="GI45" vm="9106">
        <f ca="1"/>
        <v>91.85</v>
      </c>
      <c r="GJ45" vm="8970">
        <f ca="1"/>
        <v>92.86</v>
      </c>
      <c r="GK45" vm="9107">
        <f ca="1"/>
        <v>93.58</v>
      </c>
      <c r="GL45" vm="6300">
        <f ca="1"/>
        <v>93.45</v>
      </c>
      <c r="GM45" vm="6264">
        <f ca="1"/>
        <v>93.75</v>
      </c>
      <c r="GN45" vm="5876">
        <f ca="1"/>
        <v>92.97</v>
      </c>
      <c r="GO45" vm="9085">
        <f ca="1"/>
        <v>93.69</v>
      </c>
      <c r="GP45" vm="9108">
        <f ca="1"/>
        <v>93.92</v>
      </c>
      <c r="GQ45" vm="9109">
        <f ca="1"/>
        <v>95.2</v>
      </c>
      <c r="GR45" vm="7654">
        <f ca="1"/>
        <v>96.01</v>
      </c>
      <c r="GS45" vm="9110">
        <f ca="1"/>
        <v>96.19</v>
      </c>
      <c r="GT45" vm="9111">
        <f ca="1"/>
        <v>94.05</v>
      </c>
      <c r="GU45" vm="9112">
        <f ca="1"/>
        <v>94.15</v>
      </c>
      <c r="GV45" vm="9113">
        <f ca="1"/>
        <v>93.63</v>
      </c>
      <c r="GW45" vm="9114">
        <f ca="1"/>
        <v>95.15</v>
      </c>
      <c r="GX45" vm="9115">
        <f ca="1"/>
        <v>92.39</v>
      </c>
      <c r="GY45" vm="7671">
        <f ca="1"/>
        <v>92.51</v>
      </c>
      <c r="GZ45" vm="9116">
        <f ca="1"/>
        <v>93.6</v>
      </c>
      <c r="HA45" vm="7658">
        <f ca="1"/>
        <v>92.99</v>
      </c>
      <c r="HB45" vm="6266">
        <f ca="1"/>
        <v>94.13</v>
      </c>
      <c r="HC45" vm="9117">
        <f ca="1"/>
        <v>94.97</v>
      </c>
      <c r="HD45" vm="9118">
        <f ca="1"/>
        <v>94.22</v>
      </c>
      <c r="HE45" vm="7645">
        <f ca="1"/>
        <v>96.75</v>
      </c>
      <c r="HF45" vm="9119">
        <f ca="1"/>
        <v>96.54</v>
      </c>
      <c r="HG45" vm="9120">
        <f ca="1"/>
        <v>97.28</v>
      </c>
      <c r="HH45" vm="5899">
        <f ca="1"/>
        <v>96.62</v>
      </c>
      <c r="HI45" vm="9121">
        <f ca="1"/>
        <v>96.74</v>
      </c>
      <c r="HJ45" vm="9122">
        <f ca="1"/>
        <v>96.24</v>
      </c>
      <c r="HK45" vm="9123">
        <f ca="1"/>
        <v>95.4</v>
      </c>
      <c r="HL45" vm="9124">
        <f ca="1"/>
        <v>95.03</v>
      </c>
      <c r="HM45" vm="9125">
        <f ca="1"/>
        <v>96.2</v>
      </c>
      <c r="HN45" vm="9126">
        <f ca="1"/>
        <v>96.13</v>
      </c>
      <c r="HO45" vm="8987">
        <f ca="1"/>
        <v>95.08</v>
      </c>
      <c r="HP45" vm="9125">
        <f ca="1"/>
        <v>96.2</v>
      </c>
      <c r="HQ45" vm="9127">
        <f ca="1"/>
        <v>95.81</v>
      </c>
      <c r="HR45" vm="5817">
        <f ca="1"/>
        <v>95.79</v>
      </c>
      <c r="HS45" vm="9128">
        <f ca="1"/>
        <v>96.63</v>
      </c>
      <c r="HT45" vm="9129">
        <f ca="1"/>
        <v>98.89</v>
      </c>
      <c r="HU45" vm="9130">
        <f ca="1"/>
        <v>98.93</v>
      </c>
      <c r="HV45" vm="9131">
        <f ca="1"/>
        <v>99.02</v>
      </c>
      <c r="HW45" vm="9132">
        <f ca="1"/>
        <v>100.86</v>
      </c>
      <c r="HX45" vm="9133">
        <f ca="1"/>
        <v>100.99</v>
      </c>
      <c r="HY45" vm="9134">
        <f ca="1"/>
        <v>102.72</v>
      </c>
      <c r="HZ45" vm="9135">
        <f ca="1"/>
        <v>109.12</v>
      </c>
      <c r="IA45" vm="9136">
        <f ca="1"/>
        <v>115.08</v>
      </c>
      <c r="IB45" vm="9137">
        <f ca="1"/>
        <v>113.54</v>
      </c>
      <c r="IC45" vm="6685">
        <f ca="1"/>
        <v>112.42</v>
      </c>
      <c r="ID45" vm="6672">
        <f ca="1"/>
        <v>114.26</v>
      </c>
      <c r="IE45" vm="9138">
        <f ca="1"/>
        <v>114.72</v>
      </c>
      <c r="IF45" vm="9139">
        <f ca="1"/>
        <v>115.65</v>
      </c>
      <c r="IG45" vm="3558">
        <f ca="1"/>
        <v>116</v>
      </c>
      <c r="IH45" vm="9140">
        <f ca="1"/>
        <v>115.45</v>
      </c>
      <c r="II45" vm="9141">
        <f ca="1"/>
        <v>117.6</v>
      </c>
      <c r="IJ45" vm="9142">
        <f ca="1"/>
        <v>117.47</v>
      </c>
      <c r="IK45" vm="9143">
        <f ca="1"/>
        <v>117.16</v>
      </c>
      <c r="IL45" vm="9144">
        <f ca="1"/>
        <v>116.45</v>
      </c>
      <c r="IM45" vm="3535">
        <f ca="1"/>
        <v>116.99</v>
      </c>
      <c r="IN45" vm="9145">
        <f ca="1"/>
        <v>116.5</v>
      </c>
      <c r="IO45" vm="9146">
        <f ca="1"/>
        <v>116.73</v>
      </c>
      <c r="IP45" vm="9147">
        <f ca="1"/>
        <v>114.61</v>
      </c>
      <c r="IQ45" vm="3631">
        <f ca="1"/>
        <v>114.73</v>
      </c>
    </row>
    <row r="46" spans="1:251">
      <c r="A46" cm="1" vm="9148">
        <f t="array" aca="1" ref="A46:IQ46" ca="1">TRANSPOSE(_xlfn.STOCKHISTORY(Table3[[#This Row],[Stock Name ]],TODAY()-365,TODAY(),0,0,1))</f>
        <v>40.450000000000003</v>
      </c>
      <c r="B46" vm="9149">
        <f ca="1"/>
        <v>42.49</v>
      </c>
      <c r="C46" vm="9150">
        <f ca="1"/>
        <v>45.33</v>
      </c>
      <c r="D46" vm="9151">
        <f ca="1"/>
        <v>45.01</v>
      </c>
      <c r="E46" vm="3728">
        <f ca="1"/>
        <v>44.05</v>
      </c>
      <c r="F46" vm="9152">
        <f ca="1"/>
        <v>44.21</v>
      </c>
      <c r="G46" vm="9153">
        <f ca="1"/>
        <v>42.46</v>
      </c>
      <c r="H46" vm="3724">
        <f ca="1"/>
        <v>43.31</v>
      </c>
      <c r="I46" vm="3729">
        <f ca="1"/>
        <v>43.51</v>
      </c>
      <c r="J46" vm="9154">
        <f ca="1"/>
        <v>44.07</v>
      </c>
      <c r="K46" vm="3754">
        <f ca="1"/>
        <v>43.94</v>
      </c>
      <c r="L46" vm="9155">
        <f ca="1"/>
        <v>43.63</v>
      </c>
      <c r="M46" vm="9156">
        <f ca="1"/>
        <v>43.28</v>
      </c>
      <c r="N46" vm="9157">
        <f ca="1"/>
        <v>43.91</v>
      </c>
      <c r="O46" vm="3744">
        <f ca="1"/>
        <v>42.75</v>
      </c>
      <c r="P46" vm="9158">
        <f ca="1"/>
        <v>43.21</v>
      </c>
      <c r="Q46" vm="9159">
        <f ca="1"/>
        <v>43.81</v>
      </c>
      <c r="R46" vm="9160">
        <f ca="1"/>
        <v>43.96</v>
      </c>
      <c r="S46" vm="9161">
        <f ca="1"/>
        <v>43.46</v>
      </c>
      <c r="T46" vm="9162">
        <f ca="1"/>
        <v>43.4</v>
      </c>
      <c r="U46" vm="9163">
        <f ca="1"/>
        <v>42.82</v>
      </c>
      <c r="V46" vm="9164">
        <f ca="1"/>
        <v>42.15</v>
      </c>
      <c r="W46" vm="9165">
        <f ca="1"/>
        <v>41.38</v>
      </c>
      <c r="X46" vm="9166">
        <f ca="1"/>
        <v>40.82</v>
      </c>
      <c r="Y46" vm="9167">
        <f ca="1"/>
        <v>40.15</v>
      </c>
      <c r="Z46" vm="9168">
        <f ca="1"/>
        <v>42.01</v>
      </c>
      <c r="AA46" vm="9169">
        <f ca="1"/>
        <v>41.78</v>
      </c>
      <c r="AB46" vm="9170">
        <f ca="1"/>
        <v>41.97</v>
      </c>
      <c r="AC46" vm="9171">
        <f ca="1"/>
        <v>42.48</v>
      </c>
      <c r="AD46" vm="9172">
        <f ca="1"/>
        <v>42.81</v>
      </c>
      <c r="AE46" vm="3745">
        <f ca="1"/>
        <v>42.64</v>
      </c>
      <c r="AF46" vm="9173">
        <f ca="1"/>
        <v>42.95</v>
      </c>
      <c r="AG46" vm="9174">
        <f ca="1"/>
        <v>43.34</v>
      </c>
      <c r="AH46" vm="9175">
        <f ca="1"/>
        <v>41.54</v>
      </c>
      <c r="AI46" vm="9176">
        <f ca="1"/>
        <v>40.89</v>
      </c>
      <c r="AJ46" vm="9177">
        <f ca="1"/>
        <v>40.840000000000003</v>
      </c>
      <c r="AK46" vm="9178">
        <f ca="1"/>
        <v>40.1</v>
      </c>
      <c r="AL46" vm="9178">
        <f ca="1"/>
        <v>40.1</v>
      </c>
      <c r="AM46" vm="9179">
        <f ca="1"/>
        <v>39.909999999999997</v>
      </c>
      <c r="AN46" vm="9180">
        <f ca="1"/>
        <v>40.369999999999997</v>
      </c>
      <c r="AO46" vm="9181">
        <f ca="1"/>
        <v>40.18</v>
      </c>
      <c r="AP46" vm="9182">
        <f ca="1"/>
        <v>41.07</v>
      </c>
      <c r="AQ46" vm="2090">
        <f ca="1"/>
        <v>39.93</v>
      </c>
      <c r="AR46" vm="2072">
        <f ca="1"/>
        <v>40.5</v>
      </c>
      <c r="AS46" vm="9183">
        <f ca="1"/>
        <v>41.55</v>
      </c>
      <c r="AT46" vm="9184">
        <f ca="1"/>
        <v>41.49</v>
      </c>
      <c r="AU46" vm="9185">
        <f ca="1"/>
        <v>41.14</v>
      </c>
      <c r="AV46" vm="9166">
        <f ca="1"/>
        <v>40.82</v>
      </c>
      <c r="AW46" vm="9186">
        <f ca="1"/>
        <v>41.35</v>
      </c>
      <c r="AX46" vm="9187">
        <f ca="1"/>
        <v>41.36</v>
      </c>
      <c r="AY46" vm="9177">
        <f ca="1"/>
        <v>40.840000000000003</v>
      </c>
      <c r="AZ46" vm="9188">
        <f ca="1"/>
        <v>41.37</v>
      </c>
      <c r="BA46" vm="9189">
        <f ca="1"/>
        <v>41.22</v>
      </c>
      <c r="BB46" vm="9190">
        <f ca="1"/>
        <v>41.96</v>
      </c>
      <c r="BC46" vm="2041">
        <f ca="1"/>
        <v>41.42</v>
      </c>
      <c r="BD46" vm="9191">
        <f ca="1"/>
        <v>42.7</v>
      </c>
      <c r="BE46" vm="9192">
        <f ca="1"/>
        <v>43.25</v>
      </c>
      <c r="BF46" vm="9193">
        <f ca="1"/>
        <v>43.09</v>
      </c>
      <c r="BG46" vm="9174">
        <f ca="1"/>
        <v>43.34</v>
      </c>
      <c r="BH46" vm="9194">
        <f ca="1"/>
        <v>43.26</v>
      </c>
      <c r="BI46" vm="9195">
        <f ca="1"/>
        <v>43.52</v>
      </c>
      <c r="BJ46" vm="9158">
        <f ca="1"/>
        <v>43.21</v>
      </c>
      <c r="BK46" vm="3731">
        <f ca="1"/>
        <v>43.47</v>
      </c>
      <c r="BL46" vm="9196">
        <f ca="1"/>
        <v>42.35</v>
      </c>
      <c r="BM46" vm="9197">
        <f ca="1"/>
        <v>42.08</v>
      </c>
      <c r="BN46" vm="9198">
        <f ca="1"/>
        <v>42.47</v>
      </c>
      <c r="BO46" vm="9199">
        <f ca="1"/>
        <v>42.22</v>
      </c>
      <c r="BP46" vm="9161">
        <f ca="1"/>
        <v>43.46</v>
      </c>
      <c r="BQ46" vm="9200">
        <f ca="1"/>
        <v>44.45</v>
      </c>
      <c r="BR46" vm="9201">
        <f ca="1"/>
        <v>43.59</v>
      </c>
      <c r="BS46" vm="9202">
        <f ca="1"/>
        <v>43.55</v>
      </c>
      <c r="BT46" vm="9203">
        <f ca="1"/>
        <v>43.53</v>
      </c>
      <c r="BU46" vm="3741">
        <f ca="1"/>
        <v>44</v>
      </c>
      <c r="BV46" vm="9204">
        <f ca="1"/>
        <v>44.7</v>
      </c>
      <c r="BW46" vm="9205">
        <f ca="1"/>
        <v>43.95</v>
      </c>
      <c r="BX46" vm="3743">
        <f ca="1"/>
        <v>43.23</v>
      </c>
      <c r="BY46" vm="9206">
        <f ca="1"/>
        <v>43.11</v>
      </c>
      <c r="BZ46" vm="3717">
        <f ca="1"/>
        <v>42.92</v>
      </c>
      <c r="CA46" vm="9207">
        <f ca="1"/>
        <v>43.03</v>
      </c>
      <c r="CB46" vm="9208">
        <f ca="1"/>
        <v>43.72</v>
      </c>
      <c r="CC46" vm="3754">
        <f ca="1"/>
        <v>43.94</v>
      </c>
      <c r="CD46" vm="9209">
        <f ca="1"/>
        <v>42.03</v>
      </c>
      <c r="CE46" vm="9210">
        <f ca="1"/>
        <v>41.92</v>
      </c>
      <c r="CF46" vm="9211">
        <f ca="1"/>
        <v>41.58</v>
      </c>
      <c r="CG46" vm="9212">
        <f ca="1"/>
        <v>41.44</v>
      </c>
      <c r="CH46" vm="9213">
        <f ca="1"/>
        <v>41</v>
      </c>
      <c r="CI46" vm="2086">
        <f ca="1"/>
        <v>39.520000000000003</v>
      </c>
      <c r="CJ46" vm="9214">
        <f ca="1"/>
        <v>39.44</v>
      </c>
      <c r="CK46" vm="9148">
        <f ca="1"/>
        <v>40.450000000000003</v>
      </c>
      <c r="CL46" vm="9215">
        <f ca="1"/>
        <v>41.05</v>
      </c>
      <c r="CM46" vm="9216">
        <f ca="1"/>
        <v>40.97</v>
      </c>
      <c r="CN46" vm="9217">
        <f ca="1"/>
        <v>41.61</v>
      </c>
      <c r="CO46" vm="9218">
        <f ca="1"/>
        <v>40.99</v>
      </c>
      <c r="CP46" vm="9219">
        <f ca="1"/>
        <v>41.12</v>
      </c>
      <c r="CQ46" vm="9220">
        <f ca="1"/>
        <v>41.29</v>
      </c>
      <c r="CR46" vm="9221">
        <f ca="1"/>
        <v>40.630000000000003</v>
      </c>
      <c r="CS46" vm="9215">
        <f ca="1"/>
        <v>41.05</v>
      </c>
      <c r="CT46" vm="9216">
        <f ca="1"/>
        <v>40.97</v>
      </c>
      <c r="CU46" vm="9222">
        <f ca="1"/>
        <v>41.41</v>
      </c>
      <c r="CV46" vm="2105">
        <f ca="1"/>
        <v>41.82</v>
      </c>
      <c r="CW46" vm="9211">
        <f ca="1"/>
        <v>41.58</v>
      </c>
      <c r="CX46" vm="9223">
        <f ca="1"/>
        <v>41.69</v>
      </c>
      <c r="CY46" vm="9175">
        <f ca="1"/>
        <v>41.54</v>
      </c>
      <c r="CZ46" vm="9224">
        <f ca="1"/>
        <v>41.85</v>
      </c>
      <c r="DA46" vm="9184">
        <f ca="1"/>
        <v>41.49</v>
      </c>
      <c r="DB46" vm="2093">
        <f ca="1"/>
        <v>41.95</v>
      </c>
      <c r="DC46" vm="9199">
        <f ca="1"/>
        <v>42.22</v>
      </c>
      <c r="DD46" vm="9225">
        <f ca="1"/>
        <v>41.65</v>
      </c>
      <c r="DE46" vm="9226">
        <f ca="1"/>
        <v>41.43</v>
      </c>
      <c r="DF46" vm="9176">
        <f ca="1"/>
        <v>40.89</v>
      </c>
      <c r="DG46" vm="9227">
        <f ca="1"/>
        <v>41.18</v>
      </c>
      <c r="DH46" vm="9228">
        <f ca="1"/>
        <v>40.770000000000003</v>
      </c>
      <c r="DI46" vm="2031">
        <f ca="1"/>
        <v>40.020000000000003</v>
      </c>
      <c r="DJ46" vm="9229">
        <f ca="1"/>
        <v>40.53</v>
      </c>
      <c r="DK46" vm="2035">
        <f ca="1"/>
        <v>39.770000000000003</v>
      </c>
      <c r="DL46" vm="9230">
        <f ca="1"/>
        <v>39.04</v>
      </c>
      <c r="DM46" vm="2032">
        <f ca="1"/>
        <v>39.380000000000003</v>
      </c>
      <c r="DN46" vm="9231">
        <f ca="1"/>
        <v>40.549999999999997</v>
      </c>
      <c r="DO46" vm="3756">
        <f ca="1"/>
        <v>39.729999999999997</v>
      </c>
      <c r="DP46" vm="9232">
        <f ca="1"/>
        <v>38.96</v>
      </c>
      <c r="DQ46" vm="9233">
        <f ca="1"/>
        <v>39.08</v>
      </c>
      <c r="DR46" vm="9234">
        <f ca="1"/>
        <v>39.020000000000003</v>
      </c>
      <c r="DS46" vm="9234">
        <f ca="1"/>
        <v>39.020000000000003</v>
      </c>
      <c r="DT46" vm="2066">
        <f ca="1"/>
        <v>38.75</v>
      </c>
      <c r="DU46" vm="2005">
        <f ca="1"/>
        <v>38.450000000000003</v>
      </c>
      <c r="DV46" vm="2076">
        <f ca="1"/>
        <v>39.28</v>
      </c>
      <c r="DW46" vm="2027">
        <f ca="1"/>
        <v>39.26</v>
      </c>
      <c r="DX46" vm="9235">
        <f ca="1"/>
        <v>38.83</v>
      </c>
      <c r="DY46" vm="9236">
        <f ca="1"/>
        <v>39.090000000000003</v>
      </c>
      <c r="DZ46" vm="2010">
        <f ca="1"/>
        <v>39.29</v>
      </c>
      <c r="EA46" vm="2076">
        <f ca="1"/>
        <v>39.28</v>
      </c>
      <c r="EB46" vm="2015">
        <f ca="1"/>
        <v>39.700000000000003</v>
      </c>
      <c r="EC46" vm="9231">
        <f ca="1"/>
        <v>40.549999999999997</v>
      </c>
      <c r="ED46" vm="2031">
        <f ca="1"/>
        <v>40.020000000000003</v>
      </c>
      <c r="EE46" vm="9237">
        <f ca="1"/>
        <v>39.71</v>
      </c>
      <c r="EF46" vm="2021">
        <f ca="1"/>
        <v>39.68</v>
      </c>
      <c r="EG46" vm="2015">
        <f ca="1"/>
        <v>39.700000000000003</v>
      </c>
      <c r="EH46" vm="2028">
        <f ca="1"/>
        <v>39.24</v>
      </c>
      <c r="EI46" vm="2092">
        <f ca="1"/>
        <v>39.97</v>
      </c>
      <c r="EJ46" vm="2029">
        <f ca="1"/>
        <v>39.51</v>
      </c>
      <c r="EK46" vm="9230">
        <f ca="1"/>
        <v>39.04</v>
      </c>
      <c r="EL46" vm="9238">
        <f ca="1"/>
        <v>39.46</v>
      </c>
      <c r="EM46" vm="2084">
        <f ca="1"/>
        <v>39.869999999999997</v>
      </c>
      <c r="EN46" vm="9239">
        <f ca="1"/>
        <v>40.799999999999997</v>
      </c>
      <c r="EO46" vm="9240">
        <f ca="1"/>
        <v>41.93</v>
      </c>
      <c r="EP46" vm="9241">
        <f ca="1"/>
        <v>42.1</v>
      </c>
      <c r="EQ46" vm="9196">
        <f ca="1"/>
        <v>42.35</v>
      </c>
      <c r="ER46" vm="9242">
        <f ca="1"/>
        <v>43.29</v>
      </c>
      <c r="ES46" vm="9243">
        <f ca="1"/>
        <v>45.26</v>
      </c>
      <c r="ET46" vm="9244">
        <f ca="1"/>
        <v>44.41</v>
      </c>
      <c r="EU46" vm="9245">
        <f ca="1"/>
        <v>44.76</v>
      </c>
      <c r="EV46" vm="9246">
        <f ca="1"/>
        <v>45.04</v>
      </c>
      <c r="EW46" vm="9247">
        <f ca="1"/>
        <v>45.55</v>
      </c>
      <c r="EX46" vm="2109">
        <f ca="1"/>
        <v>44.77</v>
      </c>
      <c r="EY46" vm="9248">
        <f ca="1"/>
        <v>45.09</v>
      </c>
      <c r="EZ46" vm="9249">
        <f ca="1"/>
        <v>45.46</v>
      </c>
      <c r="FA46" vm="2937">
        <f ca="1"/>
        <v>45.37</v>
      </c>
      <c r="FB46" vm="2935">
        <f ca="1"/>
        <v>45.47</v>
      </c>
      <c r="FC46" vm="9250">
        <f ca="1"/>
        <v>44.88</v>
      </c>
      <c r="FD46" vm="9251">
        <f ca="1"/>
        <v>43.48</v>
      </c>
      <c r="FE46" vm="9196">
        <f ca="1"/>
        <v>42.35</v>
      </c>
      <c r="FF46" vm="9239">
        <f ca="1"/>
        <v>40.799999999999997</v>
      </c>
      <c r="FG46" vm="2054">
        <f ca="1"/>
        <v>41.67</v>
      </c>
      <c r="FH46" vm="9252">
        <f ca="1"/>
        <v>41.39</v>
      </c>
      <c r="FI46" vm="2099">
        <f ca="1"/>
        <v>41.76</v>
      </c>
      <c r="FJ46" vm="9253">
        <f ca="1"/>
        <v>42.07</v>
      </c>
      <c r="FK46" vm="9254">
        <f ca="1"/>
        <v>41.47</v>
      </c>
      <c r="FL46" vm="9255">
        <f ca="1"/>
        <v>42.4</v>
      </c>
      <c r="FM46" vm="2100">
        <f ca="1"/>
        <v>42.34</v>
      </c>
      <c r="FN46" vm="9172">
        <f ca="1"/>
        <v>42.81</v>
      </c>
      <c r="FO46" vm="9256">
        <f ca="1"/>
        <v>43.19</v>
      </c>
      <c r="FP46" vm="9257">
        <f ca="1"/>
        <v>43.66</v>
      </c>
      <c r="FQ46" vm="9258">
        <f ca="1"/>
        <v>43.74</v>
      </c>
      <c r="FR46" vm="9259">
        <f ca="1"/>
        <v>43.7</v>
      </c>
      <c r="FS46" vm="3727">
        <f ca="1"/>
        <v>44.19</v>
      </c>
      <c r="FT46" vm="9260">
        <f ca="1"/>
        <v>45.39</v>
      </c>
      <c r="FU46" vm="2905">
        <f ca="1"/>
        <v>45.62</v>
      </c>
      <c r="FV46" vm="9261">
        <f ca="1"/>
        <v>45.73</v>
      </c>
      <c r="FW46" vm="9262">
        <f ca="1"/>
        <v>46.13</v>
      </c>
      <c r="FX46" vm="9263">
        <f ca="1"/>
        <v>46.53</v>
      </c>
      <c r="FY46" vm="9264">
        <f ca="1"/>
        <v>47.23</v>
      </c>
      <c r="FZ46" vm="9265">
        <f ca="1"/>
        <v>46.39</v>
      </c>
      <c r="GA46" vm="2118">
        <f ca="1"/>
        <v>46.06</v>
      </c>
      <c r="GB46" vm="9266">
        <f ca="1"/>
        <v>45.54</v>
      </c>
      <c r="GC46" vm="9267">
        <f ca="1"/>
        <v>44.49</v>
      </c>
      <c r="GD46" vm="9243">
        <f ca="1"/>
        <v>45.26</v>
      </c>
      <c r="GE46" vm="9268">
        <f ca="1"/>
        <v>45.03</v>
      </c>
      <c r="GF46" vm="9269">
        <f ca="1"/>
        <v>44.75</v>
      </c>
      <c r="GG46" vm="9270">
        <f ca="1"/>
        <v>43.85</v>
      </c>
      <c r="GH46" vm="9271">
        <f ca="1"/>
        <v>44.62</v>
      </c>
      <c r="GI46" vm="9272">
        <f ca="1"/>
        <v>44.69</v>
      </c>
      <c r="GJ46" vm="9273">
        <f ca="1"/>
        <v>44.68</v>
      </c>
      <c r="GK46" vm="3695">
        <f ca="1"/>
        <v>45.18</v>
      </c>
      <c r="GL46" vm="9274">
        <f ca="1"/>
        <v>46.47</v>
      </c>
      <c r="GM46" vm="9275">
        <f ca="1"/>
        <v>46.01</v>
      </c>
      <c r="GN46" vm="2112">
        <f ca="1"/>
        <v>45.86</v>
      </c>
      <c r="GO46" vm="9276">
        <f ca="1"/>
        <v>45.64</v>
      </c>
      <c r="GP46" vm="9269">
        <f ca="1"/>
        <v>44.75</v>
      </c>
      <c r="GQ46" vm="9277">
        <f ca="1"/>
        <v>45.3</v>
      </c>
      <c r="GR46" vm="9278">
        <f ca="1"/>
        <v>45.48</v>
      </c>
      <c r="GS46" vm="9261">
        <f ca="1"/>
        <v>45.73</v>
      </c>
      <c r="GT46" vm="9279">
        <f ca="1"/>
        <v>44.46</v>
      </c>
      <c r="GU46" vm="9280">
        <f ca="1"/>
        <v>44.25</v>
      </c>
      <c r="GV46" vm="2047">
        <f ca="1"/>
        <v>43.98</v>
      </c>
      <c r="GW46" vm="9204">
        <f ca="1"/>
        <v>44.7</v>
      </c>
      <c r="GX46" vm="9281">
        <f ca="1"/>
        <v>44.47</v>
      </c>
      <c r="GY46" vm="9282">
        <f ca="1"/>
        <v>44.26</v>
      </c>
      <c r="GZ46" vm="9283">
        <f ca="1"/>
        <v>45.1</v>
      </c>
      <c r="HA46" vm="9284">
        <f ca="1"/>
        <v>44.94</v>
      </c>
      <c r="HB46" vm="9285">
        <f ca="1"/>
        <v>46.26</v>
      </c>
      <c r="HC46" vm="2882">
        <f ca="1"/>
        <v>47.12</v>
      </c>
      <c r="HD46" vm="2120">
        <f ca="1"/>
        <v>47</v>
      </c>
      <c r="HE46" vm="2868">
        <f ca="1"/>
        <v>49.21</v>
      </c>
      <c r="HF46" vm="9286">
        <f ca="1"/>
        <v>49.97</v>
      </c>
      <c r="HG46" vm="9287">
        <f ca="1"/>
        <v>49.16</v>
      </c>
      <c r="HH46" vm="2871">
        <f ca="1"/>
        <v>47.92</v>
      </c>
      <c r="HI46" vm="9288">
        <f ca="1"/>
        <v>48.03</v>
      </c>
      <c r="HJ46" vm="2939">
        <f ca="1"/>
        <v>48.53</v>
      </c>
      <c r="HK46" vm="2928">
        <f ca="1"/>
        <v>48.45</v>
      </c>
      <c r="HL46" vm="9289">
        <f ca="1"/>
        <v>47.74</v>
      </c>
      <c r="HM46" vm="9290">
        <f ca="1"/>
        <v>48.59</v>
      </c>
      <c r="HN46" vm="3712">
        <f ca="1"/>
        <v>48.22</v>
      </c>
      <c r="HO46" vm="2886">
        <f ca="1"/>
        <v>48.68</v>
      </c>
      <c r="HP46" vm="2842">
        <f ca="1"/>
        <v>48.31</v>
      </c>
      <c r="HQ46" vm="9291">
        <f ca="1"/>
        <v>47.84</v>
      </c>
      <c r="HR46" vm="9292">
        <f ca="1"/>
        <v>47.19</v>
      </c>
      <c r="HS46" vm="9293">
        <f ca="1"/>
        <v>47.61</v>
      </c>
      <c r="HT46" vm="9294">
        <f ca="1"/>
        <v>51.26</v>
      </c>
      <c r="HU46" vm="9295">
        <f ca="1"/>
        <v>49.56</v>
      </c>
      <c r="HV46" vm="9296">
        <f ca="1"/>
        <v>50.21</v>
      </c>
      <c r="HW46" vm="9297">
        <f ca="1"/>
        <v>51.04</v>
      </c>
      <c r="HX46" vm="3700">
        <f ca="1"/>
        <v>50.76</v>
      </c>
      <c r="HY46" vm="9298">
        <f ca="1"/>
        <v>51.17</v>
      </c>
      <c r="HZ46" vm="9299">
        <f ca="1"/>
        <v>50.31</v>
      </c>
      <c r="IA46" vm="9300">
        <f ca="1"/>
        <v>49.9</v>
      </c>
      <c r="IB46" vm="2955">
        <f ca="1"/>
        <v>50.61</v>
      </c>
      <c r="IC46" vm="9301">
        <f ca="1"/>
        <v>50.4</v>
      </c>
      <c r="ID46" vm="2942">
        <f ca="1"/>
        <v>50.74</v>
      </c>
      <c r="IE46" vm="9302">
        <f ca="1"/>
        <v>51.39</v>
      </c>
      <c r="IF46" vm="9303">
        <f ca="1"/>
        <v>52.49</v>
      </c>
      <c r="IG46" vm="9304">
        <f ca="1"/>
        <v>53.63</v>
      </c>
      <c r="IH46" vm="9305">
        <f ca="1"/>
        <v>53.66</v>
      </c>
      <c r="II46" vm="3029">
        <f ca="1"/>
        <v>53.48</v>
      </c>
      <c r="IJ46" vm="9306">
        <f ca="1"/>
        <v>53.29</v>
      </c>
      <c r="IK46" vm="9307">
        <f ca="1"/>
        <v>52.77</v>
      </c>
      <c r="IL46" vm="9308">
        <f ca="1"/>
        <v>52.1</v>
      </c>
      <c r="IM46" vm="9309">
        <f ca="1"/>
        <v>52.01</v>
      </c>
      <c r="IN46" vm="9310">
        <f ca="1"/>
        <v>52.12</v>
      </c>
      <c r="IO46" vm="9311">
        <f ca="1"/>
        <v>52.18</v>
      </c>
      <c r="IP46" vm="2823">
        <f ca="1"/>
        <v>51.31</v>
      </c>
      <c r="IQ46" vm="2821">
        <f ca="1"/>
        <v>51.57</v>
      </c>
    </row>
    <row r="47" spans="1:251">
      <c r="A47" cm="1" vm="9312">
        <f t="array" aca="1" ref="A47:IQ47" ca="1">TRANSPOSE(_xlfn.STOCKHISTORY(Table3[[#This Row],[Stock Name ]],TODAY()-365,TODAY(),0,0,1))</f>
        <v>545.72</v>
      </c>
      <c r="B47" vm="9313">
        <f ca="1"/>
        <v>549.01</v>
      </c>
      <c r="C47" vm="9314">
        <f ca="1"/>
        <v>534.24</v>
      </c>
      <c r="D47" vm="9315">
        <f ca="1"/>
        <v>531.12</v>
      </c>
      <c r="E47" vm="9316">
        <f ca="1"/>
        <v>526.54999999999995</v>
      </c>
      <c r="F47" vm="9317">
        <f ca="1"/>
        <v>524.04</v>
      </c>
      <c r="G47" vm="541">
        <f ca="1"/>
        <v>515.92999999999995</v>
      </c>
      <c r="H47" vm="9318">
        <f ca="1"/>
        <v>519.88</v>
      </c>
      <c r="I47" vm="9319">
        <f ca="1"/>
        <v>520.30999999999995</v>
      </c>
      <c r="J47" vm="9320">
        <f ca="1"/>
        <v>520.03</v>
      </c>
      <c r="K47" vm="9321">
        <f ca="1"/>
        <v>522.79</v>
      </c>
      <c r="L47" vm="9322">
        <f ca="1"/>
        <v>524.9</v>
      </c>
      <c r="M47" vm="9323">
        <f ca="1"/>
        <v>526.47</v>
      </c>
      <c r="N47" vm="9324">
        <f ca="1"/>
        <v>539.34</v>
      </c>
      <c r="O47" vm="9325">
        <f ca="1"/>
        <v>542.03</v>
      </c>
      <c r="P47" vm="9326">
        <f ca="1"/>
        <v>545.41999999999996</v>
      </c>
      <c r="Q47" vm="9327">
        <f ca="1"/>
        <v>537.38</v>
      </c>
      <c r="R47" vm="9328">
        <f ca="1"/>
        <v>536.52</v>
      </c>
      <c r="S47" vm="9329">
        <f ca="1"/>
        <v>538.37</v>
      </c>
      <c r="T47" vm="9330">
        <f ca="1"/>
        <v>537.64</v>
      </c>
      <c r="U47" vm="9331">
        <f ca="1"/>
        <v>539.67999999999995</v>
      </c>
      <c r="V47" vm="9332">
        <f ca="1"/>
        <v>521.51</v>
      </c>
      <c r="W47" vm="9333">
        <f ca="1"/>
        <v>519.15</v>
      </c>
      <c r="X47" vm="9334">
        <f ca="1"/>
        <v>524.94000000000005</v>
      </c>
      <c r="Y47" vm="4960">
        <f ca="1"/>
        <v>516.34</v>
      </c>
      <c r="Z47" vm="9335">
        <f ca="1"/>
        <v>503.56</v>
      </c>
      <c r="AA47" vm="9336">
        <f ca="1"/>
        <v>512.99</v>
      </c>
      <c r="AB47" vm="9337">
        <f ca="1"/>
        <v>515.52</v>
      </c>
      <c r="AC47" vm="9338">
        <f ca="1"/>
        <v>513.23</v>
      </c>
      <c r="AD47" vm="9339">
        <f ca="1"/>
        <v>493.4</v>
      </c>
      <c r="AE47" vm="9340">
        <f ca="1"/>
        <v>503.2</v>
      </c>
      <c r="AF47" vm="9341">
        <f ca="1"/>
        <v>504.54</v>
      </c>
      <c r="AG47" vm="9342">
        <f ca="1"/>
        <v>503.61</v>
      </c>
      <c r="AH47" vm="9343">
        <f ca="1"/>
        <v>511.74</v>
      </c>
      <c r="AI47" vm="9344">
        <f ca="1"/>
        <v>507.14</v>
      </c>
      <c r="AJ47" vm="9345">
        <f ca="1"/>
        <v>510.23</v>
      </c>
      <c r="AK47" vm="9346">
        <f ca="1"/>
        <v>502.96</v>
      </c>
      <c r="AL47" vm="9347">
        <f ca="1"/>
        <v>510.67</v>
      </c>
      <c r="AM47" vm="9348">
        <f ca="1"/>
        <v>519.39</v>
      </c>
      <c r="AN47" vm="9349">
        <f ca="1"/>
        <v>520.09</v>
      </c>
      <c r="AO47" vm="5415">
        <f ca="1"/>
        <v>518.22</v>
      </c>
      <c r="AP47" vm="9350">
        <f ca="1"/>
        <v>517.64</v>
      </c>
      <c r="AQ47" vm="9351">
        <f ca="1"/>
        <v>516.85</v>
      </c>
      <c r="AR47" vm="9352">
        <f ca="1"/>
        <v>516.94000000000005</v>
      </c>
      <c r="AS47" vm="9353">
        <f ca="1"/>
        <v>520.88</v>
      </c>
      <c r="AT47" vm="9354">
        <f ca="1"/>
        <v>521.54999999999995</v>
      </c>
      <c r="AU47" vm="9355">
        <f ca="1"/>
        <v>521.05999999999995</v>
      </c>
      <c r="AV47" vm="9356">
        <f ca="1"/>
        <v>521.97</v>
      </c>
      <c r="AW47" vm="9357">
        <f ca="1"/>
        <v>526.5</v>
      </c>
      <c r="AX47" vm="9358">
        <f ca="1"/>
        <v>527.24</v>
      </c>
      <c r="AY47" vm="9359">
        <f ca="1"/>
        <v>525.32000000000005</v>
      </c>
      <c r="AZ47" vm="9360">
        <f ca="1"/>
        <v>513.41999999999996</v>
      </c>
      <c r="BA47" vm="9361">
        <f ca="1"/>
        <v>498.28</v>
      </c>
      <c r="BB47" vm="9362">
        <f ca="1"/>
        <v>493.6</v>
      </c>
      <c r="BC47" vm="9363">
        <f ca="1"/>
        <v>489.53</v>
      </c>
      <c r="BD47" vm="9364">
        <f ca="1"/>
        <v>481.87</v>
      </c>
      <c r="BE47" vm="9365">
        <f ca="1"/>
        <v>473.15</v>
      </c>
      <c r="BF47" vm="5337">
        <f ca="1"/>
        <v>472.6</v>
      </c>
      <c r="BG47" vm="9366">
        <f ca="1"/>
        <v>478.78</v>
      </c>
      <c r="BH47" vm="395">
        <f ca="1"/>
        <v>476.57</v>
      </c>
      <c r="BI47" vm="9367">
        <f ca="1"/>
        <v>489.15</v>
      </c>
      <c r="BJ47" vm="9368">
        <f ca="1"/>
        <v>489.35</v>
      </c>
      <c r="BK47" vm="9369">
        <f ca="1"/>
        <v>488</v>
      </c>
      <c r="BL47" vm="9370">
        <f ca="1"/>
        <v>489</v>
      </c>
      <c r="BM47" vm="9371">
        <f ca="1"/>
        <v>490.82</v>
      </c>
      <c r="BN47" vm="5289">
        <f ca="1"/>
        <v>487.05</v>
      </c>
      <c r="BO47" vm="9372">
        <f ca="1"/>
        <v>493.32</v>
      </c>
      <c r="BP47" vm="9373">
        <f ca="1"/>
        <v>494.23</v>
      </c>
      <c r="BQ47" vm="9374">
        <f ca="1"/>
        <v>491.69</v>
      </c>
      <c r="BR47" vm="9375">
        <f ca="1"/>
        <v>490.07</v>
      </c>
      <c r="BS47" vm="9376">
        <f ca="1"/>
        <v>485.88</v>
      </c>
      <c r="BT47" vm="9377">
        <f ca="1"/>
        <v>492.31</v>
      </c>
      <c r="BU47" vm="9378">
        <f ca="1"/>
        <v>493.1</v>
      </c>
      <c r="BV47" vm="9379">
        <f ca="1"/>
        <v>494.7</v>
      </c>
      <c r="BW47" vm="9380">
        <f ca="1"/>
        <v>489.7</v>
      </c>
      <c r="BX47" vm="9381">
        <f ca="1"/>
        <v>458.14</v>
      </c>
      <c r="BY47" vm="9382">
        <f ca="1"/>
        <v>459.74</v>
      </c>
      <c r="BZ47" vm="9383">
        <f ca="1"/>
        <v>455.38</v>
      </c>
      <c r="CA47" vm="9384">
        <f ca="1"/>
        <v>455.74</v>
      </c>
      <c r="CB47" vm="9385">
        <f ca="1"/>
        <v>456</v>
      </c>
      <c r="CC47" vm="9386">
        <f ca="1"/>
        <v>459.72</v>
      </c>
      <c r="CD47" vm="9387">
        <f ca="1"/>
        <v>450.05</v>
      </c>
      <c r="CE47" vm="4901">
        <f ca="1"/>
        <v>441.72</v>
      </c>
      <c r="CF47" vm="9388">
        <f ca="1"/>
        <v>439.2</v>
      </c>
      <c r="CG47" vm="9389">
        <f ca="1"/>
        <v>445.63</v>
      </c>
      <c r="CH47" vm="9390">
        <f ca="1"/>
        <v>468.89</v>
      </c>
      <c r="CI47" vm="8520">
        <f ca="1"/>
        <v>478.99</v>
      </c>
      <c r="CJ47" vm="9391">
        <f ca="1"/>
        <v>493.18</v>
      </c>
      <c r="CK47" vm="9392">
        <f ca="1"/>
        <v>501.13</v>
      </c>
      <c r="CL47" vm="9393">
        <f ca="1"/>
        <v>491.23</v>
      </c>
      <c r="CM47" vm="396">
        <f ca="1"/>
        <v>486.18</v>
      </c>
      <c r="CN47" vm="503">
        <f ca="1"/>
        <v>487.3</v>
      </c>
      <c r="CO47" vm="5308">
        <f ca="1"/>
        <v>493.86</v>
      </c>
      <c r="CP47" vm="9394">
        <f ca="1"/>
        <v>495.35</v>
      </c>
      <c r="CQ47" vm="9395">
        <f ca="1"/>
        <v>489.03</v>
      </c>
      <c r="CR47" vm="9396">
        <f ca="1"/>
        <v>483.7</v>
      </c>
      <c r="CS47" vm="9397">
        <f ca="1"/>
        <v>484.11</v>
      </c>
      <c r="CT47" vm="9398">
        <f ca="1"/>
        <v>492.97</v>
      </c>
      <c r="CU47" vm="9399">
        <f ca="1"/>
        <v>492.45</v>
      </c>
      <c r="CV47" vm="9400">
        <f ca="1"/>
        <v>494.38</v>
      </c>
      <c r="CW47" vm="9401">
        <f ca="1"/>
        <v>500.96</v>
      </c>
      <c r="CX47" vm="9402">
        <f ca="1"/>
        <v>503.21</v>
      </c>
      <c r="CY47" vm="9403">
        <f ca="1"/>
        <v>507.03</v>
      </c>
      <c r="CZ47" vm="9404">
        <f ca="1"/>
        <v>512.80999999999995</v>
      </c>
      <c r="DA47" vm="9343">
        <f ca="1"/>
        <v>511.74</v>
      </c>
      <c r="DB47" vm="9405">
        <f ca="1"/>
        <v>513.88</v>
      </c>
      <c r="DC47" vm="9406">
        <f ca="1"/>
        <v>517.54999999999995</v>
      </c>
      <c r="DD47" vm="9407">
        <f ca="1"/>
        <v>521.27</v>
      </c>
      <c r="DE47" vm="9408">
        <f ca="1"/>
        <v>524.63</v>
      </c>
      <c r="DF47" vm="9409">
        <f ca="1"/>
        <v>517.23</v>
      </c>
      <c r="DG47" vm="9410">
        <f ca="1"/>
        <v>523.54999999999995</v>
      </c>
      <c r="DH47" vm="9411">
        <f ca="1"/>
        <v>521.35</v>
      </c>
      <c r="DI47" vm="9412">
        <f ca="1"/>
        <v>516.83000000000004</v>
      </c>
      <c r="DJ47" vm="9413">
        <f ca="1"/>
        <v>508.17</v>
      </c>
      <c r="DK47" vm="9414">
        <f ca="1"/>
        <v>503.68</v>
      </c>
      <c r="DL47" vm="9415">
        <f ca="1"/>
        <v>484.72</v>
      </c>
      <c r="DM47" vm="9416">
        <f ca="1"/>
        <v>481.65</v>
      </c>
      <c r="DN47" vm="9417">
        <f ca="1"/>
        <v>495.37</v>
      </c>
      <c r="DO47" vm="9418">
        <f ca="1"/>
        <v>497.44</v>
      </c>
      <c r="DP47" vm="9419">
        <f ca="1"/>
        <v>505.49</v>
      </c>
      <c r="DQ47" vm="9420">
        <f ca="1"/>
        <v>503.12</v>
      </c>
      <c r="DR47" vm="9421">
        <f ca="1"/>
        <v>501.92</v>
      </c>
      <c r="DS47" vm="9422">
        <f ca="1"/>
        <v>490.69</v>
      </c>
      <c r="DT47" vm="9423">
        <f ca="1"/>
        <v>495</v>
      </c>
      <c r="DU47" vm="9424">
        <f ca="1"/>
        <v>496.22</v>
      </c>
      <c r="DV47" vm="9425">
        <f ca="1"/>
        <v>493.07</v>
      </c>
      <c r="DW47" vm="9426">
        <f ca="1"/>
        <v>497.3</v>
      </c>
      <c r="DX47" vm="9427">
        <f ca="1"/>
        <v>497.12</v>
      </c>
      <c r="DY47" vm="9428">
        <f ca="1"/>
        <v>489.23</v>
      </c>
      <c r="DZ47" vm="9429">
        <f ca="1"/>
        <v>481.05</v>
      </c>
      <c r="EA47" vm="9430">
        <f ca="1"/>
        <v>484.52</v>
      </c>
      <c r="EB47" vm="9431">
        <f ca="1"/>
        <v>482.59</v>
      </c>
      <c r="EC47" vm="9432">
        <f ca="1"/>
        <v>489.98</v>
      </c>
      <c r="ED47" vm="9433">
        <f ca="1"/>
        <v>484.5</v>
      </c>
      <c r="EE47" vm="9434">
        <f ca="1"/>
        <v>484.04</v>
      </c>
      <c r="EF47" vm="9435">
        <f ca="1"/>
        <v>486.44</v>
      </c>
      <c r="EG47" vm="9436">
        <f ca="1"/>
        <v>509.26</v>
      </c>
      <c r="EH47" vm="9437">
        <f ca="1"/>
        <v>494.65</v>
      </c>
      <c r="EI47" vm="9438">
        <f ca="1"/>
        <v>498.24</v>
      </c>
      <c r="EJ47" vm="9439">
        <f ca="1"/>
        <v>489.89</v>
      </c>
      <c r="EK47" vm="9440">
        <f ca="1"/>
        <v>488.01</v>
      </c>
      <c r="EL47" vm="9441">
        <f ca="1"/>
        <v>489.34</v>
      </c>
      <c r="EM47" vm="4936">
        <f ca="1"/>
        <v>492.11</v>
      </c>
      <c r="EN47" vm="9442">
        <f ca="1"/>
        <v>500.93</v>
      </c>
      <c r="EO47" vm="9443">
        <f ca="1"/>
        <v>504.36</v>
      </c>
      <c r="EP47" vm="9444">
        <f ca="1"/>
        <v>511.53</v>
      </c>
      <c r="EQ47" vm="9445">
        <f ca="1"/>
        <v>515.37</v>
      </c>
      <c r="ER47" vm="9446">
        <f ca="1"/>
        <v>548.87</v>
      </c>
      <c r="ES47" vm="9447">
        <f ca="1"/>
        <v>573.28</v>
      </c>
      <c r="ET47" vm="9448">
        <f ca="1"/>
        <v>564.34</v>
      </c>
      <c r="EU47" vm="9449">
        <f ca="1"/>
        <v>565.33000000000004</v>
      </c>
      <c r="EV47" vm="5994">
        <f ca="1"/>
        <v>558.53</v>
      </c>
      <c r="EW47" vm="9450">
        <f ca="1"/>
        <v>554.70000000000005</v>
      </c>
      <c r="EX47" vm="9451">
        <f ca="1"/>
        <v>559.75</v>
      </c>
      <c r="EY47" vm="9452">
        <f ca="1"/>
        <v>559.67999999999995</v>
      </c>
      <c r="EZ47" vm="9453">
        <f ca="1"/>
        <v>569.72</v>
      </c>
      <c r="FA47" vm="9454">
        <f ca="1"/>
        <v>566.75</v>
      </c>
      <c r="FB47" vm="9455">
        <f ca="1"/>
        <v>576.33000000000004</v>
      </c>
      <c r="FC47" vm="9456">
        <f ca="1"/>
        <v>576.16</v>
      </c>
      <c r="FD47" vm="9457">
        <f ca="1"/>
        <v>572.77</v>
      </c>
      <c r="FE47" vm="9458">
        <f ca="1"/>
        <v>589.83000000000004</v>
      </c>
      <c r="FF47" vm="9459">
        <f ca="1"/>
        <v>569.96</v>
      </c>
      <c r="FG47" vm="9460">
        <f ca="1"/>
        <v>568.35</v>
      </c>
      <c r="FH47" vm="9461">
        <f ca="1"/>
        <v>566.08000000000004</v>
      </c>
      <c r="FI47" vm="9462">
        <f ca="1"/>
        <v>566.24</v>
      </c>
      <c r="FJ47" vm="9463">
        <f ca="1"/>
        <v>558.76</v>
      </c>
      <c r="FK47" vm="9464">
        <f ca="1"/>
        <v>565.29</v>
      </c>
      <c r="FL47" vm="9465">
        <f ca="1"/>
        <v>574.24</v>
      </c>
      <c r="FM47" vm="9466">
        <f ca="1"/>
        <v>579.66999999999996</v>
      </c>
      <c r="FN47" vm="9467">
        <f ca="1"/>
        <v>579.61</v>
      </c>
      <c r="FO47" vm="9468">
        <f ca="1"/>
        <v>577.67999999999995</v>
      </c>
      <c r="FP47" vm="9469">
        <f ca="1"/>
        <v>578.78</v>
      </c>
      <c r="FQ47" vm="9470">
        <f ca="1"/>
        <v>580.65</v>
      </c>
      <c r="FR47" vm="9471">
        <f ca="1"/>
        <v>578.07000000000005</v>
      </c>
      <c r="FS47" vm="9472">
        <f ca="1"/>
        <v>578.72</v>
      </c>
      <c r="FT47" vm="9473">
        <f ca="1"/>
        <v>584.51</v>
      </c>
      <c r="FU47" vm="9474">
        <f ca="1"/>
        <v>587.13</v>
      </c>
      <c r="FV47" vm="9475">
        <f ca="1"/>
        <v>587.35</v>
      </c>
      <c r="FW47" vm="9476">
        <f ca="1"/>
        <v>588.54</v>
      </c>
      <c r="FX47" vm="9477">
        <f ca="1"/>
        <v>591.57000000000005</v>
      </c>
      <c r="FY47" vm="9478">
        <f ca="1"/>
        <v>590.20000000000005</v>
      </c>
      <c r="FZ47" vm="9479">
        <f ca="1"/>
        <v>598.67999999999995</v>
      </c>
      <c r="GA47" vm="9480">
        <f ca="1"/>
        <v>604.17999999999995</v>
      </c>
      <c r="GB47" vm="9481">
        <f ca="1"/>
        <v>595.49</v>
      </c>
      <c r="GC47" vm="9482">
        <f ca="1"/>
        <v>596.88</v>
      </c>
      <c r="GD47" vm="9483">
        <f ca="1"/>
        <v>594.1</v>
      </c>
      <c r="GE47" vm="9484">
        <f ca="1"/>
        <v>599.03</v>
      </c>
      <c r="GF47" vm="9485">
        <f ca="1"/>
        <v>589.75</v>
      </c>
      <c r="GG47" vm="9486">
        <f ca="1"/>
        <v>588.41999999999996</v>
      </c>
      <c r="GH47" vm="9487">
        <f ca="1"/>
        <v>594.32000000000005</v>
      </c>
      <c r="GI47" vm="9488">
        <f ca="1"/>
        <v>589.14</v>
      </c>
      <c r="GJ47" vm="9489">
        <f ca="1"/>
        <v>577.96</v>
      </c>
      <c r="GK47" vm="9470">
        <f ca="1"/>
        <v>580.65</v>
      </c>
      <c r="GL47" vm="9490">
        <f ca="1"/>
        <v>577.07000000000005</v>
      </c>
      <c r="GM47" vm="9491">
        <f ca="1"/>
        <v>575</v>
      </c>
      <c r="GN47" vm="9492">
        <f ca="1"/>
        <v>573.41</v>
      </c>
      <c r="GO47" vm="9493">
        <f ca="1"/>
        <v>575.19000000000005</v>
      </c>
      <c r="GP47" vm="9494">
        <f ca="1"/>
        <v>576.30999999999995</v>
      </c>
      <c r="GQ47" vm="9495">
        <f ca="1"/>
        <v>574.80999999999995</v>
      </c>
      <c r="GR47" vm="9496">
        <f ca="1"/>
        <v>581.85</v>
      </c>
      <c r="GS47" vm="302">
        <f ca="1"/>
        <v>584.67999999999995</v>
      </c>
      <c r="GT47" vm="9497">
        <f ca="1"/>
        <v>583.29999999999995</v>
      </c>
      <c r="GU47" vm="9498">
        <f ca="1"/>
        <v>592.30999999999995</v>
      </c>
      <c r="GV47" vm="9499">
        <f ca="1"/>
        <v>592.75</v>
      </c>
      <c r="GW47" vm="9500">
        <f ca="1"/>
        <v>591.20000000000005</v>
      </c>
      <c r="GX47" vm="6004">
        <f ca="1"/>
        <v>583.55999999999995</v>
      </c>
      <c r="GY47" vm="9501">
        <f ca="1"/>
        <v>581.58000000000004</v>
      </c>
      <c r="GZ47" vm="9502">
        <f ca="1"/>
        <v>591.22</v>
      </c>
      <c r="HA47" vm="9503">
        <f ca="1"/>
        <v>597.70000000000005</v>
      </c>
      <c r="HB47" vm="9504">
        <f ca="1"/>
        <v>598.04999999999995</v>
      </c>
      <c r="HC47" vm="9505">
        <f ca="1"/>
        <v>605.4</v>
      </c>
      <c r="HD47" vm="9506">
        <f ca="1"/>
        <v>556.29</v>
      </c>
      <c r="HE47" vm="9507">
        <f ca="1"/>
        <v>571.34</v>
      </c>
      <c r="HF47" vm="9508">
        <f ca="1"/>
        <v>566.03</v>
      </c>
      <c r="HG47" vm="9509">
        <f ca="1"/>
        <v>569.61</v>
      </c>
      <c r="HH47" vm="9510">
        <f ca="1"/>
        <v>571.47</v>
      </c>
      <c r="HI47" vm="9511">
        <f ca="1"/>
        <v>569.86</v>
      </c>
      <c r="HJ47" vm="5990">
        <f ca="1"/>
        <v>564.64</v>
      </c>
      <c r="HK47" vm="9512">
        <f ca="1"/>
        <v>560.80999999999995</v>
      </c>
      <c r="HL47" vm="9513">
        <f ca="1"/>
        <v>564.55999999999995</v>
      </c>
      <c r="HM47" vm="9514">
        <f ca="1"/>
        <v>565.24</v>
      </c>
      <c r="HN47" vm="9515">
        <f ca="1"/>
        <v>562.13</v>
      </c>
      <c r="HO47" vm="9516">
        <f ca="1"/>
        <v>562.96</v>
      </c>
      <c r="HP47" vm="9517">
        <f ca="1"/>
        <v>564.5</v>
      </c>
      <c r="HQ47" vm="9518">
        <f ca="1"/>
        <v>567.55999999999995</v>
      </c>
      <c r="HR47" vm="9519">
        <f ca="1"/>
        <v>557.77</v>
      </c>
      <c r="HS47" vm="9520">
        <f ca="1"/>
        <v>567.03</v>
      </c>
      <c r="HT47" vm="9521">
        <f ca="1"/>
        <v>596.69000000000005</v>
      </c>
      <c r="HU47" vm="9522">
        <f ca="1"/>
        <v>605.45000000000005</v>
      </c>
      <c r="HV47" vm="9523">
        <f ca="1"/>
        <v>615.80999999999995</v>
      </c>
      <c r="HW47" vm="9524">
        <f ca="1"/>
        <v>625.25</v>
      </c>
      <c r="HX47" vm="9525">
        <f ca="1"/>
        <v>614.66999999999996</v>
      </c>
      <c r="HY47" vm="9526">
        <f ca="1"/>
        <v>605.87</v>
      </c>
      <c r="HZ47" vm="9527">
        <f ca="1"/>
        <v>593.15</v>
      </c>
      <c r="IA47" vm="9528">
        <f ca="1"/>
        <v>592.23</v>
      </c>
      <c r="IB47" vm="9529">
        <f ca="1"/>
        <v>589.65</v>
      </c>
      <c r="IC47" vm="9530">
        <f ca="1"/>
        <v>577</v>
      </c>
      <c r="ID47" vm="9531">
        <f ca="1"/>
        <v>600.5</v>
      </c>
      <c r="IE47" vm="319">
        <f ca="1"/>
        <v>597.49</v>
      </c>
      <c r="IF47" vm="9532">
        <f ca="1"/>
        <v>590.87</v>
      </c>
      <c r="IG47" vm="9533">
        <f ca="1"/>
        <v>605.83000000000004</v>
      </c>
      <c r="IH47" vm="9534">
        <f ca="1"/>
        <v>606.79</v>
      </c>
      <c r="II47" vm="9535">
        <f ca="1"/>
        <v>608.38</v>
      </c>
      <c r="IJ47" vm="9536">
        <f ca="1"/>
        <v>610.20000000000005</v>
      </c>
      <c r="IK47" vm="9537">
        <f ca="1"/>
        <v>608.52</v>
      </c>
      <c r="IL47" vm="9538">
        <f ca="1"/>
        <v>605.23</v>
      </c>
      <c r="IM47" vm="9539">
        <f ca="1"/>
        <v>610.79</v>
      </c>
      <c r="IN47" vm="9540">
        <f ca="1"/>
        <v>578.97</v>
      </c>
      <c r="IO47" vm="9541">
        <f ca="1"/>
        <v>549.62</v>
      </c>
      <c r="IP47" vm="9542">
        <f ca="1"/>
        <v>560.62</v>
      </c>
      <c r="IQ47" vm="9543">
        <f ca="1"/>
        <v>565.19000000000005</v>
      </c>
    </row>
    <row r="48" spans="1:251">
      <c r="A48" cm="1" vm="1978">
        <f t="array" aca="1" ref="A48:IQ48" ca="1">TRANSPOSE(_xlfn.STOCKHISTORY(Table3[[#This Row],[Stock Name ]],TODAY()-365,TODAY(),0,0,1))</f>
        <v>37.299999999999997</v>
      </c>
      <c r="B48" vm="9544">
        <f ca="1"/>
        <v>36.99</v>
      </c>
      <c r="C48" vm="9545">
        <f ca="1"/>
        <v>37.869999999999997</v>
      </c>
      <c r="D48" vm="9546">
        <f ca="1"/>
        <v>37.369999999999997</v>
      </c>
      <c r="E48" vm="9547">
        <f ca="1"/>
        <v>37.67</v>
      </c>
      <c r="F48" vm="9548">
        <f ca="1"/>
        <v>37.57</v>
      </c>
      <c r="G48" vm="1978">
        <f ca="1"/>
        <v>37.299999999999997</v>
      </c>
      <c r="H48" vm="9549">
        <f ca="1"/>
        <v>37.43</v>
      </c>
      <c r="I48" vm="9550">
        <f ca="1"/>
        <v>37.49</v>
      </c>
      <c r="J48" vm="9551">
        <f ca="1"/>
        <v>37.479999999999997</v>
      </c>
      <c r="K48" vm="9552">
        <f ca="1"/>
        <v>37.31</v>
      </c>
      <c r="L48" vm="9550">
        <f ca="1"/>
        <v>37.49</v>
      </c>
      <c r="M48" vm="9553">
        <f ca="1"/>
        <v>37.700000000000003</v>
      </c>
      <c r="N48" vm="9554">
        <f ca="1"/>
        <v>38.880000000000003</v>
      </c>
      <c r="O48" vm="9555">
        <f ca="1"/>
        <v>39.159999999999997</v>
      </c>
      <c r="P48" vm="9556">
        <f ca="1"/>
        <v>39.369999999999997</v>
      </c>
      <c r="Q48" vm="9557">
        <f ca="1"/>
        <v>40.200000000000003</v>
      </c>
      <c r="R48" vm="9178">
        <f ca="1"/>
        <v>40.1</v>
      </c>
      <c r="S48" vm="9230">
        <f ca="1"/>
        <v>39.04</v>
      </c>
      <c r="T48" vm="9233">
        <f ca="1"/>
        <v>39.08</v>
      </c>
      <c r="U48" vm="9558">
        <f ca="1"/>
        <v>37.9</v>
      </c>
      <c r="V48" vm="9559">
        <f ca="1"/>
        <v>38.56</v>
      </c>
      <c r="W48" vm="2010">
        <f ca="1"/>
        <v>39.29</v>
      </c>
      <c r="X48" vm="9560">
        <f ca="1"/>
        <v>38.869999999999997</v>
      </c>
      <c r="Y48" vm="9561">
        <f ca="1"/>
        <v>38.94</v>
      </c>
      <c r="Z48" vm="9562">
        <f ca="1"/>
        <v>39.33</v>
      </c>
      <c r="AA48" vm="9563">
        <f ca="1"/>
        <v>39.58</v>
      </c>
      <c r="AB48" vm="9564">
        <f ca="1"/>
        <v>42.23</v>
      </c>
      <c r="AC48" vm="2056">
        <f ca="1"/>
        <v>41.28</v>
      </c>
      <c r="AD48" vm="9565">
        <f ca="1"/>
        <v>42.29</v>
      </c>
      <c r="AE48" vm="9255">
        <f ca="1"/>
        <v>42.4</v>
      </c>
      <c r="AF48" vm="3747">
        <f ca="1"/>
        <v>42.05</v>
      </c>
      <c r="AG48" vm="9198">
        <f ca="1"/>
        <v>42.47</v>
      </c>
      <c r="AH48" vm="9196">
        <f ca="1"/>
        <v>42.35</v>
      </c>
      <c r="AI48" vm="9149">
        <f ca="1"/>
        <v>42.49</v>
      </c>
      <c r="AJ48" vm="9566">
        <f ca="1"/>
        <v>42.13</v>
      </c>
      <c r="AK48" vm="9165">
        <f ca="1"/>
        <v>41.38</v>
      </c>
      <c r="AL48" vm="9567">
        <f ca="1"/>
        <v>41.1</v>
      </c>
      <c r="AM48" vm="9568">
        <f ca="1"/>
        <v>40.42</v>
      </c>
      <c r="AN48" vm="9179">
        <f ca="1"/>
        <v>39.909999999999997</v>
      </c>
      <c r="AO48" vm="9569">
        <f ca="1"/>
        <v>39.72</v>
      </c>
      <c r="AP48" vm="9178">
        <f ca="1"/>
        <v>40.1</v>
      </c>
      <c r="AQ48" vm="9570">
        <f ca="1"/>
        <v>40.130000000000003</v>
      </c>
      <c r="AR48" vm="9167">
        <f ca="1"/>
        <v>40.15</v>
      </c>
      <c r="AS48" vm="9571">
        <f ca="1"/>
        <v>40.590000000000003</v>
      </c>
      <c r="AT48" vm="9572">
        <f ca="1"/>
        <v>40.49</v>
      </c>
      <c r="AU48" vm="2072">
        <f ca="1"/>
        <v>40.5</v>
      </c>
      <c r="AV48" vm="9567">
        <f ca="1"/>
        <v>41.1</v>
      </c>
      <c r="AW48" vm="9573">
        <f ca="1"/>
        <v>40.729999999999997</v>
      </c>
      <c r="AX48" vm="9574">
        <f ca="1"/>
        <v>40.659999999999997</v>
      </c>
      <c r="AY48" vm="9575">
        <f ca="1"/>
        <v>39.69</v>
      </c>
      <c r="AZ48" vm="2090">
        <f ca="1"/>
        <v>39.93</v>
      </c>
      <c r="BA48" vm="9178">
        <f ca="1"/>
        <v>40.1</v>
      </c>
      <c r="BB48" vm="2031">
        <f ca="1"/>
        <v>40.020000000000003</v>
      </c>
      <c r="BC48" vm="9557">
        <f ca="1"/>
        <v>40.200000000000003</v>
      </c>
      <c r="BD48" vm="2057">
        <f ca="1"/>
        <v>40.31</v>
      </c>
      <c r="BE48" vm="9576">
        <f ca="1"/>
        <v>40.35</v>
      </c>
      <c r="BF48" vm="2090">
        <f ca="1"/>
        <v>39.93</v>
      </c>
      <c r="BG48" vm="9577">
        <f ca="1"/>
        <v>39.53</v>
      </c>
      <c r="BH48" vm="2029">
        <f ca="1"/>
        <v>39.51</v>
      </c>
      <c r="BI48" vm="9570">
        <f ca="1"/>
        <v>40.130000000000003</v>
      </c>
      <c r="BJ48" vm="9570">
        <f ca="1"/>
        <v>40.130000000000003</v>
      </c>
      <c r="BK48" vm="9578">
        <f ca="1"/>
        <v>40.26</v>
      </c>
      <c r="BL48" vm="2035">
        <f ca="1"/>
        <v>39.770000000000003</v>
      </c>
      <c r="BM48" vm="2030">
        <f ca="1"/>
        <v>39.49</v>
      </c>
      <c r="BN48" vm="2090">
        <f ca="1"/>
        <v>39.93</v>
      </c>
      <c r="BO48" vm="2092">
        <f ca="1"/>
        <v>39.97</v>
      </c>
      <c r="BP48" vm="9579">
        <f ca="1"/>
        <v>40.119999999999997</v>
      </c>
      <c r="BQ48" vm="9580">
        <f ca="1"/>
        <v>40.54</v>
      </c>
      <c r="BR48" vm="9180">
        <f ca="1"/>
        <v>40.369999999999997</v>
      </c>
      <c r="BS48" vm="2082">
        <f ca="1"/>
        <v>40.869999999999997</v>
      </c>
      <c r="BT48" vm="9581">
        <f ca="1"/>
        <v>40.85</v>
      </c>
      <c r="BU48" vm="9175">
        <f ca="1"/>
        <v>41.54</v>
      </c>
      <c r="BV48" vm="9190">
        <f ca="1"/>
        <v>41.96</v>
      </c>
      <c r="BW48" vm="9582">
        <f ca="1"/>
        <v>42.28</v>
      </c>
      <c r="BX48" vm="9583">
        <f ca="1"/>
        <v>42.54</v>
      </c>
      <c r="BY48" vm="9584">
        <f ca="1"/>
        <v>42.84</v>
      </c>
      <c r="BZ48" vm="9585">
        <f ca="1"/>
        <v>42.45</v>
      </c>
      <c r="CA48" vm="9586">
        <f ca="1"/>
        <v>42.12</v>
      </c>
      <c r="CB48" vm="9587">
        <f ca="1"/>
        <v>41.73</v>
      </c>
      <c r="CC48" vm="9177">
        <f ca="1"/>
        <v>40.840000000000003</v>
      </c>
      <c r="CD48" vm="9588">
        <f ca="1"/>
        <v>40.520000000000003</v>
      </c>
      <c r="CE48" vm="9589">
        <f ca="1"/>
        <v>40.159999999999997</v>
      </c>
      <c r="CF48" vm="9569">
        <f ca="1"/>
        <v>39.72</v>
      </c>
      <c r="CG48" vm="2089">
        <f ca="1"/>
        <v>40.11</v>
      </c>
      <c r="CH48" vm="2035">
        <f ca="1"/>
        <v>39.770000000000003</v>
      </c>
      <c r="CI48" vm="2023">
        <f ca="1"/>
        <v>39.78</v>
      </c>
      <c r="CJ48" vm="9570">
        <f ca="1"/>
        <v>40.130000000000003</v>
      </c>
      <c r="CK48" vm="9572">
        <f ca="1"/>
        <v>40.49</v>
      </c>
      <c r="CL48" vm="9590">
        <f ca="1"/>
        <v>38.6</v>
      </c>
      <c r="CM48" vm="2015">
        <f ca="1"/>
        <v>39.700000000000003</v>
      </c>
      <c r="CN48" vm="2030">
        <f ca="1"/>
        <v>39.49</v>
      </c>
      <c r="CO48" vm="2009">
        <f ca="1"/>
        <v>39.22</v>
      </c>
      <c r="CP48" vm="2021">
        <f ca="1"/>
        <v>39.68</v>
      </c>
      <c r="CQ48" vm="9591">
        <f ca="1"/>
        <v>40.090000000000003</v>
      </c>
      <c r="CR48" vm="2030">
        <f ca="1"/>
        <v>39.49</v>
      </c>
      <c r="CS48" vm="9592">
        <f ca="1"/>
        <v>39.200000000000003</v>
      </c>
      <c r="CT48" vm="9593">
        <f ca="1"/>
        <v>38.93</v>
      </c>
      <c r="CU48" vm="9594">
        <f ca="1"/>
        <v>38.89</v>
      </c>
      <c r="CV48" vm="9562">
        <f ca="1"/>
        <v>39.33</v>
      </c>
      <c r="CW48" vm="9595">
        <f ca="1"/>
        <v>39.31</v>
      </c>
      <c r="CX48" vm="9596">
        <f ca="1"/>
        <v>39.479999999999997</v>
      </c>
      <c r="CY48" vm="9597">
        <f ca="1"/>
        <v>39.79</v>
      </c>
      <c r="CZ48" vm="9598">
        <f ca="1"/>
        <v>40.4</v>
      </c>
      <c r="DA48" vm="9580">
        <f ca="1"/>
        <v>40.54</v>
      </c>
      <c r="DB48" vm="9572">
        <f ca="1"/>
        <v>40.49</v>
      </c>
      <c r="DC48" vm="9572">
        <f ca="1"/>
        <v>40.49</v>
      </c>
      <c r="DD48" vm="9599">
        <f ca="1"/>
        <v>40.25</v>
      </c>
      <c r="DE48" vm="9600">
        <f ca="1"/>
        <v>40.06</v>
      </c>
      <c r="DF48" vm="9579">
        <f ca="1"/>
        <v>40.119999999999997</v>
      </c>
      <c r="DG48" vm="2081">
        <f ca="1"/>
        <v>39.619999999999997</v>
      </c>
      <c r="DH48" vm="9597">
        <f ca="1"/>
        <v>39.79</v>
      </c>
      <c r="DI48" vm="9601">
        <f ca="1"/>
        <v>39.43</v>
      </c>
      <c r="DJ48" vm="9602">
        <f ca="1"/>
        <v>39.74</v>
      </c>
      <c r="DK48" vm="9603">
        <f ca="1"/>
        <v>39.36</v>
      </c>
      <c r="DL48" vm="2079">
        <f ca="1"/>
        <v>39.1</v>
      </c>
      <c r="DM48" vm="3755">
        <f ca="1"/>
        <v>40.33</v>
      </c>
      <c r="DN48" vm="9604">
        <f ca="1"/>
        <v>41.15</v>
      </c>
      <c r="DO48" vm="9605">
        <f ca="1"/>
        <v>40.98</v>
      </c>
      <c r="DP48" vm="9606">
        <f ca="1"/>
        <v>41.56</v>
      </c>
      <c r="DQ48" vm="9186">
        <f ca="1"/>
        <v>41.35</v>
      </c>
      <c r="DR48" vm="2106">
        <f ca="1"/>
        <v>41.33</v>
      </c>
      <c r="DS48" vm="9607">
        <f ca="1"/>
        <v>40.94</v>
      </c>
      <c r="DT48" vm="2039">
        <f ca="1"/>
        <v>40.409999999999997</v>
      </c>
      <c r="DU48" vm="9568">
        <f ca="1"/>
        <v>40.42</v>
      </c>
      <c r="DV48" vm="2035">
        <f ca="1"/>
        <v>39.770000000000003</v>
      </c>
      <c r="DW48" vm="2023">
        <f ca="1"/>
        <v>39.78</v>
      </c>
      <c r="DX48" vm="2024">
        <f ca="1"/>
        <v>39.67</v>
      </c>
      <c r="DY48" vm="9238">
        <f ca="1"/>
        <v>39.46</v>
      </c>
      <c r="DZ48" vm="9608">
        <f ca="1"/>
        <v>40.08</v>
      </c>
      <c r="EA48" vm="9609">
        <f ca="1"/>
        <v>40.24</v>
      </c>
      <c r="EB48" vm="9609">
        <f ca="1"/>
        <v>40.24</v>
      </c>
      <c r="EC48" vm="9610">
        <f ca="1"/>
        <v>41.17</v>
      </c>
      <c r="ED48" vm="9611">
        <f ca="1"/>
        <v>41.08</v>
      </c>
      <c r="EE48" vm="9612">
        <f ca="1"/>
        <v>41.02</v>
      </c>
      <c r="EF48" vm="9166">
        <f ca="1"/>
        <v>40.82</v>
      </c>
      <c r="EG48" vm="9613">
        <f ca="1"/>
        <v>41.24</v>
      </c>
      <c r="EH48" vm="2042">
        <f ca="1"/>
        <v>41.74</v>
      </c>
      <c r="EI48" vm="9567">
        <f ca="1"/>
        <v>41.1</v>
      </c>
      <c r="EJ48" vm="9219">
        <f ca="1"/>
        <v>41.12</v>
      </c>
      <c r="EK48" vm="9614">
        <f ca="1"/>
        <v>41.27</v>
      </c>
      <c r="EL48" vm="9615">
        <f ca="1"/>
        <v>41.53</v>
      </c>
      <c r="EM48" vm="9616">
        <f ca="1"/>
        <v>41.3</v>
      </c>
      <c r="EN48" vm="9611">
        <f ca="1"/>
        <v>41.08</v>
      </c>
      <c r="EO48" vm="9616">
        <f ca="1"/>
        <v>41.3</v>
      </c>
      <c r="EP48" vm="9226">
        <f ca="1"/>
        <v>41.43</v>
      </c>
      <c r="EQ48" vm="9617">
        <f ca="1"/>
        <v>40.79</v>
      </c>
      <c r="ER48" vm="9618">
        <f ca="1"/>
        <v>41.45</v>
      </c>
      <c r="ES48" vm="9209">
        <f ca="1"/>
        <v>42.03</v>
      </c>
      <c r="ET48" vm="9253">
        <f ca="1"/>
        <v>42.07</v>
      </c>
      <c r="EU48" vm="9619">
        <f ca="1"/>
        <v>41.62</v>
      </c>
      <c r="EV48" vm="9236">
        <f ca="1"/>
        <v>39.090000000000003</v>
      </c>
      <c r="EW48" vm="9594">
        <f ca="1"/>
        <v>38.89</v>
      </c>
      <c r="EX48" vm="2024">
        <f ca="1"/>
        <v>39.67</v>
      </c>
      <c r="EY48" vm="2068">
        <f ca="1"/>
        <v>39.950000000000003</v>
      </c>
      <c r="EZ48" vm="9591">
        <f ca="1"/>
        <v>40.090000000000003</v>
      </c>
      <c r="FA48" vm="9620">
        <f ca="1"/>
        <v>40.03</v>
      </c>
      <c r="FB48" vm="9621">
        <f ca="1"/>
        <v>40.04</v>
      </c>
      <c r="FC48" vm="9588">
        <f ca="1"/>
        <v>40.520000000000003</v>
      </c>
      <c r="FD48" vm="9581">
        <f ca="1"/>
        <v>40.85</v>
      </c>
      <c r="FE48" vm="9216">
        <f ca="1"/>
        <v>40.97</v>
      </c>
      <c r="FF48" vm="9622">
        <f ca="1"/>
        <v>39.799999999999997</v>
      </c>
      <c r="FG48" vm="9578">
        <f ca="1"/>
        <v>40.26</v>
      </c>
      <c r="FH48" vm="9623">
        <f ca="1"/>
        <v>40.28</v>
      </c>
      <c r="FI48" vm="9588">
        <f ca="1"/>
        <v>40.520000000000003</v>
      </c>
      <c r="FJ48" vm="2070">
        <f ca="1"/>
        <v>40.75</v>
      </c>
      <c r="FK48" vm="9229">
        <f ca="1"/>
        <v>40.53</v>
      </c>
      <c r="FL48" vm="9624">
        <f ca="1"/>
        <v>40.78</v>
      </c>
      <c r="FM48" vm="2038">
        <f ca="1"/>
        <v>40.9</v>
      </c>
      <c r="FN48" vm="9621">
        <f ca="1"/>
        <v>40.04</v>
      </c>
      <c r="FO48" vm="9625">
        <f ca="1"/>
        <v>40.61</v>
      </c>
      <c r="FP48" vm="9626">
        <f ca="1"/>
        <v>40.74</v>
      </c>
      <c r="FQ48" vm="9581">
        <f ca="1"/>
        <v>40.85</v>
      </c>
      <c r="FR48" vm="9215">
        <f ca="1"/>
        <v>41.05</v>
      </c>
      <c r="FS48" vm="2082">
        <f ca="1"/>
        <v>40.869999999999997</v>
      </c>
      <c r="FT48" vm="9627">
        <f ca="1"/>
        <v>41.21</v>
      </c>
      <c r="FU48" vm="9184">
        <f ca="1"/>
        <v>41.49</v>
      </c>
      <c r="FV48" vm="9618">
        <f ca="1"/>
        <v>41.45</v>
      </c>
      <c r="FW48" vm="9184">
        <f ca="1"/>
        <v>41.49</v>
      </c>
      <c r="FX48" vm="9628">
        <f ca="1"/>
        <v>41.25</v>
      </c>
      <c r="FY48" vm="9169">
        <f ca="1"/>
        <v>41.78</v>
      </c>
      <c r="FZ48" vm="9629">
        <f ca="1"/>
        <v>42.93</v>
      </c>
      <c r="GA48" vm="9630">
        <f ca="1"/>
        <v>41.48</v>
      </c>
      <c r="GB48" vm="9631">
        <f ca="1"/>
        <v>41.31</v>
      </c>
      <c r="GC48" vm="9604">
        <f ca="1"/>
        <v>41.15</v>
      </c>
      <c r="GD48" vm="3734">
        <f ca="1"/>
        <v>42.73</v>
      </c>
      <c r="GE48" vm="3715">
        <f ca="1"/>
        <v>43.65</v>
      </c>
      <c r="GF48" vm="9632">
        <f ca="1"/>
        <v>43.8</v>
      </c>
      <c r="GG48" vm="9633">
        <f ca="1"/>
        <v>43.86</v>
      </c>
      <c r="GH48" vm="9634">
        <f ca="1"/>
        <v>44.43</v>
      </c>
      <c r="GI48" vm="9635">
        <f ca="1"/>
        <v>45</v>
      </c>
      <c r="GJ48" vm="9636">
        <f ca="1"/>
        <v>44.08</v>
      </c>
      <c r="GK48" vm="9637">
        <f ca="1"/>
        <v>43.88</v>
      </c>
      <c r="GL48" vm="3754">
        <f ca="1"/>
        <v>43.94</v>
      </c>
      <c r="GM48" vm="9638">
        <f ca="1"/>
        <v>44.33</v>
      </c>
      <c r="GN48" vm="9282">
        <f ca="1"/>
        <v>44.26</v>
      </c>
      <c r="GO48" vm="9639">
        <f ca="1"/>
        <v>44.66</v>
      </c>
      <c r="GP48" vm="9640">
        <f ca="1"/>
        <v>44.55</v>
      </c>
      <c r="GQ48" vm="9271">
        <f ca="1"/>
        <v>44.62</v>
      </c>
      <c r="GR48" vm="9641">
        <f ca="1"/>
        <v>44.89</v>
      </c>
      <c r="GS48" vm="9642">
        <f ca="1"/>
        <v>44.91</v>
      </c>
      <c r="GT48" vm="9643">
        <f ca="1"/>
        <v>45.21</v>
      </c>
      <c r="GU48" vm="9644">
        <f ca="1"/>
        <v>45.05</v>
      </c>
      <c r="GV48" vm="3730">
        <f ca="1"/>
        <v>44.52</v>
      </c>
      <c r="GW48" vm="9645">
        <f ca="1"/>
        <v>44.18</v>
      </c>
      <c r="GX48" vm="3716">
        <f ca="1"/>
        <v>43.84</v>
      </c>
      <c r="GY48" vm="9646">
        <f ca="1"/>
        <v>44.01</v>
      </c>
      <c r="GZ48" vm="9647">
        <f ca="1"/>
        <v>44.11</v>
      </c>
      <c r="HA48" vm="9173">
        <f ca="1"/>
        <v>42.95</v>
      </c>
      <c r="HB48" vm="9648">
        <f ca="1"/>
        <v>43</v>
      </c>
      <c r="HC48" vm="9256">
        <f ca="1"/>
        <v>43.19</v>
      </c>
      <c r="HD48" vm="9258">
        <f ca="1"/>
        <v>43.74</v>
      </c>
      <c r="HE48" vm="9157">
        <f ca="1"/>
        <v>43.91</v>
      </c>
      <c r="HF48" vm="9270">
        <f ca="1"/>
        <v>43.85</v>
      </c>
      <c r="HG48" vm="9649">
        <f ca="1"/>
        <v>43.99</v>
      </c>
      <c r="HH48" vm="9259">
        <f ca="1"/>
        <v>43.7</v>
      </c>
      <c r="HI48" vm="9650">
        <f ca="1"/>
        <v>41.5</v>
      </c>
      <c r="HJ48" vm="9651">
        <f ca="1"/>
        <v>42.86</v>
      </c>
      <c r="HK48" vm="9652">
        <f ca="1"/>
        <v>41.86</v>
      </c>
      <c r="HL48" vm="9165">
        <f ca="1"/>
        <v>41.38</v>
      </c>
      <c r="HM48" vm="9619">
        <f ca="1"/>
        <v>41.62</v>
      </c>
      <c r="HN48" vm="2106">
        <f ca="1"/>
        <v>41.33</v>
      </c>
      <c r="HO48" vm="2056">
        <f ca="1"/>
        <v>41.28</v>
      </c>
      <c r="HP48" vm="9566">
        <f ca="1"/>
        <v>42.13</v>
      </c>
      <c r="HQ48" vm="9187">
        <f ca="1"/>
        <v>41.36</v>
      </c>
      <c r="HR48" vm="9653">
        <f ca="1"/>
        <v>41.06</v>
      </c>
      <c r="HS48" vm="9654">
        <f ca="1"/>
        <v>41.26</v>
      </c>
      <c r="HT48" vm="9655">
        <f ca="1"/>
        <v>41.16</v>
      </c>
      <c r="HU48" vm="9656">
        <f ca="1"/>
        <v>40.57</v>
      </c>
      <c r="HV48" vm="9657">
        <f ca="1"/>
        <v>40.479999999999997</v>
      </c>
      <c r="HW48" vm="9658">
        <f ca="1"/>
        <v>40.44</v>
      </c>
      <c r="HX48" vm="9598">
        <f ca="1"/>
        <v>40.4</v>
      </c>
      <c r="HY48" vm="9185">
        <f ca="1"/>
        <v>41.14</v>
      </c>
      <c r="HZ48" vm="2082">
        <f ca="1"/>
        <v>40.869999999999997</v>
      </c>
      <c r="IA48" vm="9225">
        <f ca="1"/>
        <v>41.65</v>
      </c>
      <c r="IB48" vm="9659">
        <f ca="1"/>
        <v>42.25</v>
      </c>
      <c r="IC48" vm="9240">
        <f ca="1"/>
        <v>41.93</v>
      </c>
      <c r="ID48" vm="9199">
        <f ca="1"/>
        <v>42.22</v>
      </c>
      <c r="IE48" vm="3723">
        <f ca="1"/>
        <v>42.5</v>
      </c>
      <c r="IF48" vm="9660">
        <f ca="1"/>
        <v>43.15</v>
      </c>
      <c r="IG48" vm="2047">
        <f ca="1"/>
        <v>43.98</v>
      </c>
      <c r="IH48" vm="9661">
        <f ca="1"/>
        <v>44.37</v>
      </c>
      <c r="II48" vm="9662">
        <f ca="1"/>
        <v>44.38</v>
      </c>
      <c r="IJ48" vm="9663">
        <f ca="1"/>
        <v>44.34</v>
      </c>
      <c r="IK48" vm="9270">
        <f ca="1"/>
        <v>43.85</v>
      </c>
      <c r="IL48" vm="9664">
        <f ca="1"/>
        <v>43.83</v>
      </c>
      <c r="IM48" vm="9665">
        <f ca="1"/>
        <v>42.52</v>
      </c>
      <c r="IN48" vm="9666">
        <f ca="1"/>
        <v>42.55</v>
      </c>
      <c r="IO48" vm="9667">
        <f ca="1"/>
        <v>42.37</v>
      </c>
      <c r="IP48" vm="9668">
        <f ca="1"/>
        <v>42.36</v>
      </c>
      <c r="IQ48" vm="2050">
        <f ca="1"/>
        <v>42.3</v>
      </c>
    </row>
    <row r="49" spans="1:251">
      <c r="A49" cm="1" vm="9669">
        <f t="array" aca="1" ref="A49:IQ49" ca="1">TRANSPOSE(_xlfn.STOCKHISTORY(Table3[[#This Row],[Stock Name ]],TODAY()-365,TODAY(),0,0,1))</f>
        <v>259.56</v>
      </c>
      <c r="B49" vm="9670">
        <f ca="1"/>
        <v>262.38</v>
      </c>
      <c r="C49" vm="9671">
        <f ca="1"/>
        <v>258.73</v>
      </c>
      <c r="D49" vm="9672">
        <f ca="1"/>
        <v>258.02999999999997</v>
      </c>
      <c r="E49" vm="9673">
        <f ca="1"/>
        <v>258.37</v>
      </c>
      <c r="F49" vm="5114">
        <f ca="1"/>
        <v>259.99</v>
      </c>
      <c r="G49" vm="9674">
        <f ca="1"/>
        <v>257.11</v>
      </c>
      <c r="H49" vm="5144">
        <f ca="1"/>
        <v>259.54000000000002</v>
      </c>
      <c r="I49" vm="9675">
        <f ca="1"/>
        <v>258.43</v>
      </c>
      <c r="J49" vm="9676">
        <f ca="1"/>
        <v>259.16000000000003</v>
      </c>
      <c r="K49" vm="9677">
        <f ca="1"/>
        <v>258.93</v>
      </c>
      <c r="L49" vm="9678">
        <f ca="1"/>
        <v>260.39999999999998</v>
      </c>
      <c r="M49" vm="8027">
        <f ca="1"/>
        <v>260.35000000000002</v>
      </c>
      <c r="N49" vm="9679">
        <f ca="1"/>
        <v>258.87</v>
      </c>
      <c r="O49" vm="9680">
        <f ca="1"/>
        <v>257.98</v>
      </c>
      <c r="P49" vm="9681">
        <f ca="1"/>
        <v>259.61</v>
      </c>
      <c r="Q49" vm="9682">
        <f ca="1"/>
        <v>259.69</v>
      </c>
      <c r="R49" vm="9683">
        <f ca="1"/>
        <v>262.54000000000002</v>
      </c>
      <c r="S49" vm="9684">
        <f ca="1"/>
        <v>263.33</v>
      </c>
      <c r="T49" vm="9685">
        <f ca="1"/>
        <v>264.56</v>
      </c>
      <c r="U49" vm="9686">
        <f ca="1"/>
        <v>264.02999999999997</v>
      </c>
      <c r="V49" vm="9687">
        <f ca="1"/>
        <v>264.17</v>
      </c>
      <c r="W49" vm="9688">
        <f ca="1"/>
        <v>265.24</v>
      </c>
      <c r="X49" vm="9689">
        <f ca="1"/>
        <v>266.63</v>
      </c>
      <c r="Y49" vm="9690">
        <f ca="1"/>
        <v>268.14</v>
      </c>
      <c r="Z49" vm="9691">
        <f ca="1"/>
        <v>270.89999999999998</v>
      </c>
      <c r="AA49" vm="9692">
        <f ca="1"/>
        <v>271.2</v>
      </c>
      <c r="AB49" vm="9693">
        <f ca="1"/>
        <v>271.26</v>
      </c>
      <c r="AC49" vm="9694">
        <f ca="1"/>
        <v>271.64999999999998</v>
      </c>
      <c r="AD49" vm="9695">
        <f ca="1"/>
        <v>272.61</v>
      </c>
      <c r="AE49" vm="9696">
        <f ca="1"/>
        <v>267.94</v>
      </c>
      <c r="AF49" vm="7503">
        <f ca="1"/>
        <v>273.66000000000003</v>
      </c>
      <c r="AG49" vm="9697">
        <f ca="1"/>
        <v>277.14999999999998</v>
      </c>
      <c r="AH49" vm="9698">
        <f ca="1"/>
        <v>273.26</v>
      </c>
      <c r="AI49" vm="9699">
        <f ca="1"/>
        <v>277.05</v>
      </c>
      <c r="AJ49" vm="4707">
        <f ca="1"/>
        <v>277.18</v>
      </c>
      <c r="AK49" vm="5083">
        <f ca="1"/>
        <v>275.58</v>
      </c>
      <c r="AL49" vm="9700">
        <f ca="1"/>
        <v>276.76</v>
      </c>
      <c r="AM49" vm="9701">
        <f ca="1"/>
        <v>279.39</v>
      </c>
      <c r="AN49" vm="9702">
        <f ca="1"/>
        <v>275.77999999999997</v>
      </c>
      <c r="AO49" vm="9703">
        <f ca="1"/>
        <v>276.43</v>
      </c>
      <c r="AP49" vm="9704">
        <f ca="1"/>
        <v>275.07</v>
      </c>
      <c r="AQ49" vm="9705">
        <f ca="1"/>
        <v>275.81</v>
      </c>
      <c r="AR49" vm="9706">
        <f ca="1"/>
        <v>277.56</v>
      </c>
      <c r="AS49" vm="9707">
        <f ca="1"/>
        <v>280.98</v>
      </c>
      <c r="AT49" vm="9708">
        <f ca="1"/>
        <v>278.56</v>
      </c>
      <c r="AU49" vm="9709">
        <f ca="1"/>
        <v>275.14999999999998</v>
      </c>
      <c r="AV49" vm="9700">
        <f ca="1"/>
        <v>276.76</v>
      </c>
      <c r="AW49" vm="9710">
        <f ca="1"/>
        <v>283.75</v>
      </c>
      <c r="AX49" vm="9711">
        <f ca="1"/>
        <v>283.60000000000002</v>
      </c>
      <c r="AY49" vm="9712">
        <f ca="1"/>
        <v>284.14999999999998</v>
      </c>
      <c r="AZ49" vm="9713">
        <f ca="1"/>
        <v>283.17</v>
      </c>
      <c r="BA49" vm="5165">
        <f ca="1"/>
        <v>285.63</v>
      </c>
      <c r="BB49" vm="9714">
        <f ca="1"/>
        <v>282.64</v>
      </c>
      <c r="BC49" vm="9715">
        <f ca="1"/>
        <v>283.16000000000003</v>
      </c>
      <c r="BD49" vm="9716">
        <f ca="1"/>
        <v>280.52999999999997</v>
      </c>
      <c r="BE49" vm="9717">
        <f ca="1"/>
        <v>279.38</v>
      </c>
      <c r="BF49" vm="9718">
        <f ca="1"/>
        <v>280.43</v>
      </c>
      <c r="BG49" vm="9719">
        <f ca="1"/>
        <v>278.26</v>
      </c>
      <c r="BH49" vm="9720">
        <f ca="1"/>
        <v>280.04000000000002</v>
      </c>
      <c r="BI49" vm="9721">
        <f ca="1"/>
        <v>280.56</v>
      </c>
      <c r="BJ49" vm="9722">
        <f ca="1"/>
        <v>283.92</v>
      </c>
      <c r="BK49" vm="9723">
        <f ca="1"/>
        <v>285.14</v>
      </c>
      <c r="BL49" vm="9724">
        <f ca="1"/>
        <v>286.41000000000003</v>
      </c>
      <c r="BM49" vm="9725">
        <f ca="1"/>
        <v>283.04000000000002</v>
      </c>
      <c r="BN49" vm="9726">
        <f ca="1"/>
        <v>285.05</v>
      </c>
      <c r="BO49" vm="9727">
        <f ca="1"/>
        <v>287.35000000000002</v>
      </c>
      <c r="BP49" vm="9728">
        <f ca="1"/>
        <v>289.27999999999997</v>
      </c>
      <c r="BQ49" vm="9729">
        <f ca="1"/>
        <v>290.37</v>
      </c>
      <c r="BR49" vm="9730">
        <f ca="1"/>
        <v>283.26</v>
      </c>
      <c r="BS49" vm="9731">
        <f ca="1"/>
        <v>281.20999999999998</v>
      </c>
      <c r="BT49" vm="9732">
        <f ca="1"/>
        <v>280.60000000000002</v>
      </c>
      <c r="BU49" vm="9733">
        <f ca="1"/>
        <v>279.02</v>
      </c>
      <c r="BV49" vm="9734">
        <f ca="1"/>
        <v>279.08</v>
      </c>
      <c r="BW49" vm="9735">
        <f ca="1"/>
        <v>278.27999999999997</v>
      </c>
      <c r="BX49" vm="9736">
        <f ca="1"/>
        <v>278.44</v>
      </c>
      <c r="BY49" vm="9737">
        <f ca="1"/>
        <v>276.95999999999998</v>
      </c>
      <c r="BZ49" vm="9738">
        <f ca="1"/>
        <v>274</v>
      </c>
      <c r="CA49" vm="9739">
        <f ca="1"/>
        <v>277.14</v>
      </c>
      <c r="CB49" vm="9740">
        <f ca="1"/>
        <v>277.76</v>
      </c>
      <c r="CC49" vm="9741">
        <f ca="1"/>
        <v>276.72000000000003</v>
      </c>
      <c r="CD49" vm="9742">
        <f ca="1"/>
        <v>274.48</v>
      </c>
      <c r="CE49" vm="9743">
        <f ca="1"/>
        <v>275.68</v>
      </c>
      <c r="CF49" vm="9744">
        <f ca="1"/>
        <v>275.95999999999998</v>
      </c>
      <c r="CG49" vm="9745">
        <f ca="1"/>
        <v>271.27999999999997</v>
      </c>
      <c r="CH49" vm="9746">
        <f ca="1"/>
        <v>271.35000000000002</v>
      </c>
      <c r="CI49" vm="9747">
        <f ca="1"/>
        <v>272.69</v>
      </c>
      <c r="CJ49" vm="9748">
        <f ca="1"/>
        <v>271.37</v>
      </c>
      <c r="CK49" vm="9749">
        <f ca="1"/>
        <v>269.77999999999997</v>
      </c>
      <c r="CL49" vm="9750">
        <f ca="1"/>
        <v>272.33</v>
      </c>
      <c r="CM49" vm="9751">
        <f ca="1"/>
        <v>274.11</v>
      </c>
      <c r="CN49" vm="9752">
        <f ca="1"/>
        <v>275.02</v>
      </c>
      <c r="CO49" vm="9753">
        <f ca="1"/>
        <v>275.16000000000003</v>
      </c>
      <c r="CP49" vm="9754">
        <f ca="1"/>
        <v>274.52</v>
      </c>
      <c r="CQ49" vm="9755">
        <f ca="1"/>
        <v>271.83999999999997</v>
      </c>
      <c r="CR49" vm="9756">
        <f ca="1"/>
        <v>268.61</v>
      </c>
      <c r="CS49" vm="9757">
        <f ca="1"/>
        <v>267.32</v>
      </c>
      <c r="CT49" vm="9758">
        <f ca="1"/>
        <v>267.61</v>
      </c>
      <c r="CU49" vm="5095">
        <f ca="1"/>
        <v>268.49</v>
      </c>
      <c r="CV49" vm="9759">
        <f ca="1"/>
        <v>272.67</v>
      </c>
      <c r="CW49" vm="9760">
        <f ca="1"/>
        <v>276.45999999999998</v>
      </c>
      <c r="CX49" vm="9761">
        <f ca="1"/>
        <v>277.19</v>
      </c>
      <c r="CY49" vm="9762">
        <f ca="1"/>
        <v>278.54000000000002</v>
      </c>
      <c r="CZ49" vm="9763">
        <f ca="1"/>
        <v>280.74</v>
      </c>
      <c r="DA49" vm="9701">
        <f ca="1"/>
        <v>279.39</v>
      </c>
      <c r="DB49" vm="5069">
        <f ca="1"/>
        <v>277.74</v>
      </c>
      <c r="DC49" vm="9764">
        <f ca="1"/>
        <v>281.5</v>
      </c>
      <c r="DD49" vm="9765">
        <f ca="1"/>
        <v>279.83999999999997</v>
      </c>
      <c r="DE49" vm="9766">
        <f ca="1"/>
        <v>280.10000000000002</v>
      </c>
      <c r="DF49" vm="9762">
        <f ca="1"/>
        <v>278.54000000000002</v>
      </c>
      <c r="DG49" vm="9767">
        <f ca="1"/>
        <v>275.95</v>
      </c>
      <c r="DH49" vm="5083">
        <f ca="1"/>
        <v>275.58</v>
      </c>
      <c r="DI49" vm="9768">
        <f ca="1"/>
        <v>274.23</v>
      </c>
      <c r="DJ49" vm="9769">
        <f ca="1"/>
        <v>274.49</v>
      </c>
      <c r="DK49" vm="5081">
        <f ca="1"/>
        <v>270.98</v>
      </c>
      <c r="DL49" vm="9770">
        <f ca="1"/>
        <v>268.86</v>
      </c>
      <c r="DM49" vm="9771">
        <f ca="1"/>
        <v>271.3</v>
      </c>
      <c r="DN49" vm="9772">
        <f ca="1"/>
        <v>272.45999999999998</v>
      </c>
      <c r="DO49" vm="9773">
        <f ca="1"/>
        <v>270.38</v>
      </c>
      <c r="DP49" vm="9774">
        <f ca="1"/>
        <v>272.42</v>
      </c>
      <c r="DQ49" vm="9775">
        <f ca="1"/>
        <v>274.5</v>
      </c>
      <c r="DR49" vm="9776">
        <f ca="1"/>
        <v>277.04000000000002</v>
      </c>
      <c r="DS49" vm="9777">
        <f ca="1"/>
        <v>278.67</v>
      </c>
      <c r="DT49" vm="9778">
        <f ca="1"/>
        <v>275.04000000000002</v>
      </c>
      <c r="DU49" vm="9779">
        <f ca="1"/>
        <v>274.67</v>
      </c>
      <c r="DV49" vm="5092">
        <f ca="1"/>
        <v>270.32</v>
      </c>
      <c r="DW49" vm="5157">
        <f ca="1"/>
        <v>271.19</v>
      </c>
      <c r="DX49" vm="5099">
        <f ca="1"/>
        <v>270.66000000000003</v>
      </c>
      <c r="DY49" vm="9780">
        <f ca="1"/>
        <v>271.17</v>
      </c>
      <c r="DZ49" vm="9781">
        <f ca="1"/>
        <v>273.62</v>
      </c>
      <c r="EA49" vm="9782">
        <f ca="1"/>
        <v>276.82</v>
      </c>
      <c r="EB49" vm="9783">
        <f ca="1"/>
        <v>275.22000000000003</v>
      </c>
      <c r="EC49" vm="9784">
        <f ca="1"/>
        <v>276.3</v>
      </c>
      <c r="ED49" vm="9785">
        <f ca="1"/>
        <v>273.52999999999997</v>
      </c>
      <c r="EE49" vm="9786">
        <f ca="1"/>
        <v>273.60000000000002</v>
      </c>
      <c r="EF49" vm="9787">
        <f ca="1"/>
        <v>266.58999999999997</v>
      </c>
      <c r="EG49" vm="9788">
        <f ca="1"/>
        <v>262.47000000000003</v>
      </c>
      <c r="EH49" vm="9789">
        <f ca="1"/>
        <v>263.24</v>
      </c>
      <c r="EI49" vm="9790">
        <f ca="1"/>
        <v>268.23</v>
      </c>
      <c r="EJ49" vm="9791">
        <f ca="1"/>
        <v>268.99</v>
      </c>
      <c r="EK49" vm="9792">
        <f ca="1"/>
        <v>270.36</v>
      </c>
      <c r="EL49" vm="9793">
        <f ca="1"/>
        <v>266.39999999999998</v>
      </c>
      <c r="EM49" vm="9794">
        <f ca="1"/>
        <v>265.44</v>
      </c>
      <c r="EN49" vm="9795">
        <f ca="1"/>
        <v>263</v>
      </c>
      <c r="EO49" vm="9796">
        <f ca="1"/>
        <v>262.55</v>
      </c>
      <c r="EP49" vm="9797">
        <f ca="1"/>
        <v>265.74</v>
      </c>
      <c r="EQ49" vm="5154">
        <f ca="1"/>
        <v>268.45</v>
      </c>
      <c r="ER49" vm="9798">
        <f ca="1"/>
        <v>269.25</v>
      </c>
      <c r="ES49" vm="9799">
        <f ca="1"/>
        <v>272.7</v>
      </c>
      <c r="ET49" vm="9800">
        <f ca="1"/>
        <v>269.14999999999998</v>
      </c>
      <c r="EU49" vm="9801">
        <f ca="1"/>
        <v>265.45999999999998</v>
      </c>
      <c r="EV49" vm="9802">
        <f ca="1"/>
        <v>267.70999999999998</v>
      </c>
      <c r="EW49" vm="9803">
        <f ca="1"/>
        <v>264.79000000000002</v>
      </c>
      <c r="EX49" vm="9804">
        <f ca="1"/>
        <v>254.17</v>
      </c>
      <c r="EY49" vm="9805">
        <f ca="1"/>
        <v>253.74</v>
      </c>
      <c r="EZ49" vm="9806">
        <f ca="1"/>
        <v>259.45999999999998</v>
      </c>
      <c r="FA49" vm="7410">
        <f ca="1"/>
        <v>261.60000000000002</v>
      </c>
      <c r="FB49" vm="9807">
        <f ca="1"/>
        <v>263.10000000000002</v>
      </c>
      <c r="FC49" vm="9808">
        <f ca="1"/>
        <v>265.67</v>
      </c>
      <c r="FD49" vm="9809">
        <f ca="1"/>
        <v>265.93</v>
      </c>
      <c r="FE49" vm="9810">
        <f ca="1"/>
        <v>266.58</v>
      </c>
      <c r="FF49" vm="9811">
        <f ca="1"/>
        <v>256.44</v>
      </c>
      <c r="FG49" vm="9812">
        <f ca="1"/>
        <v>258.26</v>
      </c>
      <c r="FH49" vm="7555">
        <f ca="1"/>
        <v>256.52</v>
      </c>
      <c r="FI49" vm="9813">
        <f ca="1"/>
        <v>259.83</v>
      </c>
      <c r="FJ49" vm="9814">
        <f ca="1"/>
        <v>259.76</v>
      </c>
      <c r="FK49" vm="9815">
        <f ca="1"/>
        <v>259.89</v>
      </c>
      <c r="FL49" vm="9816">
        <f ca="1"/>
        <v>260.13</v>
      </c>
      <c r="FM49" vm="9817">
        <f ca="1"/>
        <v>261.14</v>
      </c>
      <c r="FN49" vm="7590">
        <f ca="1"/>
        <v>266.8</v>
      </c>
      <c r="FO49" vm="9818">
        <f ca="1"/>
        <v>267.38</v>
      </c>
      <c r="FP49" vm="9819">
        <f ca="1"/>
        <v>266.47000000000003</v>
      </c>
      <c r="FQ49" vm="9820">
        <f ca="1"/>
        <v>268.04000000000002</v>
      </c>
      <c r="FR49" vm="9821">
        <f ca="1"/>
        <v>268.2</v>
      </c>
      <c r="FS49" vm="9696">
        <f ca="1"/>
        <v>267.94</v>
      </c>
      <c r="FT49" vm="9822">
        <f ca="1"/>
        <v>267.44</v>
      </c>
      <c r="FU49" vm="9823">
        <f ca="1"/>
        <v>268.20999999999998</v>
      </c>
      <c r="FV49" vm="9824">
        <f ca="1"/>
        <v>270.72000000000003</v>
      </c>
      <c r="FW49" vm="7429">
        <f ca="1"/>
        <v>269.19</v>
      </c>
      <c r="FX49" vm="9825">
        <f ca="1"/>
        <v>274.32</v>
      </c>
      <c r="FY49" vm="9826">
        <f ca="1"/>
        <v>276.37</v>
      </c>
      <c r="FZ49" vm="9762">
        <f ca="1"/>
        <v>278.54000000000002</v>
      </c>
      <c r="GA49" vm="9827">
        <f ca="1"/>
        <v>280.49</v>
      </c>
      <c r="GB49" vm="5065">
        <f ca="1"/>
        <v>278.62</v>
      </c>
      <c r="GC49" vm="9828">
        <f ca="1"/>
        <v>279.37</v>
      </c>
      <c r="GD49" vm="7512">
        <f ca="1"/>
        <v>285.61</v>
      </c>
      <c r="GE49" vm="9829">
        <f ca="1"/>
        <v>285.33999999999997</v>
      </c>
      <c r="GF49" vm="9830">
        <f ca="1"/>
        <v>283.95999999999998</v>
      </c>
      <c r="GG49" vm="9831">
        <f ca="1"/>
        <v>285.37</v>
      </c>
      <c r="GH49" vm="9727">
        <f ca="1"/>
        <v>287.35000000000002</v>
      </c>
      <c r="GI49" vm="9832">
        <f ca="1"/>
        <v>290.48</v>
      </c>
      <c r="GJ49" vm="9833">
        <f ca="1"/>
        <v>291.56</v>
      </c>
      <c r="GK49" vm="9834">
        <f ca="1"/>
        <v>288.48</v>
      </c>
      <c r="GL49" vm="9835">
        <f ca="1"/>
        <v>285.24</v>
      </c>
      <c r="GM49" vm="9836">
        <f ca="1"/>
        <v>284.77</v>
      </c>
      <c r="GN49" vm="9837">
        <f ca="1"/>
        <v>288.63</v>
      </c>
      <c r="GO49" vm="9838">
        <f ca="1"/>
        <v>272.77999999999997</v>
      </c>
      <c r="GP49" vm="9839">
        <f ca="1"/>
        <v>269.63</v>
      </c>
      <c r="GQ49" vm="9840">
        <f ca="1"/>
        <v>271.69</v>
      </c>
      <c r="GR49" vm="7506">
        <f ca="1"/>
        <v>275.17</v>
      </c>
      <c r="GS49" vm="9841">
        <f ca="1"/>
        <v>274.95</v>
      </c>
      <c r="GT49" vm="9842">
        <f ca="1"/>
        <v>277.60000000000002</v>
      </c>
      <c r="GU49" vm="9843">
        <f ca="1"/>
        <v>277</v>
      </c>
      <c r="GV49" vm="9844">
        <f ca="1"/>
        <v>276.86</v>
      </c>
      <c r="GW49" vm="9845">
        <f ca="1"/>
        <v>277.93</v>
      </c>
      <c r="GX49" vm="9846">
        <f ca="1"/>
        <v>273.79000000000002</v>
      </c>
      <c r="GY49" vm="9847">
        <f ca="1"/>
        <v>274.95999999999998</v>
      </c>
      <c r="GZ49" vm="9848">
        <f ca="1"/>
        <v>276.93</v>
      </c>
      <c r="HA49" vm="9849">
        <f ca="1"/>
        <v>277.47000000000003</v>
      </c>
      <c r="HB49" vm="9850">
        <f ca="1"/>
        <v>277.83999999999997</v>
      </c>
      <c r="HC49" vm="9851">
        <f ca="1"/>
        <v>280.68</v>
      </c>
      <c r="HD49" vm="9852">
        <f ca="1"/>
        <v>279.29000000000002</v>
      </c>
      <c r="HE49" vm="9853">
        <f ca="1"/>
        <v>287.52</v>
      </c>
      <c r="HF49" vm="9854">
        <f ca="1"/>
        <v>290.39</v>
      </c>
      <c r="HG49" vm="9855">
        <f ca="1"/>
        <v>290.62</v>
      </c>
      <c r="HH49" vm="9856">
        <f ca="1"/>
        <v>286.85000000000002</v>
      </c>
      <c r="HI49" vm="9857">
        <f ca="1"/>
        <v>284.79000000000002</v>
      </c>
      <c r="HJ49" vm="7514">
        <f ca="1"/>
        <v>283.76</v>
      </c>
      <c r="HK49" vm="9858">
        <f ca="1"/>
        <v>283.22000000000003</v>
      </c>
      <c r="HL49" vm="5058">
        <f ca="1"/>
        <v>281.73</v>
      </c>
      <c r="HM49" vm="9859">
        <f ca="1"/>
        <v>284.19</v>
      </c>
      <c r="HN49" vm="9860">
        <f ca="1"/>
        <v>281.88</v>
      </c>
      <c r="HO49" vm="9861">
        <f ca="1"/>
        <v>290.16000000000003</v>
      </c>
      <c r="HP49" vm="9862">
        <f ca="1"/>
        <v>289.85000000000002</v>
      </c>
      <c r="HQ49" vm="9863">
        <f ca="1"/>
        <v>290.74</v>
      </c>
      <c r="HR49" vm="9864">
        <f ca="1"/>
        <v>291.85000000000002</v>
      </c>
      <c r="HS49" vm="9865">
        <f ca="1"/>
        <v>293.29000000000002</v>
      </c>
      <c r="HT49" vm="9866">
        <f ca="1"/>
        <v>307.39999999999998</v>
      </c>
      <c r="HU49" vm="9867">
        <f ca="1"/>
        <v>305.8</v>
      </c>
      <c r="HV49" vm="9868">
        <f ca="1"/>
        <v>307.87</v>
      </c>
      <c r="HW49" vm="9869">
        <f ca="1"/>
        <v>310.92</v>
      </c>
      <c r="HX49" vm="9870">
        <f ca="1"/>
        <v>309.85000000000002</v>
      </c>
      <c r="HY49" vm="9871">
        <f ca="1"/>
        <v>309.48</v>
      </c>
      <c r="HZ49" vm="9872">
        <f ca="1"/>
        <v>308.25</v>
      </c>
      <c r="IA49" vm="9873">
        <f ca="1"/>
        <v>309.64</v>
      </c>
      <c r="IB49" vm="9874">
        <f ca="1"/>
        <v>312.16000000000003</v>
      </c>
      <c r="IC49" vm="9875">
        <f ca="1"/>
        <v>311.85000000000002</v>
      </c>
      <c r="ID49" vm="9876">
        <f ca="1"/>
        <v>307.39</v>
      </c>
      <c r="IE49" vm="9877">
        <f ca="1"/>
        <v>309.89999999999998</v>
      </c>
      <c r="IF49" vm="9878">
        <f ca="1"/>
        <v>309.92</v>
      </c>
      <c r="IG49" vm="9879">
        <f ca="1"/>
        <v>313.19</v>
      </c>
      <c r="IH49" vm="9880">
        <f ca="1"/>
        <v>311.82</v>
      </c>
      <c r="II49" vm="5204">
        <f ca="1"/>
        <v>314.7</v>
      </c>
      <c r="IJ49" vm="9881">
        <f ca="1"/>
        <v>315.08</v>
      </c>
      <c r="IK49" vm="9882">
        <f ca="1"/>
        <v>316.64999999999998</v>
      </c>
      <c r="IL49" vm="9883">
        <f ca="1"/>
        <v>313.01</v>
      </c>
      <c r="IM49" vm="9877">
        <f ca="1"/>
        <v>309.89999999999998</v>
      </c>
      <c r="IN49" vm="9884">
        <f ca="1"/>
        <v>309.08</v>
      </c>
      <c r="IO49" vm="9885">
        <f ca="1"/>
        <v>311.01</v>
      </c>
      <c r="IP49" vm="9886">
        <f ca="1"/>
        <v>308.3</v>
      </c>
      <c r="IQ49" vm="9887">
        <f ca="1"/>
        <v>312.38</v>
      </c>
    </row>
    <row r="50" spans="1:251">
      <c r="A50" cm="1" vm="9888">
        <f t="array" aca="1" ref="A50:IQ50" ca="1">TRANSPOSE(_xlfn.STOCKHISTORY(Table3[[#This Row],[Stock Name ]],TODAY()-365,TODAY(),0,0,1))</f>
        <v>50.452800000000003</v>
      </c>
      <c r="B50" vm="9889">
        <f ca="1"/>
        <v>51.349499999999999</v>
      </c>
      <c r="C50" vm="9890">
        <f ca="1"/>
        <v>50.722799999999999</v>
      </c>
      <c r="D50" vm="9891">
        <f ca="1"/>
        <v>50.912799999999997</v>
      </c>
      <c r="E50" vm="9892">
        <f ca="1"/>
        <v>51.656199999999998</v>
      </c>
      <c r="F50" vm="9893">
        <f ca="1"/>
        <v>51.842799999999997</v>
      </c>
      <c r="G50" vm="9894">
        <f ca="1"/>
        <v>51.236199999999997</v>
      </c>
      <c r="H50" vm="9895">
        <f ca="1"/>
        <v>51.599499999999999</v>
      </c>
      <c r="I50" vm="9896">
        <f ca="1"/>
        <v>52.216099999999997</v>
      </c>
      <c r="J50" vm="9897">
        <f ca="1"/>
        <v>52.136099999999999</v>
      </c>
      <c r="K50" vm="9898">
        <f ca="1"/>
        <v>52.626100000000001</v>
      </c>
      <c r="L50" vm="9899">
        <f ca="1"/>
        <v>52.522799999999997</v>
      </c>
      <c r="M50" vm="9900">
        <f ca="1"/>
        <v>52.549500000000002</v>
      </c>
      <c r="N50" vm="9901">
        <f ca="1"/>
        <v>53.0961</v>
      </c>
      <c r="O50" vm="9902">
        <f ca="1"/>
        <v>53.099499999999999</v>
      </c>
      <c r="P50" vm="9903">
        <f ca="1"/>
        <v>52.586100000000002</v>
      </c>
      <c r="Q50" vm="9904">
        <f ca="1"/>
        <v>52.2361</v>
      </c>
      <c r="R50" vm="9905">
        <f ca="1"/>
        <v>52.749499999999998</v>
      </c>
      <c r="S50" vm="9906">
        <f ca="1"/>
        <v>53.102800000000002</v>
      </c>
      <c r="T50" vm="9907">
        <f ca="1"/>
        <v>53.762799999999999</v>
      </c>
      <c r="U50" vm="9908">
        <f ca="1"/>
        <v>53.702800000000003</v>
      </c>
      <c r="V50" vm="9909">
        <f ca="1"/>
        <v>53.772799999999997</v>
      </c>
      <c r="W50" vm="9910">
        <f ca="1"/>
        <v>53.942799999999998</v>
      </c>
      <c r="X50" vm="9911">
        <f ca="1"/>
        <v>53.689500000000002</v>
      </c>
      <c r="Y50" vm="9912">
        <f ca="1"/>
        <v>54.412799999999997</v>
      </c>
      <c r="Z50" vm="9913">
        <f ca="1"/>
        <v>54.126100000000001</v>
      </c>
      <c r="AA50" vm="9914">
        <f ca="1"/>
        <v>54.1295</v>
      </c>
      <c r="AB50" vm="9915">
        <f ca="1"/>
        <v>54.266100000000002</v>
      </c>
      <c r="AC50" vm="9916">
        <f ca="1"/>
        <v>53.499499999999998</v>
      </c>
      <c r="AD50" vm="9917">
        <f ca="1"/>
        <v>54.279499999999999</v>
      </c>
      <c r="AE50" vm="9918">
        <f ca="1"/>
        <v>54.756100000000004</v>
      </c>
      <c r="AF50" vm="9919">
        <f ca="1"/>
        <v>55.012799999999999</v>
      </c>
      <c r="AG50" vm="9920">
        <f ca="1"/>
        <v>55.196100000000001</v>
      </c>
      <c r="AH50" vm="9921">
        <f ca="1"/>
        <v>55.082799999999999</v>
      </c>
      <c r="AI50" vm="9922">
        <f ca="1"/>
        <v>56.102800000000002</v>
      </c>
      <c r="AJ50" vm="9923">
        <f ca="1"/>
        <v>56.522799999999997</v>
      </c>
      <c r="AK50" vm="9924">
        <f ca="1"/>
        <v>56.2194</v>
      </c>
      <c r="AL50" vm="9925">
        <f ca="1"/>
        <v>56.602800000000002</v>
      </c>
      <c r="AM50" vm="9926">
        <f ca="1"/>
        <v>56.459400000000002</v>
      </c>
      <c r="AN50" vm="9927">
        <f ca="1"/>
        <v>56.456099999999999</v>
      </c>
      <c r="AO50" vm="9928">
        <f ca="1"/>
        <v>56.426099999999998</v>
      </c>
      <c r="AP50" vm="9929">
        <f ca="1"/>
        <v>56.766100000000002</v>
      </c>
      <c r="AQ50" vm="9930">
        <f ca="1"/>
        <v>56.379399999999997</v>
      </c>
      <c r="AR50" vm="9931">
        <f ca="1"/>
        <v>56.199399999999997</v>
      </c>
      <c r="AS50" vm="9932">
        <f ca="1"/>
        <v>56.429400000000001</v>
      </c>
      <c r="AT50" vm="9933">
        <f ca="1"/>
        <v>56.786099999999998</v>
      </c>
      <c r="AU50" vm="9934">
        <f ca="1"/>
        <v>58.619399999999999</v>
      </c>
      <c r="AV50" vm="9935">
        <f ca="1"/>
        <v>57.8994</v>
      </c>
      <c r="AW50" vm="9936">
        <f ca="1"/>
        <v>58.4694</v>
      </c>
      <c r="AX50" vm="9937">
        <f ca="1"/>
        <v>58.519399999999997</v>
      </c>
      <c r="AY50" vm="9938">
        <f ca="1"/>
        <v>59.6</v>
      </c>
      <c r="AZ50" vm="3005">
        <f ca="1"/>
        <v>59.59</v>
      </c>
      <c r="BA50" vm="3010">
        <f ca="1"/>
        <v>59.62</v>
      </c>
      <c r="BB50" vm="9939">
        <f ca="1"/>
        <v>58.61</v>
      </c>
      <c r="BC50" vm="3151">
        <f ca="1"/>
        <v>58.76</v>
      </c>
      <c r="BD50" vm="8248">
        <f ca="1"/>
        <v>59.3</v>
      </c>
      <c r="BE50" vm="8225">
        <f ca="1"/>
        <v>60.04</v>
      </c>
      <c r="BF50" vm="9940">
        <f ca="1"/>
        <v>60.57</v>
      </c>
      <c r="BG50" vm="9941">
        <f ca="1"/>
        <v>60.36</v>
      </c>
      <c r="BH50" vm="6847">
        <f ca="1"/>
        <v>60.12</v>
      </c>
      <c r="BI50" vm="9942">
        <f ca="1"/>
        <v>60.66</v>
      </c>
      <c r="BJ50" vm="6845">
        <f ca="1"/>
        <v>61.41</v>
      </c>
      <c r="BK50" vm="9943">
        <f ca="1"/>
        <v>61.28</v>
      </c>
      <c r="BL50" vm="9944">
        <f ca="1"/>
        <v>61.02</v>
      </c>
      <c r="BM50" vm="8246">
        <f ca="1"/>
        <v>60.68</v>
      </c>
      <c r="BN50" vm="9945">
        <f ca="1"/>
        <v>60.86</v>
      </c>
      <c r="BO50" vm="9946">
        <f ca="1"/>
        <v>60.87</v>
      </c>
      <c r="BP50" vm="3133">
        <f ca="1"/>
        <v>61.25</v>
      </c>
      <c r="BQ50" vm="9947">
        <f ca="1"/>
        <v>61.45</v>
      </c>
      <c r="BR50" vm="9946">
        <f ca="1"/>
        <v>60.87</v>
      </c>
      <c r="BS50" vm="9940">
        <f ca="1"/>
        <v>60.57</v>
      </c>
      <c r="BT50" vm="9948">
        <f ca="1"/>
        <v>60.51</v>
      </c>
      <c r="BU50" vm="9949">
        <f ca="1"/>
        <v>60.72</v>
      </c>
      <c r="BV50" vm="8257">
        <f ca="1"/>
        <v>60.17</v>
      </c>
      <c r="BW50" vm="6930">
        <f ca="1"/>
        <v>60</v>
      </c>
      <c r="BX50" vm="6865">
        <f ca="1"/>
        <v>59.16</v>
      </c>
      <c r="BY50" vm="3008">
        <f ca="1"/>
        <v>59.43</v>
      </c>
      <c r="BZ50" vm="9950">
        <f ca="1"/>
        <v>59.5</v>
      </c>
      <c r="CA50" vm="8221">
        <f ca="1"/>
        <v>59.85</v>
      </c>
      <c r="CB50" vm="9951">
        <f ca="1"/>
        <v>59.78</v>
      </c>
      <c r="CC50" vm="9952">
        <f ca="1"/>
        <v>59.79</v>
      </c>
      <c r="CD50" vm="3130">
        <f ca="1"/>
        <v>60.62</v>
      </c>
      <c r="CE50" vm="2528">
        <f ca="1"/>
        <v>60.09</v>
      </c>
      <c r="CF50" vm="9953">
        <f ca="1"/>
        <v>60.14</v>
      </c>
      <c r="CG50" vm="8204">
        <f ca="1"/>
        <v>59.93</v>
      </c>
      <c r="CH50" vm="9954">
        <f ca="1"/>
        <v>59.84</v>
      </c>
      <c r="CI50" vm="9955">
        <f ca="1"/>
        <v>59.65</v>
      </c>
      <c r="CJ50" vm="9956">
        <f ca="1"/>
        <v>59.26</v>
      </c>
      <c r="CK50" vm="8235">
        <f ca="1"/>
        <v>59.53</v>
      </c>
      <c r="CL50" vm="9953">
        <f ca="1"/>
        <v>60.14</v>
      </c>
      <c r="CM50" vm="3169">
        <f ca="1"/>
        <v>59.09</v>
      </c>
      <c r="CN50" vm="9957">
        <f ca="1"/>
        <v>59.87</v>
      </c>
      <c r="CO50" vm="9958">
        <f ca="1"/>
        <v>60.21</v>
      </c>
      <c r="CP50" vm="6866">
        <f ca="1"/>
        <v>60.16</v>
      </c>
      <c r="CQ50" vm="8239">
        <f ca="1"/>
        <v>60.24</v>
      </c>
      <c r="CR50" vm="8228">
        <f ca="1"/>
        <v>59.35</v>
      </c>
      <c r="CS50" vm="9959">
        <f ca="1"/>
        <v>58.85</v>
      </c>
      <c r="CT50" vm="6932">
        <f ca="1"/>
        <v>59.71</v>
      </c>
      <c r="CU50" vm="8212">
        <f ca="1"/>
        <v>59.82</v>
      </c>
      <c r="CV50" vm="9957">
        <f ca="1"/>
        <v>59.87</v>
      </c>
      <c r="CW50" vm="3130">
        <f ca="1"/>
        <v>60.62</v>
      </c>
      <c r="CX50" vm="9960">
        <f ca="1"/>
        <v>60.3</v>
      </c>
      <c r="CY50" vm="9961">
        <f ca="1"/>
        <v>60.44</v>
      </c>
      <c r="CZ50" vm="9962">
        <f ca="1"/>
        <v>60.48</v>
      </c>
      <c r="DA50" vm="9963">
        <f ca="1"/>
        <v>60.41</v>
      </c>
      <c r="DB50" vm="9964">
        <f ca="1"/>
        <v>59.86</v>
      </c>
      <c r="DC50" vm="8219">
        <f ca="1"/>
        <v>59.83</v>
      </c>
      <c r="DD50" vm="9965">
        <f ca="1"/>
        <v>64.010000000000005</v>
      </c>
      <c r="DE50" vm="9966">
        <f ca="1"/>
        <v>64.650000000000006</v>
      </c>
      <c r="DF50" vm="9967">
        <f ca="1"/>
        <v>64.180000000000007</v>
      </c>
      <c r="DG50" vm="6886">
        <f ca="1"/>
        <v>65.150000000000006</v>
      </c>
      <c r="DH50" vm="9968">
        <f ca="1"/>
        <v>65.25</v>
      </c>
      <c r="DI50" vm="6895">
        <f ca="1"/>
        <v>64.84</v>
      </c>
      <c r="DJ50" vm="9969">
        <f ca="1"/>
        <v>65.38</v>
      </c>
      <c r="DK50" vm="9970">
        <f ca="1"/>
        <v>65.040000000000006</v>
      </c>
      <c r="DL50" vm="9971">
        <f ca="1"/>
        <v>64.92</v>
      </c>
      <c r="DM50" vm="3144">
        <f ca="1"/>
        <v>64.89</v>
      </c>
      <c r="DN50" vm="9972">
        <f ca="1"/>
        <v>65.760000000000005</v>
      </c>
      <c r="DO50" vm="6851">
        <f ca="1"/>
        <v>65.819999999999993</v>
      </c>
      <c r="DP50" vm="9973">
        <f ca="1"/>
        <v>66.599999999999994</v>
      </c>
      <c r="DQ50" vm="6914">
        <f ca="1"/>
        <v>67.09</v>
      </c>
      <c r="DR50" vm="9974">
        <f ca="1"/>
        <v>67.150000000000006</v>
      </c>
      <c r="DS50" vm="6887">
        <f ca="1"/>
        <v>65.88</v>
      </c>
      <c r="DT50" vm="2393">
        <f ca="1"/>
        <v>66.959999999999994</v>
      </c>
      <c r="DU50" vm="9975">
        <f ca="1"/>
        <v>66.73</v>
      </c>
      <c r="DV50" vm="9976">
        <f ca="1"/>
        <v>66.31</v>
      </c>
      <c r="DW50" vm="9977">
        <f ca="1"/>
        <v>66.7</v>
      </c>
      <c r="DX50" vm="2566">
        <f ca="1"/>
        <v>67.02</v>
      </c>
      <c r="DY50" vm="9978">
        <f ca="1"/>
        <v>67.42</v>
      </c>
      <c r="DZ50" vm="9979">
        <f ca="1"/>
        <v>67.599999999999994</v>
      </c>
      <c r="EA50" vm="8335">
        <f ca="1"/>
        <v>68.010000000000005</v>
      </c>
      <c r="EB50" vm="9980">
        <f ca="1"/>
        <v>67.91</v>
      </c>
      <c r="EC50" vm="9981">
        <f ca="1"/>
        <v>68.900000000000006</v>
      </c>
      <c r="ED50" vm="9978">
        <f ca="1"/>
        <v>67.42</v>
      </c>
      <c r="EE50" vm="9982">
        <f ca="1"/>
        <v>68.290000000000006</v>
      </c>
      <c r="EF50" vm="2412">
        <f ca="1"/>
        <v>67.88</v>
      </c>
      <c r="EG50" vm="9983">
        <f ca="1"/>
        <v>67.709999999999994</v>
      </c>
      <c r="EH50" vm="9984">
        <f ca="1"/>
        <v>67.48</v>
      </c>
      <c r="EI50" vm="9985">
        <f ca="1"/>
        <v>68.069999999999993</v>
      </c>
      <c r="EJ50" vm="9986">
        <f ca="1"/>
        <v>68.239999999999995</v>
      </c>
      <c r="EK50" vm="9987">
        <f ca="1"/>
        <v>70.040000000000006</v>
      </c>
      <c r="EL50" vm="9988">
        <f ca="1"/>
        <v>69.680000000000007</v>
      </c>
      <c r="EM50" vm="8332">
        <f ca="1"/>
        <v>69.900000000000006</v>
      </c>
      <c r="EN50" vm="9989">
        <f ca="1"/>
        <v>70.41</v>
      </c>
      <c r="EO50" vm="3196">
        <f ca="1"/>
        <v>69.8</v>
      </c>
      <c r="EP50" vm="9990">
        <f ca="1"/>
        <v>69.239999999999995</v>
      </c>
      <c r="EQ50" vm="9991">
        <f ca="1"/>
        <v>69.61</v>
      </c>
      <c r="ER50" vm="9992">
        <f ca="1"/>
        <v>69.989999999999995</v>
      </c>
      <c r="ES50" vm="9993">
        <f ca="1"/>
        <v>71.03</v>
      </c>
      <c r="ET50" vm="9994">
        <f ca="1"/>
        <v>70.819999999999993</v>
      </c>
      <c r="EU50" vm="3205">
        <f ca="1"/>
        <v>70.75</v>
      </c>
      <c r="EV50" vm="9995">
        <f ca="1"/>
        <v>70.38</v>
      </c>
      <c r="EW50" vm="9996">
        <f ca="1"/>
        <v>70.650000000000006</v>
      </c>
      <c r="EX50" vm="9997">
        <f ca="1"/>
        <v>70.599999999999994</v>
      </c>
      <c r="EY50" vm="2569">
        <f ca="1"/>
        <v>70.02</v>
      </c>
      <c r="EZ50" vm="9998">
        <f ca="1"/>
        <v>69.78</v>
      </c>
      <c r="FA50" vm="9999">
        <f ca="1"/>
        <v>69.62</v>
      </c>
      <c r="FB50" vm="10000">
        <f ca="1"/>
        <v>69.19</v>
      </c>
      <c r="FC50" vm="2556">
        <f ca="1"/>
        <v>68.64</v>
      </c>
      <c r="FD50" vm="8307">
        <f ca="1"/>
        <v>69.790000000000006</v>
      </c>
      <c r="FE50" vm="8299">
        <f ca="1"/>
        <v>68.459999999999994</v>
      </c>
      <c r="FF50" vm="10001">
        <f ca="1"/>
        <v>67.59</v>
      </c>
      <c r="FG50" vm="10002">
        <f ca="1"/>
        <v>67.739999999999995</v>
      </c>
      <c r="FH50" vm="10003">
        <f ca="1"/>
        <v>66.91</v>
      </c>
      <c r="FI50" vm="10004">
        <f ca="1"/>
        <v>67.66</v>
      </c>
      <c r="FJ50" vm="10005">
        <f ca="1"/>
        <v>67.95</v>
      </c>
      <c r="FK50" vm="10006">
        <f ca="1"/>
        <v>68.7</v>
      </c>
      <c r="FL50" vm="10007">
        <f ca="1"/>
        <v>68.13</v>
      </c>
      <c r="FM50" vm="10008">
        <f ca="1"/>
        <v>68.66</v>
      </c>
      <c r="FN50" vm="10009">
        <f ca="1"/>
        <v>73.180000000000007</v>
      </c>
      <c r="FO50" vm="10010">
        <f ca="1"/>
        <v>73.45</v>
      </c>
      <c r="FP50" vm="10011">
        <f ca="1"/>
        <v>73.72</v>
      </c>
      <c r="FQ50" vm="10012">
        <f ca="1"/>
        <v>74.540000000000006</v>
      </c>
      <c r="FR50" vm="6319">
        <f ca="1"/>
        <v>75.239999999999995</v>
      </c>
      <c r="FS50" vm="10013">
        <f ca="1"/>
        <v>75.58</v>
      </c>
      <c r="FT50" vm="7726">
        <f ca="1"/>
        <v>75.7</v>
      </c>
      <c r="FU50" vm="10014">
        <f ca="1"/>
        <v>76.03</v>
      </c>
      <c r="FV50" vm="10015">
        <f ca="1"/>
        <v>76.13</v>
      </c>
      <c r="FW50" vm="10016">
        <f ca="1"/>
        <v>76.08</v>
      </c>
      <c r="FX50" vm="10017">
        <f ca="1"/>
        <v>76.42</v>
      </c>
      <c r="FY50" vm="10018">
        <f ca="1"/>
        <v>77.23</v>
      </c>
      <c r="FZ50" vm="2452">
        <f ca="1"/>
        <v>77.17</v>
      </c>
      <c r="GA50" vm="10019">
        <f ca="1"/>
        <v>77.239999999999995</v>
      </c>
      <c r="GB50" vm="10020">
        <f ca="1"/>
        <v>76.959999999999994</v>
      </c>
      <c r="GC50" vm="10021">
        <f ca="1"/>
        <v>76.64</v>
      </c>
      <c r="GD50" vm="10022">
        <f ca="1"/>
        <v>77.34</v>
      </c>
      <c r="GE50" vm="10023">
        <f ca="1"/>
        <v>78.81</v>
      </c>
      <c r="GF50" vm="10024">
        <f ca="1"/>
        <v>78.84</v>
      </c>
      <c r="GG50" vm="10025">
        <f ca="1"/>
        <v>79.66</v>
      </c>
      <c r="GH50" vm="10026">
        <f ca="1"/>
        <v>80.599999999999994</v>
      </c>
      <c r="GI50" vm="6983">
        <f ca="1"/>
        <v>80.56</v>
      </c>
      <c r="GJ50" vm="10027">
        <f ca="1"/>
        <v>78.599999999999994</v>
      </c>
      <c r="GK50" vm="10028">
        <f ca="1"/>
        <v>79.03</v>
      </c>
      <c r="GL50" vm="10029">
        <f ca="1"/>
        <v>78.040000000000006</v>
      </c>
      <c r="GM50" vm="10030">
        <f ca="1"/>
        <v>79.06</v>
      </c>
      <c r="GN50" vm="10031">
        <f ca="1"/>
        <v>80.33</v>
      </c>
      <c r="GO50" vm="6978">
        <f ca="1"/>
        <v>80.67</v>
      </c>
      <c r="GP50" vm="10032">
        <f ca="1"/>
        <v>81.400000000000006</v>
      </c>
      <c r="GQ50" vm="10033">
        <f ca="1"/>
        <v>79.92</v>
      </c>
      <c r="GR50" vm="10034">
        <f ca="1"/>
        <v>79.78</v>
      </c>
      <c r="GS50" vm="10035">
        <f ca="1"/>
        <v>80.75</v>
      </c>
      <c r="GT50" vm="10036">
        <f ca="1"/>
        <v>81.27</v>
      </c>
      <c r="GU50" vm="10037">
        <f ca="1"/>
        <v>80.430000000000007</v>
      </c>
      <c r="GV50" vm="10037">
        <f ca="1"/>
        <v>80.430000000000007</v>
      </c>
      <c r="GW50" vm="6982">
        <f ca="1"/>
        <v>80.94</v>
      </c>
      <c r="GX50" vm="10038">
        <f ca="1"/>
        <v>79.099999999999994</v>
      </c>
      <c r="GY50" vm="10039">
        <f ca="1"/>
        <v>79.709999999999994</v>
      </c>
      <c r="GZ50" vm="10040">
        <f ca="1"/>
        <v>80.400000000000006</v>
      </c>
      <c r="HA50" vm="10041">
        <f ca="1"/>
        <v>79.61</v>
      </c>
      <c r="HB50" vm="10042">
        <f ca="1"/>
        <v>80.099999999999994</v>
      </c>
      <c r="HC50" vm="10043">
        <f ca="1"/>
        <v>80.290000000000006</v>
      </c>
      <c r="HD50" vm="6975">
        <f ca="1"/>
        <v>81.650000000000006</v>
      </c>
      <c r="HE50" vm="10044">
        <f ca="1"/>
        <v>81.22</v>
      </c>
      <c r="HF50" vm="10045">
        <f ca="1"/>
        <v>80.89</v>
      </c>
      <c r="HG50" vm="10046">
        <f ca="1"/>
        <v>81.31</v>
      </c>
      <c r="HH50" vm="10047">
        <f ca="1"/>
        <v>80.81</v>
      </c>
      <c r="HI50" vm="10048">
        <f ca="1"/>
        <v>82.02</v>
      </c>
      <c r="HJ50" vm="10049">
        <f ca="1"/>
        <v>83.27</v>
      </c>
      <c r="HK50" vm="10050">
        <f ca="1"/>
        <v>83.04</v>
      </c>
      <c r="HL50" vm="10051">
        <f ca="1"/>
        <v>82.51</v>
      </c>
      <c r="HM50" vm="10052">
        <f ca="1"/>
        <v>82.75</v>
      </c>
      <c r="HN50" vm="6986">
        <f ca="1"/>
        <v>81.7</v>
      </c>
      <c r="HO50" vm="6985">
        <f ca="1"/>
        <v>81.39</v>
      </c>
      <c r="HP50" vm="10053">
        <f ca="1"/>
        <v>81.95</v>
      </c>
      <c r="HQ50" vm="10054">
        <f ca="1"/>
        <v>82.19</v>
      </c>
      <c r="HR50" vm="6376">
        <f ca="1"/>
        <v>82.45</v>
      </c>
      <c r="HS50" vm="10055">
        <f ca="1"/>
        <v>83.68</v>
      </c>
      <c r="HT50" vm="10056">
        <f ca="1"/>
        <v>83.44</v>
      </c>
      <c r="HU50" vm="10057">
        <f ca="1"/>
        <v>83.85</v>
      </c>
      <c r="HV50" vm="10058">
        <f ca="1"/>
        <v>84.83</v>
      </c>
      <c r="HW50" vm="10059">
        <f ca="1"/>
        <v>84.21</v>
      </c>
      <c r="HX50" vm="10060">
        <f ca="1"/>
        <v>84.99</v>
      </c>
      <c r="HY50" vm="10061">
        <f ca="1"/>
        <v>85.5</v>
      </c>
      <c r="HZ50" vm="10062">
        <f ca="1"/>
        <v>84.47</v>
      </c>
      <c r="IA50" vm="10063">
        <f ca="1"/>
        <v>84.25</v>
      </c>
      <c r="IB50" vm="10064">
        <f ca="1"/>
        <v>84.08</v>
      </c>
      <c r="IC50" vm="10065">
        <f ca="1"/>
        <v>86.6</v>
      </c>
      <c r="ID50" vm="10066">
        <f ca="1"/>
        <v>87.18</v>
      </c>
      <c r="IE50" vm="10067">
        <f ca="1"/>
        <v>88.39</v>
      </c>
      <c r="IF50" vm="10068">
        <f ca="1"/>
        <v>90.44</v>
      </c>
      <c r="IG50" vm="10069">
        <f ca="1"/>
        <v>89.5</v>
      </c>
      <c r="IH50" vm="10070">
        <f ca="1"/>
        <v>91.31</v>
      </c>
      <c r="II50" vm="10071">
        <f ca="1"/>
        <v>91.88</v>
      </c>
      <c r="IJ50" vm="6297">
        <f ca="1"/>
        <v>92.5</v>
      </c>
      <c r="IK50" vm="10072">
        <f ca="1"/>
        <v>92.64</v>
      </c>
      <c r="IL50" vm="5740">
        <f ca="1"/>
        <v>93.51</v>
      </c>
      <c r="IM50" vm="7799">
        <f ca="1"/>
        <v>94.45</v>
      </c>
      <c r="IN50" vm="7782">
        <f ca="1"/>
        <v>95.3</v>
      </c>
      <c r="IO50" vm="10073">
        <f ca="1"/>
        <v>95.7</v>
      </c>
      <c r="IP50" vm="10074">
        <f ca="1"/>
        <v>93.83</v>
      </c>
      <c r="IQ50" vm="10075">
        <f ca="1"/>
        <v>94.55</v>
      </c>
    </row>
    <row r="51" spans="1:251">
      <c r="A51" cm="1" vm="9274">
        <f t="array" aca="1" ref="A51:IQ51" ca="1">TRANSPOSE(_xlfn.STOCKHISTORY(Table3[[#This Row],[Stock Name ]],TODAY()-365,TODAY(),0,0,1))</f>
        <v>46.47</v>
      </c>
      <c r="B51" vm="10076">
        <f ca="1"/>
        <v>47.76</v>
      </c>
      <c r="C51" vm="2812">
        <f ca="1"/>
        <v>50.51</v>
      </c>
      <c r="D51" vm="9299">
        <f ca="1"/>
        <v>50.31</v>
      </c>
      <c r="E51" vm="3017">
        <f ca="1"/>
        <v>49.66</v>
      </c>
      <c r="F51" vm="2807">
        <f ca="1"/>
        <v>50.09</v>
      </c>
      <c r="G51" vm="3015">
        <f ca="1"/>
        <v>49.34</v>
      </c>
      <c r="H51" vm="10077">
        <f ca="1"/>
        <v>49.45</v>
      </c>
      <c r="I51" vm="10078">
        <f ca="1"/>
        <v>49.18</v>
      </c>
      <c r="J51" vm="2834">
        <f ca="1"/>
        <v>49.64</v>
      </c>
      <c r="K51" vm="2799">
        <f ca="1"/>
        <v>49.33</v>
      </c>
      <c r="L51" vm="10079">
        <f ca="1"/>
        <v>49.48</v>
      </c>
      <c r="M51" vm="10080">
        <f ca="1"/>
        <v>49.22</v>
      </c>
      <c r="N51" vm="2799">
        <f ca="1"/>
        <v>49.33</v>
      </c>
      <c r="O51" vm="2886">
        <f ca="1"/>
        <v>48.68</v>
      </c>
      <c r="P51" vm="10081">
        <f ca="1"/>
        <v>49.28</v>
      </c>
      <c r="Q51" vm="10082">
        <f ca="1"/>
        <v>49.92</v>
      </c>
      <c r="R51" vm="10082">
        <f ca="1"/>
        <v>49.92</v>
      </c>
      <c r="S51" vm="10083">
        <f ca="1"/>
        <v>49.29</v>
      </c>
      <c r="T51" vm="10084">
        <f ca="1"/>
        <v>49.08</v>
      </c>
      <c r="U51" vm="10085">
        <f ca="1"/>
        <v>49.04</v>
      </c>
      <c r="V51" vm="2919">
        <f ca="1"/>
        <v>47.4</v>
      </c>
      <c r="W51" vm="2126">
        <f ca="1"/>
        <v>46.82</v>
      </c>
      <c r="X51" vm="10086">
        <f ca="1"/>
        <v>46.67</v>
      </c>
      <c r="Y51" vm="10087">
        <f ca="1"/>
        <v>46.44</v>
      </c>
      <c r="Z51" vm="10088">
        <f ca="1"/>
        <v>48.12</v>
      </c>
      <c r="AA51" vm="2939">
        <f ca="1"/>
        <v>48.53</v>
      </c>
      <c r="AB51" vm="10089">
        <f ca="1"/>
        <v>49.12</v>
      </c>
      <c r="AC51" vm="10090">
        <f ca="1"/>
        <v>49.49</v>
      </c>
      <c r="AD51" vm="2858">
        <f ca="1"/>
        <v>49.88</v>
      </c>
      <c r="AE51" vm="10091">
        <f ca="1"/>
        <v>50.32</v>
      </c>
      <c r="AF51" vm="10092">
        <f ca="1"/>
        <v>50.35</v>
      </c>
      <c r="AG51" vm="10093">
        <f ca="1"/>
        <v>51.19</v>
      </c>
      <c r="AH51" vm="2804">
        <f ca="1"/>
        <v>50.18</v>
      </c>
      <c r="AI51" vm="10094">
        <f ca="1"/>
        <v>48.73</v>
      </c>
      <c r="AJ51" vm="9287">
        <f ca="1"/>
        <v>49.16</v>
      </c>
      <c r="AK51" vm="2950">
        <f ca="1"/>
        <v>48.7</v>
      </c>
      <c r="AL51" vm="10095">
        <f ca="1"/>
        <v>48.29</v>
      </c>
      <c r="AM51" vm="2838">
        <f ca="1"/>
        <v>48.48</v>
      </c>
      <c r="AN51" vm="2875">
        <f ca="1"/>
        <v>48.35</v>
      </c>
      <c r="AO51" vm="2843">
        <f ca="1"/>
        <v>48.06</v>
      </c>
      <c r="AP51" vm="10096">
        <f ca="1"/>
        <v>48.92</v>
      </c>
      <c r="AQ51" vm="2866">
        <f ca="1"/>
        <v>48.24</v>
      </c>
      <c r="AR51" vm="2939">
        <f ca="1"/>
        <v>48.53</v>
      </c>
      <c r="AS51" vm="10097">
        <f ca="1"/>
        <v>52.04</v>
      </c>
      <c r="AT51" vm="10098">
        <f ca="1"/>
        <v>51.91</v>
      </c>
      <c r="AU51" vm="10099">
        <f ca="1"/>
        <v>51.77</v>
      </c>
      <c r="AV51" vm="10100">
        <f ca="1"/>
        <v>52.66</v>
      </c>
      <c r="AW51" vm="10101">
        <f ca="1"/>
        <v>53.37</v>
      </c>
      <c r="AX51" vm="10102">
        <f ca="1"/>
        <v>53.86</v>
      </c>
      <c r="AY51" vm="10103">
        <f ca="1"/>
        <v>54.13</v>
      </c>
      <c r="AZ51" vm="10104">
        <f ca="1"/>
        <v>54.81</v>
      </c>
      <c r="BA51" vm="10105">
        <f ca="1"/>
        <v>54.72</v>
      </c>
      <c r="BB51" vm="2986">
        <f ca="1"/>
        <v>55.59</v>
      </c>
      <c r="BC51" vm="10106">
        <f ca="1"/>
        <v>55.06</v>
      </c>
      <c r="BD51" vm="10107">
        <f ca="1"/>
        <v>55.81</v>
      </c>
      <c r="BE51" vm="2980">
        <f ca="1"/>
        <v>56.6</v>
      </c>
      <c r="BF51" vm="10108">
        <f ca="1"/>
        <v>57.11</v>
      </c>
      <c r="BG51" vm="10109">
        <f ca="1"/>
        <v>57</v>
      </c>
      <c r="BH51" vm="10110">
        <f ca="1"/>
        <v>57.07</v>
      </c>
      <c r="BI51" vm="3040">
        <f ca="1"/>
        <v>57.09</v>
      </c>
      <c r="BJ51" vm="3071">
        <f ca="1"/>
        <v>57.61</v>
      </c>
      <c r="BK51" vm="10111">
        <f ca="1"/>
        <v>57.82</v>
      </c>
      <c r="BL51" vm="10112">
        <f ca="1"/>
        <v>57.37</v>
      </c>
      <c r="BM51" vm="3067">
        <f ca="1"/>
        <v>57.51</v>
      </c>
      <c r="BN51" vm="10113">
        <f ca="1"/>
        <v>57.77</v>
      </c>
      <c r="BO51" vm="3000">
        <f ca="1"/>
        <v>57.01</v>
      </c>
      <c r="BP51" vm="3172">
        <f ca="1"/>
        <v>57.3</v>
      </c>
      <c r="BQ51" vm="10114">
        <f ca="1"/>
        <v>57.85</v>
      </c>
      <c r="BR51" vm="10115">
        <f ca="1"/>
        <v>57.13</v>
      </c>
      <c r="BS51" vm="10116">
        <f ca="1"/>
        <v>56.73</v>
      </c>
      <c r="BT51" vm="10117">
        <f ca="1"/>
        <v>56.68</v>
      </c>
      <c r="BU51" vm="3071">
        <f ca="1"/>
        <v>57.61</v>
      </c>
      <c r="BV51" vm="10118">
        <f ca="1"/>
        <v>57.96</v>
      </c>
      <c r="BW51" vm="3071">
        <f ca="1"/>
        <v>57.61</v>
      </c>
      <c r="BX51" vm="10119">
        <f ca="1"/>
        <v>57.35</v>
      </c>
      <c r="BY51" vm="10115">
        <f ca="1"/>
        <v>57.13</v>
      </c>
      <c r="BZ51" vm="10117">
        <f ca="1"/>
        <v>56.68</v>
      </c>
      <c r="CA51" vm="10120">
        <f ca="1"/>
        <v>57.4</v>
      </c>
      <c r="CB51" vm="10121">
        <f ca="1"/>
        <v>57.79</v>
      </c>
      <c r="CC51" vm="10122">
        <f ca="1"/>
        <v>57.58</v>
      </c>
      <c r="CD51" vm="10123">
        <f ca="1"/>
        <v>56.94</v>
      </c>
      <c r="CE51" vm="10124">
        <f ca="1"/>
        <v>56.69</v>
      </c>
      <c r="CF51" vm="10125">
        <f ca="1"/>
        <v>56.47</v>
      </c>
      <c r="CG51" vm="10126">
        <f ca="1"/>
        <v>56.97</v>
      </c>
      <c r="CH51" vm="10127">
        <f ca="1"/>
        <v>56.41</v>
      </c>
      <c r="CI51" vm="10128">
        <f ca="1"/>
        <v>57.18</v>
      </c>
      <c r="CJ51" vm="3004">
        <f ca="1"/>
        <v>58.74</v>
      </c>
      <c r="CK51" vm="10129">
        <f ca="1"/>
        <v>60.35</v>
      </c>
      <c r="CL51" vm="10130">
        <f ca="1"/>
        <v>61.1</v>
      </c>
      <c r="CM51" vm="10131">
        <f ca="1"/>
        <v>60.94</v>
      </c>
      <c r="CN51" vm="10132">
        <f ca="1"/>
        <v>60.6</v>
      </c>
      <c r="CO51" vm="8204">
        <f ca="1"/>
        <v>59.93</v>
      </c>
      <c r="CP51" vm="10133">
        <f ca="1"/>
        <v>59.91</v>
      </c>
      <c r="CQ51" vm="6917">
        <f ca="1"/>
        <v>59.8</v>
      </c>
      <c r="CR51" vm="10134">
        <f ca="1"/>
        <v>59.32</v>
      </c>
      <c r="CS51" vm="8236">
        <f ca="1"/>
        <v>59.52</v>
      </c>
      <c r="CT51" vm="8219">
        <f ca="1"/>
        <v>59.83</v>
      </c>
      <c r="CU51" vm="8226">
        <f ca="1"/>
        <v>59.94</v>
      </c>
      <c r="CV51" vm="10135">
        <f ca="1"/>
        <v>60.19</v>
      </c>
      <c r="CW51" vm="10136">
        <f ca="1"/>
        <v>60.26</v>
      </c>
      <c r="CX51" vm="10137">
        <f ca="1"/>
        <v>61.23</v>
      </c>
      <c r="CY51" vm="9943">
        <f ca="1"/>
        <v>61.28</v>
      </c>
      <c r="CZ51" vm="10138">
        <f ca="1"/>
        <v>61.89</v>
      </c>
      <c r="DA51" vm="6836">
        <f ca="1"/>
        <v>61.26</v>
      </c>
      <c r="DB51" vm="10138">
        <f ca="1"/>
        <v>61.89</v>
      </c>
      <c r="DC51" vm="10139">
        <f ca="1"/>
        <v>62.34</v>
      </c>
      <c r="DD51" vm="10140">
        <f ca="1"/>
        <v>61.06</v>
      </c>
      <c r="DE51" vm="10141">
        <f ca="1"/>
        <v>61.08</v>
      </c>
      <c r="DF51" vm="8231">
        <f ca="1"/>
        <v>60.7</v>
      </c>
      <c r="DG51" vm="3166">
        <f ca="1"/>
        <v>61.46</v>
      </c>
      <c r="DH51" vm="10142">
        <f ca="1"/>
        <v>60.93</v>
      </c>
      <c r="DI51" vm="3087">
        <f ca="1"/>
        <v>59.68</v>
      </c>
      <c r="DJ51" vm="9958">
        <f ca="1"/>
        <v>60.21</v>
      </c>
      <c r="DK51" vm="3009">
        <f ca="1"/>
        <v>59.48</v>
      </c>
      <c r="DL51" vm="8210">
        <f ca="1"/>
        <v>58.75</v>
      </c>
      <c r="DM51" vm="3007">
        <f ca="1"/>
        <v>59.21</v>
      </c>
      <c r="DN51" vm="10143">
        <f ca="1"/>
        <v>59.92</v>
      </c>
      <c r="DO51" vm="10144">
        <f ca="1"/>
        <v>59.34</v>
      </c>
      <c r="DP51" vm="10145">
        <f ca="1"/>
        <v>58.7</v>
      </c>
      <c r="DQ51" vm="10146">
        <f ca="1"/>
        <v>58.68</v>
      </c>
      <c r="DR51" vm="10147">
        <f ca="1"/>
        <v>57.73</v>
      </c>
      <c r="DS51" vm="10148">
        <f ca="1"/>
        <v>58.36</v>
      </c>
      <c r="DT51" vm="10149">
        <f ca="1"/>
        <v>57.93</v>
      </c>
      <c r="DU51" vm="10115">
        <f ca="1"/>
        <v>57.13</v>
      </c>
      <c r="DV51" vm="3172">
        <f ca="1"/>
        <v>57.3</v>
      </c>
      <c r="DW51" vm="10150">
        <f ca="1"/>
        <v>57.27</v>
      </c>
      <c r="DX51" vm="10120">
        <f ca="1"/>
        <v>57.4</v>
      </c>
      <c r="DY51" vm="10151">
        <f ca="1"/>
        <v>58.24</v>
      </c>
      <c r="DZ51" vm="8253">
        <f ca="1"/>
        <v>59.05</v>
      </c>
      <c r="EA51" vm="10152">
        <f ca="1"/>
        <v>58.96</v>
      </c>
      <c r="EB51" vm="10153">
        <f ca="1"/>
        <v>58.1</v>
      </c>
      <c r="EC51" vm="6874">
        <f ca="1"/>
        <v>59.01</v>
      </c>
      <c r="ED51" vm="10154">
        <f ca="1"/>
        <v>57.2</v>
      </c>
      <c r="EE51" vm="3000">
        <f ca="1"/>
        <v>57.01</v>
      </c>
      <c r="EF51" vm="10155">
        <f ca="1"/>
        <v>57.42</v>
      </c>
      <c r="EG51" vm="8230">
        <f ca="1"/>
        <v>59.39</v>
      </c>
      <c r="EH51" vm="10156">
        <f ca="1"/>
        <v>60.59</v>
      </c>
      <c r="EI51" vm="10157">
        <f ca="1"/>
        <v>60.97</v>
      </c>
      <c r="EJ51" vm="9942">
        <f ca="1"/>
        <v>60.66</v>
      </c>
      <c r="EK51" vm="3010">
        <f ca="1"/>
        <v>59.62</v>
      </c>
      <c r="EL51" vm="6874">
        <f ca="1"/>
        <v>59.01</v>
      </c>
      <c r="EM51" vm="8242">
        <f ca="1"/>
        <v>59.88</v>
      </c>
      <c r="EN51" vm="8251">
        <f ca="1"/>
        <v>59.72</v>
      </c>
      <c r="EO51" vm="6866">
        <f ca="1"/>
        <v>60.16</v>
      </c>
      <c r="EP51" vm="10158">
        <f ca="1"/>
        <v>56.54</v>
      </c>
      <c r="EQ51" vm="10147">
        <f ca="1"/>
        <v>57.73</v>
      </c>
      <c r="ER51" vm="8239">
        <f ca="1"/>
        <v>60.24</v>
      </c>
      <c r="ES51" vm="3083">
        <f ca="1"/>
        <v>60.91</v>
      </c>
      <c r="ET51" vm="10159">
        <f ca="1"/>
        <v>59.24</v>
      </c>
      <c r="EU51" vm="10160">
        <f ca="1"/>
        <v>59.23</v>
      </c>
      <c r="EV51" vm="3092">
        <f ca="1"/>
        <v>59.14</v>
      </c>
      <c r="EW51" vm="8214">
        <f ca="1"/>
        <v>59.67</v>
      </c>
      <c r="EX51" vm="8238">
        <f ca="1"/>
        <v>59.44</v>
      </c>
      <c r="EY51" vm="6862">
        <f ca="1"/>
        <v>59.7</v>
      </c>
      <c r="EZ51" vm="8218">
        <f ca="1"/>
        <v>60.39</v>
      </c>
      <c r="FA51" vm="3005">
        <f ca="1"/>
        <v>59.59</v>
      </c>
      <c r="FB51" vm="3125">
        <f ca="1"/>
        <v>60.01</v>
      </c>
      <c r="FC51" vm="10144">
        <f ca="1"/>
        <v>59.34</v>
      </c>
      <c r="FD51" vm="10161">
        <f ca="1"/>
        <v>56.88</v>
      </c>
      <c r="FE51" vm="3036">
        <f ca="1"/>
        <v>53.26</v>
      </c>
      <c r="FF51" vm="9310">
        <f ca="1"/>
        <v>52.12</v>
      </c>
      <c r="FG51" vm="10162">
        <f ca="1"/>
        <v>52.36</v>
      </c>
      <c r="FH51" vm="2826">
        <f ca="1"/>
        <v>52.29</v>
      </c>
      <c r="FI51" vm="3050">
        <f ca="1"/>
        <v>52.76</v>
      </c>
      <c r="FJ51" vm="3050">
        <f ca="1"/>
        <v>52.76</v>
      </c>
      <c r="FK51" vm="10163">
        <f ca="1"/>
        <v>52.06</v>
      </c>
      <c r="FL51" vm="10164">
        <f ca="1"/>
        <v>52.87</v>
      </c>
      <c r="FM51" vm="9305">
        <f ca="1"/>
        <v>53.66</v>
      </c>
      <c r="FN51" vm="10165">
        <f ca="1"/>
        <v>54.57</v>
      </c>
      <c r="FO51" vm="3055">
        <f ca="1"/>
        <v>55.33</v>
      </c>
      <c r="FP51" vm="10166">
        <f ca="1"/>
        <v>56.45</v>
      </c>
      <c r="FQ51" vm="10167">
        <f ca="1"/>
        <v>56.15</v>
      </c>
      <c r="FR51" vm="10168">
        <f ca="1"/>
        <v>55.46</v>
      </c>
      <c r="FS51" vm="2982">
        <f ca="1"/>
        <v>55.96</v>
      </c>
      <c r="FT51" vm="10169">
        <f ca="1"/>
        <v>56.7</v>
      </c>
      <c r="FU51" vm="10170">
        <f ca="1"/>
        <v>56.72</v>
      </c>
      <c r="FV51" vm="3064">
        <f ca="1"/>
        <v>56.26</v>
      </c>
      <c r="FW51" vm="10110">
        <f ca="1"/>
        <v>57.07</v>
      </c>
      <c r="FX51" vm="10119">
        <f ca="1"/>
        <v>57.35</v>
      </c>
      <c r="FY51" vm="10171">
        <f ca="1"/>
        <v>58.47</v>
      </c>
      <c r="FZ51" vm="6920">
        <f ca="1"/>
        <v>58.37</v>
      </c>
      <c r="GA51" vm="6872">
        <f ca="1"/>
        <v>58.12</v>
      </c>
      <c r="GB51" vm="10172">
        <f ca="1"/>
        <v>56.86</v>
      </c>
      <c r="GC51" vm="10173">
        <f ca="1"/>
        <v>54</v>
      </c>
      <c r="GD51" vm="10174">
        <f ca="1"/>
        <v>54.59</v>
      </c>
      <c r="GE51" vm="10175">
        <f ca="1"/>
        <v>53.95</v>
      </c>
      <c r="GF51" vm="3037">
        <f ca="1"/>
        <v>53.73</v>
      </c>
      <c r="GG51" vm="2821">
        <f ca="1"/>
        <v>51.57</v>
      </c>
      <c r="GH51" vm="10176">
        <f ca="1"/>
        <v>52.78</v>
      </c>
      <c r="GI51" vm="10177">
        <f ca="1"/>
        <v>53.79</v>
      </c>
      <c r="GJ51" vm="10178">
        <f ca="1"/>
        <v>54.51</v>
      </c>
      <c r="GK51" vm="10179">
        <f ca="1"/>
        <v>54.26</v>
      </c>
      <c r="GL51" vm="10180">
        <f ca="1"/>
        <v>55.8</v>
      </c>
      <c r="GM51" vm="10181">
        <f ca="1"/>
        <v>56.29</v>
      </c>
      <c r="GN51" vm="10182">
        <f ca="1"/>
        <v>55.11</v>
      </c>
      <c r="GO51" vm="10183">
        <f ca="1"/>
        <v>54.16</v>
      </c>
      <c r="GP51" vm="10184">
        <f ca="1"/>
        <v>53.61</v>
      </c>
      <c r="GQ51" vm="10185">
        <f ca="1"/>
        <v>56.39</v>
      </c>
      <c r="GR51" vm="3056">
        <f ca="1"/>
        <v>55.9</v>
      </c>
      <c r="GS51" vm="10186">
        <f ca="1"/>
        <v>56.49</v>
      </c>
      <c r="GT51" vm="10187">
        <f ca="1"/>
        <v>55.39</v>
      </c>
      <c r="GU51" vm="10188">
        <f ca="1"/>
        <v>55.3</v>
      </c>
      <c r="GV51" vm="10189">
        <f ca="1"/>
        <v>54.98</v>
      </c>
      <c r="GW51" vm="10190">
        <f ca="1"/>
        <v>56.96</v>
      </c>
      <c r="GX51" vm="10191">
        <f ca="1"/>
        <v>57.16</v>
      </c>
      <c r="GY51" vm="3172">
        <f ca="1"/>
        <v>57.3</v>
      </c>
      <c r="GZ51" vm="10192">
        <f ca="1"/>
        <v>57.54</v>
      </c>
      <c r="HA51" vm="10193">
        <f ca="1"/>
        <v>57.75</v>
      </c>
      <c r="HB51" vm="10194">
        <f ca="1"/>
        <v>60.99</v>
      </c>
      <c r="HC51" vm="10195">
        <f ca="1"/>
        <v>62.16</v>
      </c>
      <c r="HD51" vm="8265">
        <f ca="1"/>
        <v>63.03</v>
      </c>
      <c r="HE51" vm="10196">
        <f ca="1"/>
        <v>63.89</v>
      </c>
      <c r="HF51" vm="8342">
        <f ca="1"/>
        <v>64.38</v>
      </c>
      <c r="HG51" vm="10197">
        <f ca="1"/>
        <v>64.36</v>
      </c>
      <c r="HH51" vm="2506">
        <f ca="1"/>
        <v>64.02</v>
      </c>
      <c r="HI51" vm="10198">
        <f ca="1"/>
        <v>64.81</v>
      </c>
      <c r="HJ51" vm="10199">
        <f ca="1"/>
        <v>64.56</v>
      </c>
      <c r="HK51" vm="10200">
        <f ca="1"/>
        <v>65.430000000000007</v>
      </c>
      <c r="HL51" vm="10201">
        <f ca="1"/>
        <v>64.53</v>
      </c>
      <c r="HM51" vm="6900">
        <f ca="1"/>
        <v>65.61</v>
      </c>
      <c r="HN51" vm="10202">
        <f ca="1"/>
        <v>65.3</v>
      </c>
      <c r="HO51" vm="10203">
        <f ca="1"/>
        <v>65.41</v>
      </c>
      <c r="HP51" vm="9971">
        <f ca="1"/>
        <v>64.92</v>
      </c>
      <c r="HQ51" vm="2545">
        <f ca="1"/>
        <v>64.680000000000007</v>
      </c>
      <c r="HR51" vm="8285">
        <f ca="1"/>
        <v>63.7</v>
      </c>
      <c r="HS51" vm="3109">
        <f ca="1"/>
        <v>64.069999999999993</v>
      </c>
      <c r="HT51" vm="8310">
        <f ca="1"/>
        <v>72.47</v>
      </c>
      <c r="HU51" vm="10204">
        <f ca="1"/>
        <v>69.819999999999993</v>
      </c>
      <c r="HV51" vm="9987">
        <f ca="1"/>
        <v>70.040000000000006</v>
      </c>
      <c r="HW51" vm="6333">
        <f ca="1"/>
        <v>72.56</v>
      </c>
      <c r="HX51" vm="10205">
        <f ca="1"/>
        <v>72.599999999999994</v>
      </c>
      <c r="HY51" vm="10206">
        <f ca="1"/>
        <v>72.77</v>
      </c>
      <c r="HZ51" vm="10207">
        <f ca="1"/>
        <v>72.8</v>
      </c>
      <c r="IA51" vm="6340">
        <f ca="1"/>
        <v>74.34</v>
      </c>
      <c r="IB51" vm="10208">
        <f ca="1"/>
        <v>74.09</v>
      </c>
      <c r="IC51" vm="10209">
        <f ca="1"/>
        <v>73.430000000000007</v>
      </c>
      <c r="ID51" vm="10210">
        <f ca="1"/>
        <v>73.58</v>
      </c>
      <c r="IE51" vm="7758">
        <f ca="1"/>
        <v>74.83</v>
      </c>
      <c r="IF51" vm="10211">
        <f ca="1"/>
        <v>75.959999999999994</v>
      </c>
      <c r="IG51" vm="2384">
        <f ca="1"/>
        <v>76.900000000000006</v>
      </c>
      <c r="IH51" vm="2389">
        <f ca="1"/>
        <v>77.349999999999994</v>
      </c>
      <c r="II51" vm="10212">
        <f ca="1"/>
        <v>77.209999999999994</v>
      </c>
      <c r="IJ51" vm="10213">
        <f ca="1"/>
        <v>76.17</v>
      </c>
      <c r="IK51" vm="7727">
        <f ca="1"/>
        <v>75.28</v>
      </c>
      <c r="IL51" vm="10214">
        <f ca="1"/>
        <v>74.14</v>
      </c>
      <c r="IM51" vm="10215">
        <f ca="1"/>
        <v>73.06</v>
      </c>
      <c r="IN51" vm="10216">
        <f ca="1"/>
        <v>73.66</v>
      </c>
      <c r="IO51" vm="10217">
        <f ca="1"/>
        <v>74.33</v>
      </c>
      <c r="IP51" vm="6338">
        <f ca="1"/>
        <v>72.62</v>
      </c>
      <c r="IQ51" vm="8309">
        <f ca="1"/>
        <v>72.05</v>
      </c>
    </row>
  </sheetData>
  <sheetProtection algorithmName="SHA-512" hashValue="V/ILzYzrBWJRXjVaEK0ZC1s/qVb327MZcPXar0SYpgRstQRg7QJxUcRO2UvbLrfFJU8AQWYDbjzTyVqJZ1S7xg==" saltValue="78PT/LkFVKPvPdF34olJiA==" spinCount="100000" sheet="1" objects="1" scenarios="1"/>
  <mergeCells count="1">
    <mergeCell ref="A1:C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7FE6-9715-4805-ABE6-C5EE0B65862B}">
  <sheetPr codeName="Sheet2"/>
  <dimension ref="A1:AW64"/>
  <sheetViews>
    <sheetView workbookViewId="0">
      <selection activeCell="A6" sqref="A6"/>
    </sheetView>
  </sheetViews>
  <sheetFormatPr baseColWidth="10" defaultColWidth="8.6640625" defaultRowHeight="15"/>
  <cols>
    <col min="2" max="2" width="12.6640625" customWidth="1"/>
  </cols>
  <sheetData>
    <row r="1" spans="1:49">
      <c r="A1" t="s">
        <v>58</v>
      </c>
      <c r="B1" s="3">
        <f ca="1">TODAY()-DATE(5,0,0)</f>
        <v>43841</v>
      </c>
    </row>
    <row r="2" spans="1:49">
      <c r="A2" t="s">
        <v>59</v>
      </c>
      <c r="B2" s="3">
        <f ca="1">TODAY()</f>
        <v>45637</v>
      </c>
    </row>
    <row r="3" spans="1:49">
      <c r="B3" t="s">
        <v>0</v>
      </c>
      <c r="C3" t="s">
        <v>1</v>
      </c>
      <c r="D3" t="s">
        <v>4</v>
      </c>
      <c r="E3" t="s">
        <v>6</v>
      </c>
      <c r="F3" t="s">
        <v>8</v>
      </c>
      <c r="G3" s="1" t="s">
        <v>11</v>
      </c>
      <c r="H3" s="1" t="s">
        <v>12</v>
      </c>
      <c r="I3" s="1" t="s">
        <v>13</v>
      </c>
      <c r="J3" s="1" t="s">
        <v>15</v>
      </c>
      <c r="K3" s="1" t="s">
        <v>17</v>
      </c>
      <c r="L3" s="1" t="s">
        <v>18</v>
      </c>
      <c r="M3" s="1" t="s">
        <v>19</v>
      </c>
      <c r="N3" s="1" t="s">
        <v>20</v>
      </c>
      <c r="O3" s="1" t="s">
        <v>21</v>
      </c>
      <c r="P3" s="1" t="s">
        <v>23</v>
      </c>
      <c r="Q3" s="1" t="s">
        <v>24</v>
      </c>
      <c r="R3" s="1" t="s">
        <v>25</v>
      </c>
      <c r="S3" s="1" t="s">
        <v>26</v>
      </c>
      <c r="T3" s="1" t="s">
        <v>27</v>
      </c>
      <c r="U3" s="1" t="s">
        <v>28</v>
      </c>
      <c r="V3" s="1" t="s">
        <v>30</v>
      </c>
      <c r="W3" s="1" t="s">
        <v>31</v>
      </c>
      <c r="X3" s="1" t="s">
        <v>32</v>
      </c>
      <c r="Y3" s="1" t="s">
        <v>33</v>
      </c>
      <c r="Z3" s="1" t="s">
        <v>34</v>
      </c>
      <c r="AA3" s="1" t="s">
        <v>35</v>
      </c>
      <c r="AB3" s="1" t="s">
        <v>36</v>
      </c>
      <c r="AC3" s="1" t="s">
        <v>37</v>
      </c>
      <c r="AD3" s="1" t="s">
        <v>38</v>
      </c>
      <c r="AE3" s="1" t="s">
        <v>39</v>
      </c>
      <c r="AF3" s="1" t="s">
        <v>40</v>
      </c>
      <c r="AG3" s="1" t="s">
        <v>41</v>
      </c>
      <c r="AH3" s="1" t="s">
        <v>42</v>
      </c>
      <c r="AI3" s="1" t="s">
        <v>43</v>
      </c>
      <c r="AJ3" s="1" t="s">
        <v>44</v>
      </c>
      <c r="AK3" s="1" t="s">
        <v>45</v>
      </c>
      <c r="AL3" s="1" t="s">
        <v>46</v>
      </c>
      <c r="AM3" s="1" t="s">
        <v>48</v>
      </c>
      <c r="AN3" s="1" t="s">
        <v>50</v>
      </c>
      <c r="AO3" s="1" t="s">
        <v>51</v>
      </c>
      <c r="AP3" s="1" t="s">
        <v>52</v>
      </c>
      <c r="AQ3" s="1" t="s">
        <v>53</v>
      </c>
      <c r="AR3" s="1" t="s">
        <v>10</v>
      </c>
      <c r="AS3" s="1" t="s">
        <v>54</v>
      </c>
      <c r="AT3" s="1" t="s">
        <v>55</v>
      </c>
      <c r="AU3" s="1" t="s">
        <v>56</v>
      </c>
      <c r="AV3" s="1" t="s">
        <v>57</v>
      </c>
      <c r="AW3" s="1" t="s">
        <v>3</v>
      </c>
    </row>
    <row r="4" spans="1:49">
      <c r="A4" t="str" cm="1">
        <f t="array" aca="1" ref="A4:B64" ca="1">_xlfn.STOCKHISTORY(B3,B1,B2,2)</f>
        <v>Date</v>
      </c>
      <c r="B4" t="str">
        <f ca="1"/>
        <v>Close</v>
      </c>
      <c r="C4" t="str" cm="1">
        <f t="array" aca="1" ref="C4:C64" ca="1">_xlfn.STOCKHISTORY(C3,$B$1,$B$2,2,,1)</f>
        <v>Close</v>
      </c>
      <c r="D4" t="str" cm="1">
        <f t="array" aca="1" ref="D4:D64" ca="1">_xlfn.STOCKHISTORY(D3,$B$1,$B$2,2,,1)</f>
        <v>Close</v>
      </c>
      <c r="E4" t="str" cm="1">
        <f t="array" aca="1" ref="E4:E64" ca="1">_xlfn.STOCKHISTORY(E3,$B$1,$B$2,2,,1)</f>
        <v>Close</v>
      </c>
      <c r="F4" t="str" cm="1">
        <f t="array" aca="1" ref="F4:F64" ca="1">_xlfn.STOCKHISTORY(F3,$B$1,$B$2,2,,1)</f>
        <v>Close</v>
      </c>
      <c r="G4" t="str" cm="1">
        <f t="array" aca="1" ref="G4:G64" ca="1">_xlfn.STOCKHISTORY(G3,$B$1,$B$2,2,,1)</f>
        <v>Close</v>
      </c>
      <c r="H4" t="str" cm="1">
        <f t="array" aca="1" ref="H4:H64" ca="1">_xlfn.STOCKHISTORY(H3,$B$1,$B$2,2,,1)</f>
        <v>Close</v>
      </c>
      <c r="I4" t="str" cm="1">
        <f t="array" aca="1" ref="I4:I64" ca="1">_xlfn.STOCKHISTORY(I3,$B$1,$B$2,2,,1)</f>
        <v>Close</v>
      </c>
      <c r="J4" t="str" cm="1">
        <f t="array" aca="1" ref="J4:J64" ca="1">_xlfn.STOCKHISTORY(J3,$B$1,$B$2,2,,1)</f>
        <v>Close</v>
      </c>
      <c r="K4" t="str" cm="1">
        <f t="array" aca="1" ref="K4:K64" ca="1">_xlfn.STOCKHISTORY(K3,$B$1,$B$2,2,,1)</f>
        <v>Close</v>
      </c>
      <c r="L4" t="str" cm="1">
        <f t="array" aca="1" ref="L4:L64" ca="1">_xlfn.STOCKHISTORY(L3,$B$1,$B$2,2,,1)</f>
        <v>Close</v>
      </c>
      <c r="M4" t="str" cm="1">
        <f t="array" aca="1" ref="M4:M64" ca="1">_xlfn.STOCKHISTORY(M3,$B$1,$B$2,2,,1)</f>
        <v>Close</v>
      </c>
      <c r="N4" t="str" cm="1">
        <f t="array" aca="1" ref="N4:N64" ca="1">_xlfn.STOCKHISTORY(N3,$B$1,$B$2,2,,1)</f>
        <v>Close</v>
      </c>
      <c r="O4" t="str" cm="1">
        <f t="array" aca="1" ref="O4:O64" ca="1">_xlfn.STOCKHISTORY(O3,$B$1,$B$2,2,,1)</f>
        <v>Close</v>
      </c>
      <c r="P4" t="str" cm="1">
        <f t="array" aca="1" ref="P4:P64" ca="1">_xlfn.STOCKHISTORY(P3,$B$1,$B$2,2,,1)</f>
        <v>Close</v>
      </c>
      <c r="Q4" t="str" cm="1">
        <f t="array" aca="1" ref="Q4:Q64" ca="1">_xlfn.STOCKHISTORY(Q3,$B$1,$B$2,2,,1)</f>
        <v>Close</v>
      </c>
      <c r="R4" t="str" cm="1">
        <f t="array" aca="1" ref="R4:R64" ca="1">_xlfn.STOCKHISTORY(R3,$B$1,$B$2,2,,1)</f>
        <v>Close</v>
      </c>
      <c r="S4" t="str" cm="1">
        <f t="array" aca="1" ref="S4:S64" ca="1">_xlfn.STOCKHISTORY(S3,$B$1,$B$2,2,,1)</f>
        <v>Close</v>
      </c>
      <c r="T4" t="str" cm="1">
        <f t="array" aca="1" ref="T4:T64" ca="1">_xlfn.STOCKHISTORY(T3,$B$1,$B$2,2,,1)</f>
        <v>Close</v>
      </c>
      <c r="U4" t="str" cm="1">
        <f t="array" aca="1" ref="U4:U64" ca="1">_xlfn.STOCKHISTORY(U3,$B$1,$B$2,2,,1)</f>
        <v>Close</v>
      </c>
      <c r="V4" t="str" cm="1">
        <f t="array" aca="1" ref="V4:V64" ca="1">_xlfn.STOCKHISTORY(V3,$B$1,$B$2,2,,1)</f>
        <v>Close</v>
      </c>
      <c r="W4" t="str" cm="1">
        <f t="array" aca="1" ref="W4:W64" ca="1">_xlfn.STOCKHISTORY(W3,$B$1,$B$2,2,,1)</f>
        <v>Close</v>
      </c>
      <c r="X4" t="str" cm="1">
        <f t="array" aca="1" ref="X4:X64" ca="1">_xlfn.STOCKHISTORY(X3,$B$1,$B$2,2,,1)</f>
        <v>Close</v>
      </c>
      <c r="Y4" t="str" cm="1">
        <f t="array" aca="1" ref="Y4:Y64" ca="1">_xlfn.STOCKHISTORY(Y3,$B$1,$B$2,2,,1)</f>
        <v>Close</v>
      </c>
      <c r="Z4" t="str" cm="1">
        <f t="array" aca="1" ref="Z4:Z64" ca="1">_xlfn.STOCKHISTORY(Z3,$B$1,$B$2,2,,1)</f>
        <v>Close</v>
      </c>
      <c r="AA4" t="str" cm="1">
        <f t="array" aca="1" ref="AA4:AA64" ca="1">_xlfn.STOCKHISTORY(AA3,$B$1,$B$2,2,,1)</f>
        <v>Close</v>
      </c>
      <c r="AB4" t="str" cm="1">
        <f t="array" aca="1" ref="AB4:AB64" ca="1">_xlfn.STOCKHISTORY(AB3,$B$1,$B$2,2,,1)</f>
        <v>Close</v>
      </c>
      <c r="AC4" t="str" cm="1">
        <f t="array" aca="1" ref="AC4:AC64" ca="1">_xlfn.STOCKHISTORY(AC3,$B$1,$B$2,2,,1)</f>
        <v>Close</v>
      </c>
      <c r="AD4" t="str" cm="1">
        <f t="array" aca="1" ref="AD4:AD64" ca="1">_xlfn.STOCKHISTORY(AD3,$B$1,$B$2,2,,1)</f>
        <v>Close</v>
      </c>
      <c r="AE4" t="str" cm="1">
        <f t="array" aca="1" ref="AE4:AE64" ca="1">_xlfn.STOCKHISTORY(AE3,$B$1,$B$2,2,,1)</f>
        <v>Close</v>
      </c>
      <c r="AF4" t="str" cm="1">
        <f t="array" aca="1" ref="AF4:AF64" ca="1">_xlfn.STOCKHISTORY(AF3,$B$1,$B$2,2,,1)</f>
        <v>Close</v>
      </c>
      <c r="AG4" t="str" cm="1">
        <f t="array" aca="1" ref="AG4:AG64" ca="1">_xlfn.STOCKHISTORY(AG3,$B$1,$B$2,2,,1)</f>
        <v>Close</v>
      </c>
      <c r="AH4" t="str" cm="1">
        <f t="array" aca="1" ref="AH4:AH64" ca="1">_xlfn.STOCKHISTORY(AH3,$B$1,$B$2,2,,1)</f>
        <v>Close</v>
      </c>
      <c r="AI4" t="str" cm="1">
        <f t="array" aca="1" ref="AI4:AI64" ca="1">_xlfn.STOCKHISTORY(AI3,$B$1,$B$2,2,,1)</f>
        <v>Close</v>
      </c>
      <c r="AJ4" t="str" cm="1">
        <f t="array" aca="1" ref="AJ4:AJ64" ca="1">_xlfn.STOCKHISTORY(AJ3,$B$1,$B$2,2,,1)</f>
        <v>Close</v>
      </c>
      <c r="AK4" t="str" cm="1">
        <f t="array" aca="1" ref="AK4:AK64" ca="1">_xlfn.STOCKHISTORY(AK3,$B$1,$B$2,2,,1)</f>
        <v>Close</v>
      </c>
      <c r="AL4" t="str" cm="1">
        <f t="array" aca="1" ref="AL4:AL64" ca="1">_xlfn.STOCKHISTORY(AL3,$B$1,$B$2,2,,1)</f>
        <v>Close</v>
      </c>
      <c r="AM4" t="str" cm="1">
        <f t="array" aca="1" ref="AM4:AM64" ca="1">_xlfn.STOCKHISTORY(AM3,$B$1,$B$2,2,,1)</f>
        <v>Close</v>
      </c>
      <c r="AN4" t="str" cm="1">
        <f t="array" aca="1" ref="AN4:AN64" ca="1">_xlfn.STOCKHISTORY(AN3,$B$1,$B$2,2,,1)</f>
        <v>Close</v>
      </c>
      <c r="AO4" t="str" cm="1">
        <f t="array" aca="1" ref="AO4:AO64" ca="1">_xlfn.STOCKHISTORY(AO3,$B$1,$B$2,2,,1)</f>
        <v>Close</v>
      </c>
      <c r="AP4" t="str" cm="1">
        <f t="array" aca="1" ref="AP4:AP64" ca="1">_xlfn.STOCKHISTORY(AP3,$B$1,$B$2,2,,1)</f>
        <v>Close</v>
      </c>
      <c r="AQ4" t="str" cm="1">
        <f t="array" aca="1" ref="AQ4:AQ64" ca="1">_xlfn.STOCKHISTORY(AQ3,$B$1,$B$2,2,,1)</f>
        <v>Close</v>
      </c>
      <c r="AR4" t="str" cm="1">
        <f t="array" aca="1" ref="AR4:AR64" ca="1">_xlfn.STOCKHISTORY(AR3,$B$1,$B$2,2,,1)</f>
        <v>Close</v>
      </c>
      <c r="AS4" t="str" cm="1">
        <f t="array" aca="1" ref="AS4:AS64" ca="1">_xlfn.STOCKHISTORY(AS3,$B$1,$B$2,2,,1)</f>
        <v>Close</v>
      </c>
      <c r="AT4" t="str" cm="1">
        <f t="array" aca="1" ref="AT4:AT64" ca="1">_xlfn.STOCKHISTORY(AT3,$B$1,$B$2,2,,1)</f>
        <v>Close</v>
      </c>
      <c r="AU4" t="str" cm="1">
        <f t="array" aca="1" ref="AU4:AU64" ca="1">_xlfn.STOCKHISTORY(AU3,$B$1,$B$2,2,,1)</f>
        <v>Close</v>
      </c>
      <c r="AV4" t="str" cm="1">
        <f t="array" aca="1" ref="AV4:AV64" ca="1">_xlfn.STOCKHISTORY(AV3,$B$1,$B$2,2,,1)</f>
        <v>Close</v>
      </c>
      <c r="AW4" t="str" cm="1">
        <f t="array" aca="1" ref="AW4:AW64" ca="1">_xlfn.STOCKHISTORY(AW3,$B$1,$B$2,2,,1)</f>
        <v>Close</v>
      </c>
    </row>
    <row r="5" spans="1:49">
      <c r="A5" vm="10218">
        <f ca="1"/>
        <v>43831</v>
      </c>
      <c r="B5" vm="10219">
        <f ca="1"/>
        <v>43.370899999999999</v>
      </c>
      <c r="C5" vm="10220">
        <f ca="1"/>
        <v>77.377499999999998</v>
      </c>
      <c r="D5" vm="10221">
        <f ca="1"/>
        <v>71.711500000000001</v>
      </c>
      <c r="E5" vm="1395">
        <f ca="1"/>
        <v>170.23</v>
      </c>
      <c r="F5" vm="10222">
        <f ca="1"/>
        <v>100.43600000000001</v>
      </c>
      <c r="G5" vm="10223">
        <f ca="1"/>
        <v>71.638999999999996</v>
      </c>
      <c r="H5" vm="10224">
        <f ca="1"/>
        <v>201.91</v>
      </c>
      <c r="I5" vm="10225">
        <f ca="1"/>
        <v>224.43</v>
      </c>
      <c r="J5" vm="10226">
        <f ca="1"/>
        <v>5.9108000000000001</v>
      </c>
      <c r="K5" vm="10227">
        <f ca="1"/>
        <v>148.87</v>
      </c>
      <c r="L5" vm="10228">
        <f ca="1"/>
        <v>198.97</v>
      </c>
      <c r="M5" vm="10229">
        <f ca="1"/>
        <v>124.62</v>
      </c>
      <c r="N5" vm="10230">
        <f ca="1"/>
        <v>272.45</v>
      </c>
      <c r="O5" vm="10231">
        <f ca="1"/>
        <v>228.1</v>
      </c>
      <c r="P5" vm="10232">
        <f ca="1"/>
        <v>315.94</v>
      </c>
      <c r="Q5" vm="10233">
        <f ca="1"/>
        <v>35.301699999999997</v>
      </c>
      <c r="R5" vm="10234">
        <f ca="1"/>
        <v>58.4</v>
      </c>
      <c r="S5" vm="6763">
        <f ca="1"/>
        <v>138.31</v>
      </c>
      <c r="T5" vm="10235">
        <f ca="1"/>
        <v>345.09</v>
      </c>
      <c r="U5" vm="10236">
        <f ca="1"/>
        <v>63.93</v>
      </c>
      <c r="V5" vm="2909">
        <f ca="1"/>
        <v>45.97</v>
      </c>
      <c r="W5" vm="10237">
        <f ca="1"/>
        <v>62.12</v>
      </c>
      <c r="X5" vm="10238">
        <f ca="1"/>
        <v>107.14</v>
      </c>
      <c r="Y5" vm="10239">
        <f ca="1"/>
        <v>38.162999999999997</v>
      </c>
      <c r="Z5" vm="10240">
        <f ca="1"/>
        <v>28.4099</v>
      </c>
      <c r="AA5" vm="8238">
        <f ca="1"/>
        <v>59.44</v>
      </c>
      <c r="AB5" vm="10241">
        <f ca="1"/>
        <v>96.3</v>
      </c>
      <c r="AC5" vm="4445">
        <f ca="1"/>
        <v>213.97</v>
      </c>
      <c r="AD5" vm="10058">
        <f ca="1"/>
        <v>84.83</v>
      </c>
      <c r="AE5" vm="10242">
        <f ca="1"/>
        <v>318.27</v>
      </c>
      <c r="AF5" vm="10243">
        <f ca="1"/>
        <v>143.72999999999999</v>
      </c>
      <c r="AG5" vm="10244">
        <f ca="1"/>
        <v>52.45</v>
      </c>
      <c r="AH5" vm="1516">
        <f ca="1"/>
        <v>182.31</v>
      </c>
      <c r="AI5" vm="10245">
        <f ca="1"/>
        <v>351.14</v>
      </c>
      <c r="AJ5" vm="2120">
        <f ca="1"/>
        <v>47</v>
      </c>
      <c r="AK5" vm="10246">
        <f ca="1"/>
        <v>113.89</v>
      </c>
      <c r="AL5" vm="10247">
        <f ca="1"/>
        <v>74.69</v>
      </c>
      <c r="AM5" vm="10248">
        <f ca="1"/>
        <v>92.88</v>
      </c>
      <c r="AN5" vm="10249">
        <f ca="1"/>
        <v>74.41</v>
      </c>
      <c r="AO5" vm="10250">
        <f ca="1"/>
        <v>32.83</v>
      </c>
      <c r="AP5" vm="10251">
        <f ca="1"/>
        <v>132.36000000000001</v>
      </c>
      <c r="AQ5" vm="10252">
        <f ca="1"/>
        <v>237.75</v>
      </c>
      <c r="AR5" vm="10253">
        <f ca="1"/>
        <v>52.26</v>
      </c>
      <c r="AS5" vm="2891">
        <f ca="1"/>
        <v>46.94</v>
      </c>
      <c r="AT5" vm="2964">
        <f ca="1"/>
        <v>53.22</v>
      </c>
      <c r="AU5" vm="10254">
        <f ca="1"/>
        <v>110.74</v>
      </c>
      <c r="AV5" vm="10255">
        <f ca="1"/>
        <v>305.52</v>
      </c>
      <c r="AW5" vm="3534">
        <f ca="1"/>
        <v>116.24</v>
      </c>
    </row>
    <row r="6" spans="1:49">
      <c r="A6" vm="10256">
        <f ca="1"/>
        <v>43862</v>
      </c>
      <c r="B6" vm="10257">
        <f ca="1"/>
        <v>44.532200000000003</v>
      </c>
      <c r="C6" vm="10258">
        <f ca="1"/>
        <v>68.34</v>
      </c>
      <c r="D6" vm="10259">
        <f ca="1"/>
        <v>66.966499999999996</v>
      </c>
      <c r="E6" vm="10260">
        <f ca="1"/>
        <v>162.01</v>
      </c>
      <c r="F6" vm="10261">
        <f ca="1"/>
        <v>94.1875</v>
      </c>
      <c r="G6" vm="10262">
        <f ca="1"/>
        <v>66.962500000000006</v>
      </c>
      <c r="H6" vm="10263">
        <f ca="1"/>
        <v>192.47</v>
      </c>
      <c r="I6" vm="10264">
        <f ca="1"/>
        <v>206.34</v>
      </c>
      <c r="J6" vm="10265">
        <f ca="1"/>
        <v>6.7518000000000002</v>
      </c>
      <c r="K6" vm="10266">
        <f ca="1"/>
        <v>134.47999999999999</v>
      </c>
      <c r="L6" vm="10267">
        <f ca="1"/>
        <v>181.76</v>
      </c>
      <c r="M6" vm="10268">
        <f ca="1"/>
        <v>113.23</v>
      </c>
      <c r="N6" vm="10269">
        <f ca="1"/>
        <v>254.96</v>
      </c>
      <c r="O6" vm="10270">
        <f ca="1"/>
        <v>217.84</v>
      </c>
      <c r="P6" vm="10271">
        <f ca="1"/>
        <v>290.25</v>
      </c>
      <c r="Q6" vm="10272">
        <f ca="1"/>
        <v>31.680499999999999</v>
      </c>
      <c r="R6" vm="10273">
        <f ca="1"/>
        <v>53.49</v>
      </c>
      <c r="S6" vm="10274">
        <f ca="1"/>
        <v>117.65</v>
      </c>
      <c r="T6" vm="10275">
        <f ca="1"/>
        <v>369.03</v>
      </c>
      <c r="U6" vm="10276">
        <f ca="1"/>
        <v>55.52</v>
      </c>
      <c r="V6" vm="2090">
        <f ca="1"/>
        <v>39.93</v>
      </c>
      <c r="W6" vm="2957">
        <f ca="1"/>
        <v>51.44</v>
      </c>
      <c r="X6" vm="7662">
        <f ca="1"/>
        <v>93.34</v>
      </c>
      <c r="Y6" vm="10277">
        <f ca="1"/>
        <v>35.893000000000001</v>
      </c>
      <c r="Z6" vm="10278">
        <f ca="1"/>
        <v>26.5974</v>
      </c>
      <c r="AA6" vm="10183">
        <f ca="1"/>
        <v>54.16</v>
      </c>
      <c r="AB6" vm="10279">
        <f ca="1"/>
        <v>89.38</v>
      </c>
      <c r="AC6" vm="1501">
        <f ca="1"/>
        <v>194.17</v>
      </c>
      <c r="AD6" vm="10280">
        <f ca="1"/>
        <v>78.430000000000007</v>
      </c>
      <c r="AE6" vm="10281">
        <f ca="1"/>
        <v>275.11</v>
      </c>
      <c r="AF6" vm="10282">
        <f ca="1"/>
        <v>130.15</v>
      </c>
      <c r="AG6" vm="2940">
        <f ca="1"/>
        <v>49.46</v>
      </c>
      <c r="AH6" vm="6792">
        <f ca="1"/>
        <v>170.4</v>
      </c>
      <c r="AI6" vm="10283">
        <f ca="1"/>
        <v>345.12</v>
      </c>
      <c r="AJ6" vm="9278">
        <f ca="1"/>
        <v>45.48</v>
      </c>
      <c r="AK6" vm="10284">
        <f ca="1"/>
        <v>107.99</v>
      </c>
      <c r="AL6" vm="10285">
        <f ca="1"/>
        <v>83.33</v>
      </c>
      <c r="AM6" vm="6349">
        <f ca="1"/>
        <v>84.28</v>
      </c>
      <c r="AN6" vm="3080">
        <f ca="1"/>
        <v>63.46</v>
      </c>
      <c r="AO6" vm="10286">
        <f ca="1"/>
        <v>28.5</v>
      </c>
      <c r="AP6" vm="10287">
        <f ca="1"/>
        <v>116.11</v>
      </c>
      <c r="AQ6" vm="10288">
        <f ca="1"/>
        <v>200.77</v>
      </c>
      <c r="AR6" vm="9268">
        <f ca="1"/>
        <v>45.03</v>
      </c>
      <c r="AS6" vm="9581">
        <f ca="1"/>
        <v>40.85</v>
      </c>
      <c r="AT6" vm="10087">
        <f ca="1"/>
        <v>46.44</v>
      </c>
      <c r="AU6" vm="3494">
        <f ca="1"/>
        <v>103</v>
      </c>
      <c r="AV6" vm="10289">
        <f ca="1"/>
        <v>281.14</v>
      </c>
      <c r="AW6" vm="6653">
        <f ca="1"/>
        <v>106.57</v>
      </c>
    </row>
    <row r="7" spans="1:49">
      <c r="A7" vm="10290">
        <f ca="1"/>
        <v>43891</v>
      </c>
      <c r="B7" vm="10291">
        <f ca="1"/>
        <v>34.933</v>
      </c>
      <c r="C7" vm="10292">
        <f ca="1"/>
        <v>63.572499999999998</v>
      </c>
      <c r="D7" vm="10293">
        <f ca="1"/>
        <v>58.140500000000003</v>
      </c>
      <c r="E7" vm="10294">
        <f ca="1"/>
        <v>157.71</v>
      </c>
      <c r="F7" vm="10295">
        <f ca="1"/>
        <v>97.486000000000004</v>
      </c>
      <c r="G7" vm="10296">
        <f ca="1"/>
        <v>58.097499999999997</v>
      </c>
      <c r="H7" vm="1394">
        <f ca="1"/>
        <v>166.8</v>
      </c>
      <c r="I7" vm="4025">
        <f ca="1"/>
        <v>182.83</v>
      </c>
      <c r="J7" vm="10297">
        <f ca="1"/>
        <v>6.59</v>
      </c>
      <c r="K7" vm="10298">
        <f ca="1"/>
        <v>131.13</v>
      </c>
      <c r="L7" vm="10299">
        <f ca="1"/>
        <v>161.12</v>
      </c>
      <c r="M7" vm="10300">
        <f ca="1"/>
        <v>110</v>
      </c>
      <c r="N7" vm="10301">
        <f ca="1"/>
        <v>249.38</v>
      </c>
      <c r="O7" vm="10302">
        <f ca="1"/>
        <v>186.71</v>
      </c>
      <c r="P7" vm="10303">
        <f ca="1"/>
        <v>241.56</v>
      </c>
      <c r="Q7" vm="10304">
        <f ca="1"/>
        <v>30.941099999999999</v>
      </c>
      <c r="R7" vm="9280">
        <f ca="1"/>
        <v>44.25</v>
      </c>
      <c r="S7" vm="9077">
        <f ca="1"/>
        <v>96.6</v>
      </c>
      <c r="T7" vm="10305">
        <f ca="1"/>
        <v>375.5</v>
      </c>
      <c r="U7" vm="10306">
        <f ca="1"/>
        <v>54.12</v>
      </c>
      <c r="V7" vm="9595">
        <f ca="1"/>
        <v>39.31</v>
      </c>
      <c r="W7" vm="10307">
        <f ca="1"/>
        <v>37.97</v>
      </c>
      <c r="X7" vm="6322">
        <f ca="1"/>
        <v>72.459999999999994</v>
      </c>
      <c r="Y7" vm="10308">
        <f ca="1"/>
        <v>37.872999999999998</v>
      </c>
      <c r="Z7" vm="10309">
        <f ca="1"/>
        <v>22.013500000000001</v>
      </c>
      <c r="AA7" vm="3037">
        <f ca="1"/>
        <v>53.73</v>
      </c>
      <c r="AB7" vm="10310">
        <f ca="1"/>
        <v>82.74</v>
      </c>
      <c r="AC7" vm="10311">
        <f ca="1"/>
        <v>165.35</v>
      </c>
      <c r="AD7" vm="3182">
        <f ca="1"/>
        <v>65.739999999999995</v>
      </c>
      <c r="AE7" vm="2636">
        <f ca="1"/>
        <v>149.13999999999999</v>
      </c>
      <c r="AF7" vm="3583">
        <f ca="1"/>
        <v>110.93</v>
      </c>
      <c r="AG7" vm="10312">
        <f ca="1"/>
        <v>48.33</v>
      </c>
      <c r="AH7" vm="10313">
        <f ca="1"/>
        <v>143.97999999999999</v>
      </c>
      <c r="AI7" vm="10314">
        <f ca="1"/>
        <v>318.24</v>
      </c>
      <c r="AJ7" vm="9278">
        <f ca="1"/>
        <v>45.48</v>
      </c>
      <c r="AK7" vm="6278">
        <f ca="1"/>
        <v>95.74</v>
      </c>
      <c r="AL7" vm="10315">
        <f ca="1"/>
        <v>52.38</v>
      </c>
      <c r="AM7" vm="10316">
        <f ca="1"/>
        <v>80.37</v>
      </c>
      <c r="AN7" vm="9586">
        <f ca="1"/>
        <v>42.12</v>
      </c>
      <c r="AO7" vm="10317">
        <f ca="1"/>
        <v>21.23</v>
      </c>
      <c r="AP7" vm="10318">
        <f ca="1"/>
        <v>90.03</v>
      </c>
      <c r="AQ7" vm="8163">
        <f ca="1"/>
        <v>154.59</v>
      </c>
      <c r="AR7" vm="10319">
        <f ca="1"/>
        <v>34</v>
      </c>
      <c r="AS7" vm="7031">
        <f ca="1"/>
        <v>28.7</v>
      </c>
      <c r="AT7" vm="10320">
        <f ca="1"/>
        <v>34.450000000000003</v>
      </c>
      <c r="AU7" vm="5876">
        <f ca="1"/>
        <v>92.97</v>
      </c>
      <c r="AV7" vm="10321">
        <f ca="1"/>
        <v>285.13</v>
      </c>
      <c r="AW7" vm="5771">
        <f ca="1"/>
        <v>86.05</v>
      </c>
    </row>
    <row r="8" spans="1:49">
      <c r="A8" vm="10322">
        <f ca="1"/>
        <v>43922</v>
      </c>
      <c r="B8" vm="10323">
        <f ca="1"/>
        <v>52.1248</v>
      </c>
      <c r="C8" vm="10010">
        <f ca="1"/>
        <v>73.45</v>
      </c>
      <c r="D8" vm="10324">
        <f ca="1"/>
        <v>67.433000000000007</v>
      </c>
      <c r="E8" vm="10325">
        <f ca="1"/>
        <v>179.21</v>
      </c>
      <c r="F8" vm="10326">
        <f ca="1"/>
        <v>123.7</v>
      </c>
      <c r="G8" vm="10327">
        <f ca="1"/>
        <v>67.334999999999994</v>
      </c>
      <c r="H8" vm="10328">
        <f ca="1"/>
        <v>204.71</v>
      </c>
      <c r="I8" vm="10329">
        <f ca="1"/>
        <v>187.36</v>
      </c>
      <c r="J8" vm="10330">
        <f ca="1"/>
        <v>7.3070000000000004</v>
      </c>
      <c r="K8" vm="7996">
        <f ca="1"/>
        <v>150.04</v>
      </c>
      <c r="L8" vm="10331">
        <f ca="1"/>
        <v>178.72</v>
      </c>
      <c r="M8" vm="3566">
        <f ca="1"/>
        <v>117.87</v>
      </c>
      <c r="N8" vm="10332">
        <f ca="1"/>
        <v>292.47000000000003</v>
      </c>
      <c r="O8" vm="10333">
        <f ca="1"/>
        <v>219.83</v>
      </c>
      <c r="P8" vm="10334">
        <f ca="1"/>
        <v>274.97000000000003</v>
      </c>
      <c r="Q8" vm="10335">
        <f ca="1"/>
        <v>36.363399999999999</v>
      </c>
      <c r="R8" vm="10336">
        <f ca="1"/>
        <v>45.89</v>
      </c>
      <c r="S8" vm="7291">
        <f ca="1"/>
        <v>108.15</v>
      </c>
      <c r="T8" vm="10337">
        <f ca="1"/>
        <v>419.85</v>
      </c>
      <c r="U8" vm="6870">
        <f ca="1"/>
        <v>59.98</v>
      </c>
      <c r="V8" vm="10338">
        <f ca="1"/>
        <v>42.38</v>
      </c>
      <c r="W8" vm="9274">
        <f ca="1"/>
        <v>46.47</v>
      </c>
      <c r="X8" vm="6275">
        <f ca="1"/>
        <v>92</v>
      </c>
      <c r="Y8" vm="10339">
        <f ca="1"/>
        <v>40.516300000000001</v>
      </c>
      <c r="Z8" vm="10340">
        <f ca="1"/>
        <v>23.010300000000001</v>
      </c>
      <c r="AA8" vm="3069">
        <f ca="1"/>
        <v>57.45</v>
      </c>
      <c r="AB8" vm="10066">
        <f ca="1"/>
        <v>87.18</v>
      </c>
      <c r="AC8" vm="10341">
        <f ca="1"/>
        <v>187.56</v>
      </c>
      <c r="AD8" vm="10342">
        <f ca="1"/>
        <v>76.73</v>
      </c>
      <c r="AE8" vm="10343">
        <f ca="1"/>
        <v>141.02000000000001</v>
      </c>
      <c r="AF8" vm="10344">
        <f ca="1"/>
        <v>125.56</v>
      </c>
      <c r="AG8" vm="10345">
        <f ca="1"/>
        <v>52.97</v>
      </c>
      <c r="AH8" vm="10346">
        <f ca="1"/>
        <v>161.94999999999999</v>
      </c>
      <c r="AI8" vm="10347">
        <f ca="1"/>
        <v>353.64</v>
      </c>
      <c r="AJ8" vm="10348">
        <f ca="1"/>
        <v>52.39</v>
      </c>
      <c r="AK8" vm="10349">
        <f ca="1"/>
        <v>123</v>
      </c>
      <c r="AL8" vm="3141">
        <f ca="1"/>
        <v>65.14</v>
      </c>
      <c r="AM8" vm="10350">
        <f ca="1"/>
        <v>89.23</v>
      </c>
      <c r="AN8" vm="10351">
        <f ca="1"/>
        <v>48.56</v>
      </c>
      <c r="AO8" vm="3894">
        <f ca="1"/>
        <v>24.05</v>
      </c>
      <c r="AP8" vm="10352">
        <f ca="1"/>
        <v>95.76</v>
      </c>
      <c r="AQ8" vm="922">
        <f ca="1"/>
        <v>183.42</v>
      </c>
      <c r="AR8" vm="9601">
        <f ca="1"/>
        <v>39.43</v>
      </c>
      <c r="AS8" vm="3827">
        <f ca="1"/>
        <v>29.05</v>
      </c>
      <c r="AT8" vm="10353">
        <f ca="1"/>
        <v>36.5</v>
      </c>
      <c r="AU8" vm="10354">
        <f ca="1"/>
        <v>109.74</v>
      </c>
      <c r="AV8" vm="10355">
        <f ca="1"/>
        <v>303</v>
      </c>
      <c r="AW8" vm="6567">
        <f ca="1"/>
        <v>104.75</v>
      </c>
    </row>
    <row r="9" spans="1:49">
      <c r="A9" vm="10356">
        <f ca="1"/>
        <v>43952</v>
      </c>
      <c r="B9" vm="10357">
        <f ca="1"/>
        <v>55.6661</v>
      </c>
      <c r="C9" vm="10358">
        <f ca="1"/>
        <v>79.484999999999999</v>
      </c>
      <c r="D9" vm="10359">
        <f ca="1"/>
        <v>71.445999999999998</v>
      </c>
      <c r="E9" vm="4030">
        <f ca="1"/>
        <v>183.25</v>
      </c>
      <c r="F9" vm="10360">
        <f ca="1"/>
        <v>122.1185</v>
      </c>
      <c r="G9" vm="10361">
        <f ca="1"/>
        <v>71.676000000000002</v>
      </c>
      <c r="H9" vm="10362">
        <f ca="1"/>
        <v>225.09</v>
      </c>
      <c r="I9" vm="919">
        <f ca="1"/>
        <v>185.58</v>
      </c>
      <c r="J9" vm="10363">
        <f ca="1"/>
        <v>8.8755000000000006</v>
      </c>
      <c r="K9" vm="2762">
        <f ca="1"/>
        <v>148.75</v>
      </c>
      <c r="L9" vm="10364">
        <f ca="1"/>
        <v>195.24</v>
      </c>
      <c r="M9" vm="10365">
        <f ca="1"/>
        <v>115.92</v>
      </c>
      <c r="N9" vm="10366">
        <f ca="1"/>
        <v>304.85000000000002</v>
      </c>
      <c r="O9" vm="10367">
        <f ca="1"/>
        <v>248.48</v>
      </c>
      <c r="P9" vm="10368">
        <f ca="1"/>
        <v>300.89</v>
      </c>
      <c r="Q9" vm="10369">
        <f ca="1"/>
        <v>36.202199999999998</v>
      </c>
      <c r="R9" vm="10370">
        <f ca="1"/>
        <v>46.68</v>
      </c>
      <c r="S9" vm="10371">
        <f ca="1"/>
        <v>117.3</v>
      </c>
      <c r="T9" vm="10372">
        <f ca="1"/>
        <v>419.73</v>
      </c>
      <c r="U9" vm="6904">
        <f ca="1"/>
        <v>62.93</v>
      </c>
      <c r="V9" vm="10373">
        <f ca="1"/>
        <v>47.82</v>
      </c>
      <c r="W9" vm="2935">
        <f ca="1"/>
        <v>45.47</v>
      </c>
      <c r="X9" vm="10374">
        <f ca="1"/>
        <v>91.7</v>
      </c>
      <c r="Y9" vm="10375">
        <f ca="1"/>
        <v>41.352899999999998</v>
      </c>
      <c r="Z9" vm="10376">
        <f ca="1"/>
        <v>23.3049</v>
      </c>
      <c r="AA9" vm="10377">
        <f ca="1"/>
        <v>57.38</v>
      </c>
      <c r="AB9" vm="10378">
        <f ca="1"/>
        <v>98.58</v>
      </c>
      <c r="AC9" vm="10379">
        <f ca="1"/>
        <v>186.32</v>
      </c>
      <c r="AD9" vm="10380">
        <f ca="1"/>
        <v>77.989999999999995</v>
      </c>
      <c r="AE9" vm="10381">
        <f ca="1"/>
        <v>145.85</v>
      </c>
      <c r="AF9" vm="6702">
        <f ca="1"/>
        <v>124.9</v>
      </c>
      <c r="AG9" vm="3026">
        <f ca="1"/>
        <v>53.77</v>
      </c>
      <c r="AH9" vm="10382">
        <f ca="1"/>
        <v>174.79</v>
      </c>
      <c r="AI9" vm="10383">
        <f ca="1"/>
        <v>386.6</v>
      </c>
      <c r="AJ9" vm="10384">
        <f ca="1"/>
        <v>53.8</v>
      </c>
      <c r="AK9" vm="4299">
        <f ca="1"/>
        <v>155.01</v>
      </c>
      <c r="AL9" vm="10385">
        <f ca="1"/>
        <v>81.08</v>
      </c>
      <c r="AM9" vm="7698">
        <f ca="1"/>
        <v>91.5</v>
      </c>
      <c r="AN9" vm="10386">
        <f ca="1"/>
        <v>47.91</v>
      </c>
      <c r="AO9" vm="10387">
        <f ca="1"/>
        <v>24.12</v>
      </c>
      <c r="AP9" vm="7819">
        <f ca="1"/>
        <v>97.31</v>
      </c>
      <c r="AQ9" vm="10388">
        <f ca="1"/>
        <v>196.49</v>
      </c>
      <c r="AR9" vm="10389">
        <f ca="1"/>
        <v>44.2</v>
      </c>
      <c r="AS9" vm="10390">
        <f ca="1"/>
        <v>26.47</v>
      </c>
      <c r="AT9" vm="10391">
        <f ca="1"/>
        <v>35.56</v>
      </c>
      <c r="AU9" vm="10392">
        <f ca="1"/>
        <v>122.33</v>
      </c>
      <c r="AV9" vm="10393">
        <f ca="1"/>
        <v>308.47000000000003</v>
      </c>
      <c r="AW9" vm="10394">
        <f ca="1"/>
        <v>130.35</v>
      </c>
    </row>
    <row r="10" spans="1:49">
      <c r="A10" vm="10395">
        <f ca="1"/>
        <v>43983</v>
      </c>
      <c r="B10" vm="10396">
        <f ca="1"/>
        <v>71.986599999999996</v>
      </c>
      <c r="C10" vm="10397">
        <f ca="1"/>
        <v>91.2</v>
      </c>
      <c r="D10" vm="10398">
        <f ca="1"/>
        <v>70.680499999999995</v>
      </c>
      <c r="E10" vm="10399">
        <f ca="1"/>
        <v>203.51</v>
      </c>
      <c r="F10" vm="10400">
        <f ca="1"/>
        <v>137.941</v>
      </c>
      <c r="G10" vm="10401">
        <f ca="1"/>
        <v>70.902500000000003</v>
      </c>
      <c r="H10" vm="10402">
        <f ca="1"/>
        <v>227.07</v>
      </c>
      <c r="I10" vm="8098">
        <f ca="1"/>
        <v>178.51</v>
      </c>
      <c r="J10" vm="10403">
        <f ca="1"/>
        <v>9.4977999999999998</v>
      </c>
      <c r="K10" vm="10404">
        <f ca="1"/>
        <v>140.63</v>
      </c>
      <c r="L10" vm="10405">
        <f ca="1"/>
        <v>193.17</v>
      </c>
      <c r="M10" vm="10406">
        <f ca="1"/>
        <v>119.57</v>
      </c>
      <c r="N10" vm="10407">
        <f ca="1"/>
        <v>294.95</v>
      </c>
      <c r="O10" vm="10408">
        <f ca="1"/>
        <v>250.51</v>
      </c>
      <c r="P10" vm="10409">
        <f ca="1"/>
        <v>295.7</v>
      </c>
      <c r="Q10" vm="10410">
        <f ca="1"/>
        <v>30.998000000000001</v>
      </c>
      <c r="R10" vm="9273">
        <f ca="1"/>
        <v>44.68</v>
      </c>
      <c r="S10" vm="10411">
        <f ca="1"/>
        <v>111.51</v>
      </c>
      <c r="T10" vm="10412">
        <f ca="1"/>
        <v>455.04</v>
      </c>
      <c r="U10" vm="8219">
        <f ca="1"/>
        <v>59.83</v>
      </c>
      <c r="V10" vm="10413">
        <f ca="1"/>
        <v>46.64</v>
      </c>
      <c r="W10" vm="10414">
        <f ca="1"/>
        <v>44.72</v>
      </c>
      <c r="X10" vm="10350">
        <f ca="1"/>
        <v>89.23</v>
      </c>
      <c r="Y10" vm="10415">
        <f ca="1"/>
        <v>39.926299999999998</v>
      </c>
      <c r="Z10" vm="10416">
        <f ca="1"/>
        <v>22.8291</v>
      </c>
      <c r="AA10" vm="10417">
        <f ca="1"/>
        <v>55.13</v>
      </c>
      <c r="AB10" vm="3465">
        <f ca="1"/>
        <v>98.05</v>
      </c>
      <c r="AC10" vm="10418">
        <f ca="1"/>
        <v>184.47</v>
      </c>
      <c r="AD10" vm="10419">
        <f ca="1"/>
        <v>73.59</v>
      </c>
      <c r="AE10" vm="10420">
        <f ca="1"/>
        <v>183.3</v>
      </c>
      <c r="AF10" vm="10421">
        <f ca="1"/>
        <v>120.77</v>
      </c>
      <c r="AG10" vm="10422">
        <f ca="1"/>
        <v>55.27</v>
      </c>
      <c r="AH10" vm="10423">
        <f ca="1"/>
        <v>187.33</v>
      </c>
      <c r="AI10" vm="10424">
        <f ca="1"/>
        <v>435.31</v>
      </c>
      <c r="AJ10" vm="10425">
        <f ca="1"/>
        <v>52.61</v>
      </c>
      <c r="AK10" vm="573">
        <f ca="1"/>
        <v>174.23</v>
      </c>
      <c r="AL10" vm="10426">
        <f ca="1"/>
        <v>104.94</v>
      </c>
      <c r="AM10" vm="10427">
        <f ca="1"/>
        <v>93.33</v>
      </c>
      <c r="AN10" vm="10428">
        <f ca="1"/>
        <v>51.1</v>
      </c>
      <c r="AO10" vm="10429">
        <f ca="1"/>
        <v>23.75</v>
      </c>
      <c r="AP10" vm="6285">
        <f ca="1"/>
        <v>94.06</v>
      </c>
      <c r="AQ10" vm="10430">
        <f ca="1"/>
        <v>197.62</v>
      </c>
      <c r="AR10" vm="10431">
        <f ca="1"/>
        <v>48.3</v>
      </c>
      <c r="AS10" vm="10432">
        <f ca="1"/>
        <v>25.6</v>
      </c>
      <c r="AT10" vm="10433">
        <f ca="1"/>
        <v>36.82</v>
      </c>
      <c r="AU10" vm="3652">
        <f ca="1"/>
        <v>119.93</v>
      </c>
      <c r="AV10" vm="10434">
        <f ca="1"/>
        <v>303.20999999999998</v>
      </c>
      <c r="AW10" vm="10435">
        <f ca="1"/>
        <v>135.12</v>
      </c>
    </row>
    <row r="11" spans="1:49">
      <c r="A11" vm="10436">
        <f ca="1"/>
        <v>44013</v>
      </c>
      <c r="B11" vm="10437">
        <f ca="1"/>
        <v>95.382999999999996</v>
      </c>
      <c r="C11" vm="10438">
        <f ca="1"/>
        <v>106.26</v>
      </c>
      <c r="D11" vm="10439">
        <f ca="1"/>
        <v>74.147999999999996</v>
      </c>
      <c r="E11" vm="10440">
        <f ca="1"/>
        <v>205.01</v>
      </c>
      <c r="F11" vm="10441">
        <f ca="1"/>
        <v>158.23400000000001</v>
      </c>
      <c r="G11" vm="10442">
        <f ca="1"/>
        <v>74.397499999999994</v>
      </c>
      <c r="H11" vm="10443">
        <f ca="1"/>
        <v>253.67</v>
      </c>
      <c r="I11" vm="1448">
        <f ca="1"/>
        <v>195.78</v>
      </c>
      <c r="J11" vm="10444">
        <f ca="1"/>
        <v>10.614800000000001</v>
      </c>
      <c r="K11" vm="10445">
        <f ca="1"/>
        <v>145.76</v>
      </c>
      <c r="L11" vm="10446">
        <f ca="1"/>
        <v>190.4</v>
      </c>
      <c r="M11" vm="10447">
        <f ca="1"/>
        <v>131.12</v>
      </c>
      <c r="N11" vm="10448">
        <f ca="1"/>
        <v>302.77999999999997</v>
      </c>
      <c r="O11" vm="10449">
        <f ca="1"/>
        <v>265.49</v>
      </c>
      <c r="P11" vm="10450">
        <f ca="1"/>
        <v>308.52999999999997</v>
      </c>
      <c r="Q11" vm="10451">
        <f ca="1"/>
        <v>36.4771</v>
      </c>
      <c r="R11" vm="2925">
        <f ca="1"/>
        <v>47.24</v>
      </c>
      <c r="S11" vm="10452">
        <f ca="1"/>
        <v>116.94</v>
      </c>
      <c r="T11" vm="10453">
        <f ca="1"/>
        <v>488.88</v>
      </c>
      <c r="U11" vm="10454">
        <f ca="1"/>
        <v>47.73</v>
      </c>
      <c r="V11" vm="10455">
        <f ca="1"/>
        <v>47.1</v>
      </c>
      <c r="W11" vm="9197">
        <f ca="1"/>
        <v>42.08</v>
      </c>
      <c r="X11" vm="6380">
        <f ca="1"/>
        <v>83.94</v>
      </c>
      <c r="Y11" vm="10456">
        <f ca="1"/>
        <v>43.132899999999999</v>
      </c>
      <c r="Z11" vm="10457">
        <f ca="1"/>
        <v>22.338200000000001</v>
      </c>
      <c r="AA11" vm="6863">
        <f ca="1"/>
        <v>57.48</v>
      </c>
      <c r="AB11" vm="10458">
        <f ca="1"/>
        <v>97.61</v>
      </c>
      <c r="AC11" vm="10459">
        <f ca="1"/>
        <v>194.28</v>
      </c>
      <c r="AD11" vm="10460">
        <f ca="1"/>
        <v>76.53</v>
      </c>
      <c r="AE11" vm="10461">
        <f ca="1"/>
        <v>158</v>
      </c>
      <c r="AF11" vm="10462">
        <f ca="1"/>
        <v>122.94</v>
      </c>
      <c r="AG11" vm="10463">
        <f ca="1"/>
        <v>55.45</v>
      </c>
      <c r="AH11" vm="10464">
        <f ca="1"/>
        <v>194.85</v>
      </c>
      <c r="AI11" vm="10465">
        <f ca="1"/>
        <v>444.32</v>
      </c>
      <c r="AJ11" vm="10466">
        <f ca="1"/>
        <v>77.430000000000007</v>
      </c>
      <c r="AK11" vm="10467">
        <f ca="1"/>
        <v>196.07</v>
      </c>
      <c r="AL11" vm="10468">
        <f ca="1"/>
        <v>129.85</v>
      </c>
      <c r="AM11" vm="10469">
        <f ca="1"/>
        <v>105.42</v>
      </c>
      <c r="AN11" vm="2867">
        <f ca="1"/>
        <v>50.01</v>
      </c>
      <c r="AO11" vm="10470">
        <f ca="1"/>
        <v>24.88</v>
      </c>
      <c r="AP11" vm="5901">
        <f ca="1"/>
        <v>96.64</v>
      </c>
      <c r="AQ11" vm="1475">
        <f ca="1"/>
        <v>197.96</v>
      </c>
      <c r="AR11" vm="10471">
        <f ca="1"/>
        <v>48.88</v>
      </c>
      <c r="AS11" vm="10472">
        <f ca="1"/>
        <v>24.26</v>
      </c>
      <c r="AT11" vm="10473">
        <f ca="1"/>
        <v>36.840000000000003</v>
      </c>
      <c r="AU11" vm="10474">
        <f ca="1"/>
        <v>125.88</v>
      </c>
      <c r="AV11" vm="10475">
        <f ca="1"/>
        <v>325.52999999999997</v>
      </c>
      <c r="AW11" vm="10476">
        <f ca="1"/>
        <v>148.91</v>
      </c>
    </row>
    <row r="12" spans="1:49">
      <c r="A12" vm="10477">
        <f ca="1"/>
        <v>44044</v>
      </c>
      <c r="B12" vm="10478">
        <f ca="1"/>
        <v>166.10499999999999</v>
      </c>
      <c r="C12" vm="10479">
        <f ca="1"/>
        <v>129.04</v>
      </c>
      <c r="D12" vm="10480">
        <f ca="1"/>
        <v>81.709000000000003</v>
      </c>
      <c r="E12" vm="10481">
        <f ca="1"/>
        <v>225.53</v>
      </c>
      <c r="F12" vm="10482">
        <f ca="1"/>
        <v>172.548</v>
      </c>
      <c r="G12" vm="10483">
        <f ca="1"/>
        <v>81.476500000000001</v>
      </c>
      <c r="H12" vm="10484">
        <f ca="1"/>
        <v>293.2</v>
      </c>
      <c r="I12" vm="10485">
        <f ca="1"/>
        <v>218.04</v>
      </c>
      <c r="J12" vm="10486">
        <f ca="1"/>
        <v>13.374499999999999</v>
      </c>
      <c r="K12" vm="1258">
        <f ca="1"/>
        <v>153.41</v>
      </c>
      <c r="L12" vm="10487">
        <f ca="1"/>
        <v>211.99</v>
      </c>
      <c r="M12" vm="10488">
        <f ca="1"/>
        <v>138.33000000000001</v>
      </c>
      <c r="N12" vm="10489">
        <f ca="1"/>
        <v>312.55</v>
      </c>
      <c r="O12" vm="10490">
        <f ca="1"/>
        <v>285.04000000000002</v>
      </c>
      <c r="P12" vm="10491">
        <f ca="1"/>
        <v>358.19</v>
      </c>
      <c r="Q12" vm="10492">
        <f ca="1"/>
        <v>35.823</v>
      </c>
      <c r="R12" vm="2869">
        <f ca="1"/>
        <v>49.53</v>
      </c>
      <c r="S12" vm="10493">
        <f ca="1"/>
        <v>131.87</v>
      </c>
      <c r="T12" vm="10494">
        <f ca="1"/>
        <v>529.55999999999995</v>
      </c>
      <c r="U12" vm="10495">
        <f ca="1"/>
        <v>50.95</v>
      </c>
      <c r="V12" vm="9199">
        <f ca="1"/>
        <v>42.22</v>
      </c>
      <c r="W12" vm="10496">
        <f ca="1"/>
        <v>39.94</v>
      </c>
      <c r="X12" vm="10497">
        <f ca="1"/>
        <v>83.93</v>
      </c>
      <c r="Y12" vm="10498">
        <f ca="1"/>
        <v>46.282899999999998</v>
      </c>
      <c r="Z12" vm="10499">
        <f ca="1"/>
        <v>22.511900000000001</v>
      </c>
      <c r="AA12" vm="8250">
        <f ca="1"/>
        <v>59.27</v>
      </c>
      <c r="AB12" vm="10500">
        <f ca="1"/>
        <v>111.89</v>
      </c>
      <c r="AC12" vm="10501">
        <f ca="1"/>
        <v>213.52</v>
      </c>
      <c r="AD12" vm="10062">
        <f ca="1"/>
        <v>84.47</v>
      </c>
      <c r="AE12" vm="10502">
        <f ca="1"/>
        <v>171.82</v>
      </c>
      <c r="AF12" vm="10503">
        <f ca="1"/>
        <v>123.31</v>
      </c>
      <c r="AG12" vm="6934">
        <f ca="1"/>
        <v>57.22</v>
      </c>
      <c r="AH12" vm="10504">
        <f ca="1"/>
        <v>272.64999999999998</v>
      </c>
      <c r="AI12" vm="10505">
        <f ca="1"/>
        <v>513.39</v>
      </c>
      <c r="AJ12" vm="9093">
        <f ca="1"/>
        <v>90.82</v>
      </c>
      <c r="AK12" vm="10506">
        <f ca="1"/>
        <v>204.14</v>
      </c>
      <c r="AL12" vm="4141">
        <f ca="1"/>
        <v>159.56</v>
      </c>
      <c r="AM12" vm="10507">
        <f ca="1"/>
        <v>101.86</v>
      </c>
      <c r="AN12" vm="10508">
        <f ca="1"/>
        <v>51.12</v>
      </c>
      <c r="AO12" vm="10509">
        <f ca="1"/>
        <v>25.74</v>
      </c>
      <c r="AP12" vm="3475">
        <f ca="1"/>
        <v>100.19</v>
      </c>
      <c r="AQ12" vm="10510">
        <f ca="1"/>
        <v>204.87</v>
      </c>
      <c r="AR12" vm="10253">
        <f ca="1"/>
        <v>52.26</v>
      </c>
      <c r="AS12" vm="10511">
        <f ca="1"/>
        <v>24.15</v>
      </c>
      <c r="AT12" vm="10512">
        <f ca="1"/>
        <v>36.4</v>
      </c>
      <c r="AU12" vm="10513">
        <f ca="1"/>
        <v>151.21</v>
      </c>
      <c r="AV12" vm="10514">
        <f ca="1"/>
        <v>347.66</v>
      </c>
      <c r="AW12" vm="3985">
        <f ca="1"/>
        <v>164.69</v>
      </c>
    </row>
    <row r="13" spans="1:49">
      <c r="A13" vm="10515">
        <f ca="1"/>
        <v>44075</v>
      </c>
      <c r="B13" vm="10516">
        <f ca="1"/>
        <v>143.00190000000001</v>
      </c>
      <c r="C13" vm="10517">
        <f ca="1"/>
        <v>115.81</v>
      </c>
      <c r="D13" vm="10518">
        <f ca="1"/>
        <v>73.48</v>
      </c>
      <c r="E13" vm="4427">
        <f ca="1"/>
        <v>210.33</v>
      </c>
      <c r="F13" vm="10519">
        <f ca="1"/>
        <v>157.4365</v>
      </c>
      <c r="G13" vm="10520">
        <f ca="1"/>
        <v>73.28</v>
      </c>
      <c r="H13" vm="10521">
        <f ca="1"/>
        <v>261.89999999999998</v>
      </c>
      <c r="I13" vm="10522">
        <f ca="1"/>
        <v>212.94</v>
      </c>
      <c r="J13" vm="10523">
        <f ca="1"/>
        <v>13.5305</v>
      </c>
      <c r="K13" vm="2655">
        <f ca="1"/>
        <v>148.88</v>
      </c>
      <c r="L13" vm="10524">
        <f ca="1"/>
        <v>199.97</v>
      </c>
      <c r="M13" vm="10525">
        <f ca="1"/>
        <v>138.99</v>
      </c>
      <c r="N13" vm="10526">
        <f ca="1"/>
        <v>311.77</v>
      </c>
      <c r="O13" vm="10527">
        <f ca="1"/>
        <v>277.70999999999998</v>
      </c>
      <c r="P13" vm="10528">
        <f ca="1"/>
        <v>338.17</v>
      </c>
      <c r="Q13" vm="10529">
        <f ca="1"/>
        <v>34.7898</v>
      </c>
      <c r="R13" vm="10530">
        <f ca="1"/>
        <v>49.37</v>
      </c>
      <c r="S13" vm="3661">
        <f ca="1"/>
        <v>124.08</v>
      </c>
      <c r="T13" vm="10531">
        <f ca="1"/>
        <v>500.03</v>
      </c>
      <c r="U13" vm="10532">
        <f ca="1"/>
        <v>51.78</v>
      </c>
      <c r="V13" vm="10533">
        <f ca="1"/>
        <v>39.39</v>
      </c>
      <c r="W13" vm="10534">
        <f ca="1"/>
        <v>34.33</v>
      </c>
      <c r="X13" vm="6954">
        <f ca="1"/>
        <v>72</v>
      </c>
      <c r="Y13" vm="10535">
        <f ca="1"/>
        <v>46.636200000000002</v>
      </c>
      <c r="Z13" vm="10536">
        <f ca="1"/>
        <v>21.530200000000001</v>
      </c>
      <c r="AA13" vm="6919">
        <f ca="1"/>
        <v>59.49</v>
      </c>
      <c r="AB13" vm="6690">
        <f ca="1"/>
        <v>125.54</v>
      </c>
      <c r="AC13" vm="4548">
        <f ca="1"/>
        <v>219.49</v>
      </c>
      <c r="AD13" vm="10537">
        <f ca="1"/>
        <v>85.92</v>
      </c>
      <c r="AE13" vm="10538">
        <f ca="1"/>
        <v>165.26</v>
      </c>
      <c r="AF13" vm="10539">
        <f ca="1"/>
        <v>121.67</v>
      </c>
      <c r="AG13" vm="6862">
        <f ca="1"/>
        <v>59.7</v>
      </c>
      <c r="AH13" vm="10540">
        <f ca="1"/>
        <v>251.32</v>
      </c>
      <c r="AI13" vm="10541">
        <f ca="1"/>
        <v>490.43</v>
      </c>
      <c r="AJ13" vm="10542">
        <f ca="1"/>
        <v>81.99</v>
      </c>
      <c r="AK13" vm="10543">
        <f ca="1"/>
        <v>197.03</v>
      </c>
      <c r="AL13" vm="8874">
        <f ca="1"/>
        <v>162.55000000000001</v>
      </c>
      <c r="AM13" vm="10544">
        <f ca="1"/>
        <v>100.62</v>
      </c>
      <c r="AN13" vm="9206">
        <f ca="1"/>
        <v>43.11</v>
      </c>
      <c r="AO13" vm="10545">
        <f ca="1"/>
        <v>24.09</v>
      </c>
      <c r="AP13" vm="10546">
        <f ca="1"/>
        <v>96.27</v>
      </c>
      <c r="AQ13" vm="10547">
        <f ca="1"/>
        <v>200.97</v>
      </c>
      <c r="AR13" vm="2875">
        <f ca="1"/>
        <v>48.35</v>
      </c>
      <c r="AS13" vm="1908">
        <f ca="1"/>
        <v>23.51</v>
      </c>
      <c r="AT13" vm="10548">
        <f ca="1"/>
        <v>35.85</v>
      </c>
      <c r="AU13" vm="8844">
        <f ca="1"/>
        <v>157.41999999999999</v>
      </c>
      <c r="AV13" vm="10549">
        <f ca="1"/>
        <v>355</v>
      </c>
      <c r="AW13" vm="1211">
        <f ca="1"/>
        <v>165.86</v>
      </c>
    </row>
    <row r="14" spans="1:49">
      <c r="A14" vm="10550">
        <f ca="1"/>
        <v>44105</v>
      </c>
      <c r="B14" vm="10551">
        <f ca="1"/>
        <v>129.34540000000001</v>
      </c>
      <c r="C14" vm="10552">
        <f ca="1"/>
        <v>108.86</v>
      </c>
      <c r="D14" vm="10553">
        <f ca="1"/>
        <v>81.0505</v>
      </c>
      <c r="E14" vm="4388">
        <f ca="1"/>
        <v>202.47</v>
      </c>
      <c r="F14" vm="10554">
        <f ca="1"/>
        <v>151.8075</v>
      </c>
      <c r="G14" vm="10555">
        <f ca="1"/>
        <v>80.805499999999995</v>
      </c>
      <c r="H14" vm="10556">
        <f ca="1"/>
        <v>263.11</v>
      </c>
      <c r="I14" vm="10557">
        <f ca="1"/>
        <v>201.9</v>
      </c>
      <c r="J14" vm="10558">
        <f ca="1"/>
        <v>12.534000000000001</v>
      </c>
      <c r="K14" vm="10559">
        <f ca="1"/>
        <v>137.11000000000001</v>
      </c>
      <c r="L14" vm="1387">
        <f ca="1"/>
        <v>181.71</v>
      </c>
      <c r="M14" vm="10560">
        <f ca="1"/>
        <v>137.1</v>
      </c>
      <c r="N14" vm="10561">
        <f ca="1"/>
        <v>305.14</v>
      </c>
      <c r="O14" vm="10562">
        <f ca="1"/>
        <v>266.70999999999998</v>
      </c>
      <c r="P14" vm="10563">
        <f ca="1"/>
        <v>288.64</v>
      </c>
      <c r="Q14" vm="10564">
        <f ca="1"/>
        <v>33.633299999999998</v>
      </c>
      <c r="R14" vm="2843">
        <f ca="1"/>
        <v>48.06</v>
      </c>
      <c r="S14" vm="10565">
        <f ca="1"/>
        <v>121.25</v>
      </c>
      <c r="T14" vm="10566">
        <f ca="1"/>
        <v>475.74</v>
      </c>
      <c r="U14" vm="10567">
        <f ca="1"/>
        <v>44.28</v>
      </c>
      <c r="V14" vm="10568">
        <f ca="1"/>
        <v>35.9</v>
      </c>
      <c r="W14" vm="10569">
        <f ca="1"/>
        <v>32.619999999999997</v>
      </c>
      <c r="X14" vm="10570">
        <f ca="1"/>
        <v>69.5</v>
      </c>
      <c r="Y14" vm="10571">
        <f ca="1"/>
        <v>46.249499999999998</v>
      </c>
      <c r="Z14" vm="10572">
        <f ca="1"/>
        <v>20.405000000000001</v>
      </c>
      <c r="AA14" vm="10573">
        <f ca="1"/>
        <v>56.99</v>
      </c>
      <c r="AB14" vm="3665">
        <f ca="1"/>
        <v>120.08</v>
      </c>
      <c r="AC14" vm="10574">
        <f ca="1"/>
        <v>213</v>
      </c>
      <c r="AD14" vm="10575">
        <f ca="1"/>
        <v>86.96</v>
      </c>
      <c r="AE14" vm="10576">
        <f ca="1"/>
        <v>144.38999999999999</v>
      </c>
      <c r="AF14" vm="10577">
        <f ca="1"/>
        <v>111.66</v>
      </c>
      <c r="AG14" vm="3154">
        <f ca="1"/>
        <v>56.11</v>
      </c>
      <c r="AH14" vm="10578">
        <f ca="1"/>
        <v>232.27</v>
      </c>
      <c r="AI14" vm="10579">
        <f ca="1"/>
        <v>447.1</v>
      </c>
      <c r="AJ14" vm="7770">
        <f ca="1"/>
        <v>75.290000000000006</v>
      </c>
      <c r="AK14" vm="1323">
        <f ca="1"/>
        <v>186.13</v>
      </c>
      <c r="AL14" vm="10580">
        <f ca="1"/>
        <v>154.88</v>
      </c>
      <c r="AM14" vm="10581">
        <f ca="1"/>
        <v>99.2</v>
      </c>
      <c r="AN14" vm="2041">
        <f ca="1"/>
        <v>41.42</v>
      </c>
      <c r="AO14" vm="10582">
        <f ca="1"/>
        <v>23.7</v>
      </c>
      <c r="AP14" vm="9071">
        <f ca="1"/>
        <v>98.04</v>
      </c>
      <c r="AQ14" vm="10583">
        <f ca="1"/>
        <v>189.04</v>
      </c>
      <c r="AR14" vm="3711">
        <f ca="1"/>
        <v>48.15</v>
      </c>
      <c r="AS14" vm="1851">
        <f ca="1"/>
        <v>21.45</v>
      </c>
      <c r="AT14" vm="10584">
        <f ca="1"/>
        <v>38.950000000000003</v>
      </c>
      <c r="AU14" vm="8167">
        <f ca="1"/>
        <v>152.22</v>
      </c>
      <c r="AV14" vm="10585">
        <f ca="1"/>
        <v>357.62</v>
      </c>
      <c r="AW14" vm="10586">
        <f ca="1"/>
        <v>158.1</v>
      </c>
    </row>
    <row r="15" spans="1:49">
      <c r="A15" vm="10587">
        <f ca="1"/>
        <v>44136</v>
      </c>
      <c r="B15" vm="10588">
        <f ca="1"/>
        <v>189.19810000000001</v>
      </c>
      <c r="C15" vm="10589">
        <f ca="1"/>
        <v>119.05</v>
      </c>
      <c r="D15" vm="10590">
        <f ca="1"/>
        <v>88.037000000000006</v>
      </c>
      <c r="E15" vm="10591">
        <f ca="1"/>
        <v>214.07</v>
      </c>
      <c r="F15" vm="10592">
        <f ca="1"/>
        <v>158.40199999999999</v>
      </c>
      <c r="G15" vm="10593">
        <f ca="1"/>
        <v>87.72</v>
      </c>
      <c r="H15" vm="10594">
        <f ca="1"/>
        <v>276.97000000000003</v>
      </c>
      <c r="I15" vm="10595">
        <f ca="1"/>
        <v>228.91</v>
      </c>
      <c r="J15" vm="10596">
        <f ca="1"/>
        <v>13.4015</v>
      </c>
      <c r="K15" vm="7937">
        <f ca="1"/>
        <v>144.68</v>
      </c>
      <c r="L15" vm="10597">
        <f ca="1"/>
        <v>210.35</v>
      </c>
      <c r="M15" vm="10598">
        <f ca="1"/>
        <v>138.87</v>
      </c>
      <c r="N15" vm="10599">
        <f ca="1"/>
        <v>336.34</v>
      </c>
      <c r="O15" vm="7490">
        <f ca="1"/>
        <v>277.41000000000003</v>
      </c>
      <c r="P15" vm="10600">
        <f ca="1"/>
        <v>336.51</v>
      </c>
      <c r="Q15" vm="10601">
        <f ca="1"/>
        <v>38.31</v>
      </c>
      <c r="R15" vm="10602">
        <f ca="1"/>
        <v>51.6</v>
      </c>
      <c r="S15" vm="7976">
        <f ca="1"/>
        <v>148.01</v>
      </c>
      <c r="T15" vm="10603">
        <f ca="1"/>
        <v>490.7</v>
      </c>
      <c r="U15" vm="2875">
        <f ca="1"/>
        <v>48.35</v>
      </c>
      <c r="V15" vm="10604">
        <f ca="1"/>
        <v>43.02</v>
      </c>
      <c r="W15" vm="10605">
        <f ca="1"/>
        <v>38.130000000000003</v>
      </c>
      <c r="X15" vm="10066">
        <f ca="1"/>
        <v>87.18</v>
      </c>
      <c r="Y15" vm="10606">
        <f ca="1"/>
        <v>50.929499999999997</v>
      </c>
      <c r="Z15" vm="10607">
        <f ca="1"/>
        <v>21.711400000000001</v>
      </c>
      <c r="AA15" vm="9963">
        <f ca="1"/>
        <v>60.41</v>
      </c>
      <c r="AB15" vm="10608">
        <f ca="1"/>
        <v>134.69999999999999</v>
      </c>
      <c r="AC15" vm="10609">
        <f ca="1"/>
        <v>217.44</v>
      </c>
      <c r="AD15" vm="7820">
        <f ca="1"/>
        <v>98.02</v>
      </c>
      <c r="AE15" vm="1467">
        <f ca="1"/>
        <v>210.71</v>
      </c>
      <c r="AF15" vm="10610">
        <f ca="1"/>
        <v>123.52</v>
      </c>
      <c r="AG15" vm="3066">
        <f ca="1"/>
        <v>57.72</v>
      </c>
      <c r="AH15" vm="10611">
        <f ca="1"/>
        <v>245.8</v>
      </c>
      <c r="AI15" vm="10612">
        <f ca="1"/>
        <v>478.47</v>
      </c>
      <c r="AJ15" vm="10613">
        <f ca="1"/>
        <v>92.66</v>
      </c>
      <c r="AK15" vm="10614">
        <f ca="1"/>
        <v>214.12</v>
      </c>
      <c r="AL15" vm="10615">
        <f ca="1"/>
        <v>210.96</v>
      </c>
      <c r="AM15" vm="10616">
        <f ca="1"/>
        <v>100.05</v>
      </c>
      <c r="AN15" vm="10617">
        <f ca="1"/>
        <v>55.07</v>
      </c>
      <c r="AO15" vm="7018">
        <f ca="1"/>
        <v>28.16</v>
      </c>
      <c r="AP15" vm="10618">
        <f ca="1"/>
        <v>117.88</v>
      </c>
      <c r="AQ15" vm="10619">
        <f ca="1"/>
        <v>230.58</v>
      </c>
      <c r="AR15" vm="3186">
        <f ca="1"/>
        <v>61.83</v>
      </c>
      <c r="AS15" vm="10620">
        <f ca="1"/>
        <v>27.35</v>
      </c>
      <c r="AT15" vm="9158">
        <f ca="1"/>
        <v>43.21</v>
      </c>
      <c r="AU15" vm="10621">
        <f ca="1"/>
        <v>179.53</v>
      </c>
      <c r="AV15" vm="10622">
        <f ca="1"/>
        <v>391.77</v>
      </c>
      <c r="AW15" vm="10623">
        <f ca="1"/>
        <v>155.82</v>
      </c>
    </row>
    <row r="16" spans="1:49">
      <c r="A16" vm="10624">
        <f ca="1"/>
        <v>44166</v>
      </c>
      <c r="B16" vm="10625">
        <f ca="1"/>
        <v>235.221</v>
      </c>
      <c r="C16" vm="10626">
        <f ca="1"/>
        <v>132.69</v>
      </c>
      <c r="D16" vm="10627">
        <f ca="1"/>
        <v>87.593999999999994</v>
      </c>
      <c r="E16" vm="10628">
        <f ca="1"/>
        <v>222.42</v>
      </c>
      <c r="F16" vm="10629">
        <f ca="1"/>
        <v>162.84649999999999</v>
      </c>
      <c r="G16" vm="10630">
        <f ca="1"/>
        <v>87.632000000000005</v>
      </c>
      <c r="H16" vm="10631">
        <f ca="1"/>
        <v>273.16000000000003</v>
      </c>
      <c r="I16" vm="10632">
        <f ca="1"/>
        <v>231.87</v>
      </c>
      <c r="J16" vm="10633">
        <f ca="1"/>
        <v>13.055</v>
      </c>
      <c r="K16" vm="10634">
        <f ca="1"/>
        <v>157.38</v>
      </c>
      <c r="L16" vm="10635">
        <f ca="1"/>
        <v>218.73</v>
      </c>
      <c r="M16" vm="10636">
        <f ca="1"/>
        <v>139.13999999999999</v>
      </c>
      <c r="N16" vm="10637">
        <f ca="1"/>
        <v>350.68</v>
      </c>
      <c r="O16" vm="10638">
        <f ca="1"/>
        <v>265.62</v>
      </c>
      <c r="P16" vm="10639">
        <f ca="1"/>
        <v>356.94</v>
      </c>
      <c r="Q16" vm="10640">
        <f ca="1"/>
        <v>36.81</v>
      </c>
      <c r="R16" vm="10641">
        <f ca="1"/>
        <v>54.84</v>
      </c>
      <c r="S16" vm="1489">
        <f ca="1"/>
        <v>181.18</v>
      </c>
      <c r="T16" vm="10642">
        <f ca="1"/>
        <v>540.73</v>
      </c>
      <c r="U16" vm="10643">
        <f ca="1"/>
        <v>49.82</v>
      </c>
      <c r="V16" vm="9269">
        <f ca="1"/>
        <v>44.75</v>
      </c>
      <c r="W16" vm="9189">
        <f ca="1"/>
        <v>41.22</v>
      </c>
      <c r="X16" vm="10644">
        <f ca="1"/>
        <v>84.45</v>
      </c>
      <c r="Y16" vm="10645">
        <f ca="1"/>
        <v>48.049500000000002</v>
      </c>
      <c r="Z16" vm="10646">
        <f ca="1"/>
        <v>21.719000000000001</v>
      </c>
      <c r="AA16" vm="8210">
        <f ca="1"/>
        <v>58.75</v>
      </c>
      <c r="AB16" vm="1051">
        <f ca="1"/>
        <v>141.47</v>
      </c>
      <c r="AC16" vm="10647">
        <f ca="1"/>
        <v>214.58</v>
      </c>
      <c r="AD16" vm="10648">
        <f ca="1"/>
        <v>106.98</v>
      </c>
      <c r="AE16" vm="10649">
        <f ca="1"/>
        <v>214.06</v>
      </c>
      <c r="AF16" vm="10474">
        <f ca="1"/>
        <v>125.88</v>
      </c>
      <c r="AG16" vm="3191">
        <f ca="1"/>
        <v>64.69</v>
      </c>
      <c r="AH16" vm="10650">
        <f ca="1"/>
        <v>222.53</v>
      </c>
      <c r="AI16" vm="8492">
        <f ca="1"/>
        <v>500.12</v>
      </c>
      <c r="AJ16" vm="10651">
        <f ca="1"/>
        <v>91.71</v>
      </c>
      <c r="AK16" vm="10652">
        <f ca="1"/>
        <v>234.2</v>
      </c>
      <c r="AL16" vm="10653">
        <f ca="1"/>
        <v>217.64</v>
      </c>
      <c r="AM16" vm="10654">
        <f ca="1"/>
        <v>99.66</v>
      </c>
      <c r="AN16" vm="3077">
        <f ca="1"/>
        <v>61.66</v>
      </c>
      <c r="AO16" vm="10655">
        <f ca="1"/>
        <v>30.31</v>
      </c>
      <c r="AP16" vm="10656">
        <f ca="1"/>
        <v>127.07</v>
      </c>
      <c r="AQ16" vm="10657">
        <f ca="1"/>
        <v>263.70999999999998</v>
      </c>
      <c r="AR16" vm="10658">
        <f ca="1"/>
        <v>68.53</v>
      </c>
      <c r="AS16" vm="7138">
        <f ca="1"/>
        <v>30.18</v>
      </c>
      <c r="AT16" vm="10659">
        <f ca="1"/>
        <v>46.59</v>
      </c>
      <c r="AU16" vm="10660">
        <f ca="1"/>
        <v>176.53</v>
      </c>
      <c r="AV16" vm="10661">
        <f ca="1"/>
        <v>376.78</v>
      </c>
      <c r="AW16" vm="4273">
        <f ca="1"/>
        <v>160.51</v>
      </c>
    </row>
    <row r="17" spans="1:49">
      <c r="A17" vm="10662">
        <f ca="1"/>
        <v>44197</v>
      </c>
      <c r="B17" vm="10663">
        <f ca="1"/>
        <v>264.50740000000002</v>
      </c>
      <c r="C17" vm="10664">
        <f ca="1"/>
        <v>131.96</v>
      </c>
      <c r="D17" vm="10665">
        <f ca="1"/>
        <v>91.787000000000006</v>
      </c>
      <c r="E17" vm="10666">
        <f ca="1"/>
        <v>231.96</v>
      </c>
      <c r="F17" vm="10667">
        <f ca="1"/>
        <v>160.31</v>
      </c>
      <c r="G17" vm="10668">
        <f ca="1"/>
        <v>91.367999999999995</v>
      </c>
      <c r="H17" vm="10669">
        <f ca="1"/>
        <v>258.33</v>
      </c>
      <c r="I17" vm="10670">
        <f ca="1"/>
        <v>227.87</v>
      </c>
      <c r="J17" vm="10671">
        <f ca="1"/>
        <v>12.989800000000001</v>
      </c>
      <c r="K17" vm="7923">
        <f ca="1"/>
        <v>163.13</v>
      </c>
      <c r="L17" vm="1368">
        <f ca="1"/>
        <v>193.25</v>
      </c>
      <c r="M17" vm="6769">
        <f ca="1"/>
        <v>128.21</v>
      </c>
      <c r="N17" vm="10672">
        <f ca="1"/>
        <v>333.58</v>
      </c>
      <c r="O17" vm="10673">
        <f ca="1"/>
        <v>270.82</v>
      </c>
      <c r="P17" vm="10674">
        <f ca="1"/>
        <v>316.29000000000002</v>
      </c>
      <c r="Q17" vm="10568">
        <f ca="1"/>
        <v>35.9</v>
      </c>
      <c r="R17" vm="3711">
        <f ca="1"/>
        <v>48.15</v>
      </c>
      <c r="S17" vm="10675">
        <f ca="1"/>
        <v>168.17</v>
      </c>
      <c r="T17" vm="10676">
        <f ca="1"/>
        <v>532.39</v>
      </c>
      <c r="U17" vm="10677">
        <f ca="1"/>
        <v>55.51</v>
      </c>
      <c r="V17" vm="10678">
        <f ca="1"/>
        <v>44.58</v>
      </c>
      <c r="W17" vm="10679">
        <f ca="1"/>
        <v>44.84</v>
      </c>
      <c r="X17" vm="10680">
        <f ca="1"/>
        <v>85.2</v>
      </c>
      <c r="Y17" vm="10681">
        <f ca="1"/>
        <v>46.829500000000003</v>
      </c>
      <c r="Z17" vm="10682">
        <f ca="1"/>
        <v>21.620799999999999</v>
      </c>
      <c r="AA17" vm="10683">
        <f ca="1"/>
        <v>54.75</v>
      </c>
      <c r="AB17" vm="10684">
        <f ca="1"/>
        <v>133.59</v>
      </c>
      <c r="AC17" vm="10685">
        <f ca="1"/>
        <v>207.84</v>
      </c>
      <c r="AD17" vm="10686">
        <f ca="1"/>
        <v>96.81</v>
      </c>
      <c r="AE17" vm="10687">
        <f ca="1"/>
        <v>194.19</v>
      </c>
      <c r="AF17" vm="10688">
        <f ca="1"/>
        <v>119.11</v>
      </c>
      <c r="AG17" vm="10689">
        <f ca="1"/>
        <v>60.43</v>
      </c>
      <c r="AH17" vm="10690">
        <f ca="1"/>
        <v>225.56</v>
      </c>
      <c r="AI17" vm="10691">
        <f ca="1"/>
        <v>458.77</v>
      </c>
      <c r="AJ17" vm="10692">
        <f ca="1"/>
        <v>85.64</v>
      </c>
      <c r="AK17" vm="10693">
        <f ca="1"/>
        <v>234.31</v>
      </c>
      <c r="AL17" vm="10694">
        <f ca="1"/>
        <v>215.96</v>
      </c>
      <c r="AM17" vm="10695">
        <f ca="1"/>
        <v>103.2</v>
      </c>
      <c r="AN17" vm="8209">
        <f ca="1"/>
        <v>57.99</v>
      </c>
      <c r="AO17" vm="10696">
        <f ca="1"/>
        <v>29.65</v>
      </c>
      <c r="AP17" vm="708">
        <f ca="1"/>
        <v>128.66999999999999</v>
      </c>
      <c r="AQ17" vm="9780">
        <f ca="1"/>
        <v>271.17</v>
      </c>
      <c r="AR17" vm="8294">
        <f ca="1"/>
        <v>67.05</v>
      </c>
      <c r="AS17" vm="10697">
        <f ca="1"/>
        <v>29.88</v>
      </c>
      <c r="AT17" vm="10698">
        <f ca="1"/>
        <v>42.85</v>
      </c>
      <c r="AU17" vm="10699">
        <f ca="1"/>
        <v>181.17</v>
      </c>
      <c r="AV17" vm="10700">
        <f ca="1"/>
        <v>352.43</v>
      </c>
      <c r="AW17" vm="4003">
        <f ca="1"/>
        <v>166.85</v>
      </c>
    </row>
    <row r="18" spans="1:49">
      <c r="A18" vm="10701">
        <f ca="1"/>
        <v>44228</v>
      </c>
      <c r="B18" vm="10702">
        <f ca="1"/>
        <v>225.1644</v>
      </c>
      <c r="C18" vm="10703">
        <f ca="1"/>
        <v>121.26</v>
      </c>
      <c r="D18" vm="10704">
        <f ca="1"/>
        <v>101.843</v>
      </c>
      <c r="E18" vm="10705">
        <f ca="1"/>
        <v>232.38</v>
      </c>
      <c r="F18" vm="10706">
        <f ca="1"/>
        <v>154.6465</v>
      </c>
      <c r="G18" vm="10707">
        <f ca="1"/>
        <v>101.0955</v>
      </c>
      <c r="H18" vm="10708">
        <f ca="1"/>
        <v>257.62</v>
      </c>
      <c r="I18" vm="10709">
        <f ca="1"/>
        <v>240.51</v>
      </c>
      <c r="J18" vm="10710">
        <f ca="1"/>
        <v>13.714499999999999</v>
      </c>
      <c r="K18" vm="2708">
        <f ca="1"/>
        <v>158.46</v>
      </c>
      <c r="L18" vm="10711">
        <f ca="1"/>
        <v>212.39</v>
      </c>
      <c r="M18" vm="10712">
        <f ca="1"/>
        <v>123.53</v>
      </c>
      <c r="N18" vm="10713">
        <f ca="1"/>
        <v>332.22</v>
      </c>
      <c r="O18" vm="10714">
        <f ca="1"/>
        <v>258.33999999999997</v>
      </c>
      <c r="P18" vm="10715">
        <f ca="1"/>
        <v>353.85</v>
      </c>
      <c r="Q18" vm="10716">
        <f ca="1"/>
        <v>33.49</v>
      </c>
      <c r="R18" vm="6419">
        <f ca="1"/>
        <v>48.99</v>
      </c>
      <c r="S18" vm="10583">
        <f ca="1"/>
        <v>189.04</v>
      </c>
      <c r="T18" vm="10717">
        <f ca="1"/>
        <v>538.85</v>
      </c>
      <c r="U18" vm="3129">
        <f ca="1"/>
        <v>60.78</v>
      </c>
      <c r="V18" vm="10718">
        <f ca="1"/>
        <v>44.87</v>
      </c>
      <c r="W18" vm="10719">
        <f ca="1"/>
        <v>54.37</v>
      </c>
      <c r="X18" vm="10720">
        <f ca="1"/>
        <v>100</v>
      </c>
      <c r="Y18" vm="10721">
        <f ca="1"/>
        <v>43.306199999999997</v>
      </c>
      <c r="Z18" vm="10722">
        <f ca="1"/>
        <v>21.062000000000001</v>
      </c>
      <c r="AA18" vm="10188">
        <f ca="1"/>
        <v>55.3</v>
      </c>
      <c r="AB18" vm="10723">
        <f ca="1"/>
        <v>134.78</v>
      </c>
      <c r="AC18" vm="10724">
        <f ca="1"/>
        <v>206.14</v>
      </c>
      <c r="AD18" vm="10725">
        <f ca="1"/>
        <v>108.03</v>
      </c>
      <c r="AE18" vm="10726">
        <f ca="1"/>
        <v>212.01</v>
      </c>
      <c r="AF18" vm="10727">
        <f ca="1"/>
        <v>118.93</v>
      </c>
      <c r="AG18" vm="2515">
        <f ca="1"/>
        <v>64.510000000000005</v>
      </c>
      <c r="AH18" vm="10728">
        <f ca="1"/>
        <v>216.5</v>
      </c>
      <c r="AI18" vm="10729">
        <f ca="1"/>
        <v>459.67</v>
      </c>
      <c r="AJ18" vm="10730">
        <f ca="1"/>
        <v>84.51</v>
      </c>
      <c r="AK18" vm="10731">
        <f ca="1"/>
        <v>259.85000000000002</v>
      </c>
      <c r="AL18" vm="10732">
        <f ca="1"/>
        <v>230.03</v>
      </c>
      <c r="AM18" vm="10733">
        <f ca="1"/>
        <v>99.07</v>
      </c>
      <c r="AN18" vm="6887">
        <f ca="1"/>
        <v>65.88</v>
      </c>
      <c r="AO18" vm="10734">
        <f ca="1"/>
        <v>34.71</v>
      </c>
      <c r="AP18" vm="7943">
        <f ca="1"/>
        <v>147.16999999999999</v>
      </c>
      <c r="AQ18" vm="10735">
        <f ca="1"/>
        <v>319.48</v>
      </c>
      <c r="AR18" vm="10736">
        <f ca="1"/>
        <v>76.87</v>
      </c>
      <c r="AS18" vm="10737">
        <f ca="1"/>
        <v>36.17</v>
      </c>
      <c r="AT18" vm="10738">
        <f ca="1"/>
        <v>50</v>
      </c>
      <c r="AU18" vm="3939">
        <f ca="1"/>
        <v>183.44</v>
      </c>
      <c r="AV18" vm="10739">
        <f ca="1"/>
        <v>331</v>
      </c>
      <c r="AW18" vm="745">
        <f ca="1"/>
        <v>159.75</v>
      </c>
    </row>
    <row r="19" spans="1:49">
      <c r="A19" vm="10740">
        <f ca="1"/>
        <v>44256</v>
      </c>
      <c r="B19" vm="10741">
        <f ca="1"/>
        <v>222.64109999999999</v>
      </c>
      <c r="C19" vm="10742">
        <f ca="1"/>
        <v>122.15</v>
      </c>
      <c r="D19" vm="10743">
        <f ca="1"/>
        <v>103.4315</v>
      </c>
      <c r="E19" vm="10744">
        <f ca="1"/>
        <v>235.77</v>
      </c>
      <c r="F19" vm="10745">
        <f ca="1"/>
        <v>154.70400000000001</v>
      </c>
      <c r="G19" vm="10746">
        <f ca="1"/>
        <v>103.126</v>
      </c>
      <c r="H19" vm="10747">
        <f ca="1"/>
        <v>294.52999999999997</v>
      </c>
      <c r="I19" vm="10748">
        <f ca="1"/>
        <v>255.47</v>
      </c>
      <c r="J19" vm="10749">
        <f ca="1"/>
        <v>13.3483</v>
      </c>
      <c r="K19" vm="743">
        <f ca="1"/>
        <v>164.35</v>
      </c>
      <c r="L19" vm="10750">
        <f ca="1"/>
        <v>211.73</v>
      </c>
      <c r="M19" vm="10751">
        <f ca="1"/>
        <v>135.43</v>
      </c>
      <c r="N19" vm="10752">
        <f ca="1"/>
        <v>372.07</v>
      </c>
      <c r="O19" vm="10753">
        <f ca="1"/>
        <v>305.25</v>
      </c>
      <c r="P19" vm="10754">
        <f ca="1"/>
        <v>356.05</v>
      </c>
      <c r="Q19" vm="10755">
        <f ca="1"/>
        <v>36.229999999999997</v>
      </c>
      <c r="R19" vm="10756">
        <f ca="1"/>
        <v>52.71</v>
      </c>
      <c r="S19" vm="1413">
        <f ca="1"/>
        <v>184.52</v>
      </c>
      <c r="T19" vm="10757">
        <f ca="1"/>
        <v>521.66</v>
      </c>
      <c r="U19" vm="6937">
        <f ca="1"/>
        <v>64</v>
      </c>
      <c r="V19" vm="10758">
        <f ca="1"/>
        <v>51.71</v>
      </c>
      <c r="W19" vm="2989">
        <f ca="1"/>
        <v>55.83</v>
      </c>
      <c r="X19" vm="10759">
        <f ca="1"/>
        <v>104.79</v>
      </c>
      <c r="Y19" vm="10760">
        <f ca="1"/>
        <v>45.276200000000003</v>
      </c>
      <c r="Z19" vm="10761">
        <f ca="1"/>
        <v>22.859300000000001</v>
      </c>
      <c r="AA19" vm="3157">
        <f ca="1"/>
        <v>58.15</v>
      </c>
      <c r="AB19" vm="6601">
        <f ca="1"/>
        <v>132.88999999999999</v>
      </c>
      <c r="AC19" vm="10762">
        <f ca="1"/>
        <v>224.14</v>
      </c>
      <c r="AD19" vm="10763">
        <f ca="1"/>
        <v>109.27</v>
      </c>
      <c r="AE19" vm="10764">
        <f ca="1"/>
        <v>254.72</v>
      </c>
      <c r="AF19" vm="10765">
        <f ca="1"/>
        <v>133.26</v>
      </c>
      <c r="AG19" vm="8327">
        <f ca="1"/>
        <v>70.17</v>
      </c>
      <c r="AH19" vm="10766">
        <f ca="1"/>
        <v>211.87</v>
      </c>
      <c r="AI19" vm="10767">
        <f ca="1"/>
        <v>475.37</v>
      </c>
      <c r="AJ19" vm="6342">
        <f ca="1"/>
        <v>78.5</v>
      </c>
      <c r="AK19" vm="1704">
        <f ca="1"/>
        <v>242.84</v>
      </c>
      <c r="AL19" vm="10768">
        <f ca="1"/>
        <v>227.05</v>
      </c>
      <c r="AM19" vm="10769">
        <f ca="1"/>
        <v>106</v>
      </c>
      <c r="AN19" vm="7755">
        <f ca="1"/>
        <v>72.75</v>
      </c>
      <c r="AO19" vm="2065">
        <f ca="1"/>
        <v>38.69</v>
      </c>
      <c r="AP19" vm="10770">
        <f ca="1"/>
        <v>152.22999999999999</v>
      </c>
      <c r="AQ19" vm="10771">
        <f ca="1"/>
        <v>327</v>
      </c>
      <c r="AR19" vm="10772">
        <f ca="1"/>
        <v>77.66</v>
      </c>
      <c r="AS19" vm="10773">
        <f ca="1"/>
        <v>39.07</v>
      </c>
      <c r="AT19" vm="10774">
        <f ca="1"/>
        <v>55.31</v>
      </c>
      <c r="AU19" vm="4410">
        <f ca="1"/>
        <v>198.07</v>
      </c>
      <c r="AV19" vm="10775">
        <f ca="1"/>
        <v>352.48</v>
      </c>
      <c r="AW19" vm="10776">
        <f ca="1"/>
        <v>190.18</v>
      </c>
    </row>
    <row r="20" spans="1:49">
      <c r="A20" vm="10777">
        <f ca="1"/>
        <v>44287</v>
      </c>
      <c r="B20" vm="10778">
        <f ca="1"/>
        <v>236.4776</v>
      </c>
      <c r="C20" vm="10779">
        <f ca="1"/>
        <v>131.46</v>
      </c>
      <c r="D20" vm="10780">
        <f ca="1"/>
        <v>120.506</v>
      </c>
      <c r="E20" vm="10781">
        <f ca="1"/>
        <v>252.18</v>
      </c>
      <c r="F20" vm="10782">
        <f ca="1"/>
        <v>173.37100000000001</v>
      </c>
      <c r="G20" vm="10783">
        <f ca="1"/>
        <v>117.675</v>
      </c>
      <c r="H20" vm="10784">
        <f ca="1"/>
        <v>325.08</v>
      </c>
      <c r="I20" vm="9841">
        <f ca="1"/>
        <v>274.95</v>
      </c>
      <c r="J20" vm="10785">
        <f ca="1"/>
        <v>15.009499999999999</v>
      </c>
      <c r="K20" vm="1210">
        <f ca="1"/>
        <v>162.72999999999999</v>
      </c>
      <c r="L20" vm="4601">
        <f ca="1"/>
        <v>233.56</v>
      </c>
      <c r="M20" vm="7245">
        <f ca="1"/>
        <v>133.41999999999999</v>
      </c>
      <c r="N20" vm="10786">
        <f ca="1"/>
        <v>398.8</v>
      </c>
      <c r="O20" vm="10787">
        <f ca="1"/>
        <v>323.67</v>
      </c>
      <c r="P20" vm="10788">
        <f ca="1"/>
        <v>382.06</v>
      </c>
      <c r="Q20" vm="2078">
        <f ca="1"/>
        <v>38.65</v>
      </c>
      <c r="R20" vm="3051">
        <f ca="1"/>
        <v>53.98</v>
      </c>
      <c r="S20" vm="10789">
        <f ca="1"/>
        <v>186.02</v>
      </c>
      <c r="T20" vm="10790">
        <f ca="1"/>
        <v>513.47</v>
      </c>
      <c r="U20" vm="10791">
        <f ca="1"/>
        <v>57.53</v>
      </c>
      <c r="V20" vm="10792">
        <f ca="1"/>
        <v>50.91</v>
      </c>
      <c r="W20" vm="10793">
        <f ca="1"/>
        <v>57.24</v>
      </c>
      <c r="X20" vm="10794">
        <f ca="1"/>
        <v>103.07</v>
      </c>
      <c r="Y20" vm="10535">
        <f ca="1"/>
        <v>46.636200000000002</v>
      </c>
      <c r="Z20" vm="10795">
        <f ca="1"/>
        <v>23.720199999999998</v>
      </c>
      <c r="AA20" vm="10121">
        <f ca="1"/>
        <v>57.79</v>
      </c>
      <c r="AB20" vm="10796">
        <f ca="1"/>
        <v>132.62</v>
      </c>
      <c r="AC20" vm="4614">
        <f ca="1"/>
        <v>236.08</v>
      </c>
      <c r="AD20" vm="10797">
        <f ca="1"/>
        <v>114.49</v>
      </c>
      <c r="AE20" vm="10693">
        <f ca="1"/>
        <v>234.31</v>
      </c>
      <c r="AF20" vm="10798">
        <f ca="1"/>
        <v>141.88</v>
      </c>
      <c r="AG20" vm="10799">
        <f ca="1"/>
        <v>75.790000000000006</v>
      </c>
      <c r="AH20" vm="10800">
        <f ca="1"/>
        <v>230.32</v>
      </c>
      <c r="AI20" vm="10801">
        <f ca="1"/>
        <v>508.34</v>
      </c>
      <c r="AJ20" vm="10802">
        <f ca="1"/>
        <v>81.62</v>
      </c>
      <c r="AK20" vm="4695">
        <f ca="1"/>
        <v>262.29000000000002</v>
      </c>
      <c r="AL20" vm="4515">
        <f ca="1"/>
        <v>244.82</v>
      </c>
      <c r="AM20" vm="10803">
        <f ca="1"/>
        <v>116.53</v>
      </c>
      <c r="AN20" vm="10804">
        <f ca="1"/>
        <v>71.239999999999995</v>
      </c>
      <c r="AO20" vm="9229">
        <f ca="1"/>
        <v>40.53</v>
      </c>
      <c r="AP20" vm="10805">
        <f ca="1"/>
        <v>153.81</v>
      </c>
      <c r="AQ20" vm="10806">
        <f ca="1"/>
        <v>348.45</v>
      </c>
      <c r="AR20" vm="10807">
        <f ca="1"/>
        <v>82.55</v>
      </c>
      <c r="AS20" vm="9644">
        <f ca="1"/>
        <v>45.05</v>
      </c>
      <c r="AT20" vm="8228">
        <f ca="1"/>
        <v>59.35</v>
      </c>
      <c r="AU20" vm="10808">
        <f ca="1"/>
        <v>207.26</v>
      </c>
      <c r="AV20" vm="10809">
        <f ca="1"/>
        <v>372.09</v>
      </c>
      <c r="AW20" vm="10810">
        <f ca="1"/>
        <v>196.25</v>
      </c>
    </row>
    <row r="21" spans="1:49">
      <c r="A21" vm="10811">
        <f ca="1"/>
        <v>44317</v>
      </c>
      <c r="B21" vm="10812">
        <f ca="1"/>
        <v>208.40459999999999</v>
      </c>
      <c r="C21" vm="7371">
        <f ca="1"/>
        <v>124.61</v>
      </c>
      <c r="D21" vm="10813">
        <f ca="1"/>
        <v>120.578</v>
      </c>
      <c r="E21" vm="10814">
        <f ca="1"/>
        <v>249.68</v>
      </c>
      <c r="F21" vm="10815">
        <f ca="1"/>
        <v>161.15350000000001</v>
      </c>
      <c r="G21" vm="10816">
        <f ca="1"/>
        <v>117.8425</v>
      </c>
      <c r="H21" vm="10817">
        <f ca="1"/>
        <v>328.73</v>
      </c>
      <c r="I21" vm="5037">
        <f ca="1"/>
        <v>289.44</v>
      </c>
      <c r="J21" vm="10818">
        <f ca="1"/>
        <v>16.244499999999999</v>
      </c>
      <c r="K21" vm="8929">
        <f ca="1"/>
        <v>169.25</v>
      </c>
      <c r="L21" vm="10819">
        <f ca="1"/>
        <v>227.3</v>
      </c>
      <c r="M21" vm="10820">
        <f ca="1"/>
        <v>134.85</v>
      </c>
      <c r="N21" vm="10821">
        <f ca="1"/>
        <v>411.92</v>
      </c>
      <c r="O21" vm="10822">
        <f ca="1"/>
        <v>318.91000000000003</v>
      </c>
      <c r="P21" vm="10823">
        <f ca="1"/>
        <v>360.58</v>
      </c>
      <c r="Q21" vm="10824">
        <f ca="1"/>
        <v>38.729999999999997</v>
      </c>
      <c r="R21" vm="10825">
        <f ca="1"/>
        <v>55.29</v>
      </c>
      <c r="S21" vm="10826">
        <f ca="1"/>
        <v>178.65</v>
      </c>
      <c r="T21" vm="10827">
        <f ca="1"/>
        <v>502.81</v>
      </c>
      <c r="U21" vm="10828">
        <f ca="1"/>
        <v>57.12</v>
      </c>
      <c r="V21" vm="10829">
        <f ca="1"/>
        <v>52.9</v>
      </c>
      <c r="W21" vm="6920">
        <f ca="1"/>
        <v>58.37</v>
      </c>
      <c r="X21" vm="6235">
        <f ca="1"/>
        <v>103.79</v>
      </c>
      <c r="Y21" vm="10830">
        <f ca="1"/>
        <v>47.3429</v>
      </c>
      <c r="Z21" vm="10831">
        <f ca="1"/>
        <v>22.224900000000002</v>
      </c>
      <c r="AA21" vm="10186">
        <f ca="1"/>
        <v>56.49</v>
      </c>
      <c r="AB21" vm="10832">
        <f ca="1"/>
        <v>136.46</v>
      </c>
      <c r="AC21" vm="10833">
        <f ca="1"/>
        <v>233.89</v>
      </c>
      <c r="AD21" vm="9029">
        <f ca="1"/>
        <v>113.88</v>
      </c>
      <c r="AE21" vm="10834">
        <f ca="1"/>
        <v>247.02</v>
      </c>
      <c r="AF21" vm="10835">
        <f ca="1"/>
        <v>143.74</v>
      </c>
      <c r="AG21" vm="10836">
        <f ca="1"/>
        <v>78.739999999999995</v>
      </c>
      <c r="AH21" vm="10837">
        <f ca="1"/>
        <v>238.1</v>
      </c>
      <c r="AI21" vm="10838">
        <f ca="1"/>
        <v>504.58</v>
      </c>
      <c r="AJ21" vm="6967">
        <f ca="1"/>
        <v>80.08</v>
      </c>
      <c r="AK21" vm="10839">
        <f ca="1"/>
        <v>260.02</v>
      </c>
      <c r="AL21" vm="10840">
        <f ca="1"/>
        <v>222.52</v>
      </c>
      <c r="AM21" vm="10841">
        <f ca="1"/>
        <v>117.84</v>
      </c>
      <c r="AN21" vm="10842">
        <f ca="1"/>
        <v>78.709999999999994</v>
      </c>
      <c r="AO21" vm="10843">
        <f ca="1"/>
        <v>42.39</v>
      </c>
      <c r="AP21" vm="10844">
        <f ca="1"/>
        <v>164.24</v>
      </c>
      <c r="AQ21" vm="10845">
        <f ca="1"/>
        <v>372.02</v>
      </c>
      <c r="AR21" vm="6268">
        <f ca="1"/>
        <v>90.95</v>
      </c>
      <c r="AS21" vm="2116">
        <f ca="1"/>
        <v>46.72</v>
      </c>
      <c r="AT21" vm="3129">
        <f ca="1"/>
        <v>60.78</v>
      </c>
      <c r="AU21" vm="4116">
        <f ca="1"/>
        <v>226.92</v>
      </c>
      <c r="AV21" vm="10846">
        <f ca="1"/>
        <v>378.27</v>
      </c>
      <c r="AW21" vm="1480">
        <f ca="1"/>
        <v>194.83</v>
      </c>
    </row>
    <row r="22" spans="1:49">
      <c r="A22" vm="10847">
        <f ca="1"/>
        <v>44348</v>
      </c>
      <c r="B22" vm="10848">
        <f ca="1"/>
        <v>226.56440000000001</v>
      </c>
      <c r="C22" vm="10849">
        <f ca="1"/>
        <v>136.96</v>
      </c>
      <c r="D22" vm="10850">
        <f ca="1"/>
        <v>125.316</v>
      </c>
      <c r="E22" vm="9691">
        <f ca="1"/>
        <v>270.89999999999998</v>
      </c>
      <c r="F22" vm="10851">
        <f ca="1"/>
        <v>172.00800000000001</v>
      </c>
      <c r="G22" vm="10852">
        <f ca="1"/>
        <v>122.0895</v>
      </c>
      <c r="H22" vm="10853">
        <f ca="1"/>
        <v>347.71</v>
      </c>
      <c r="I22" vm="10854">
        <f ca="1"/>
        <v>277.92</v>
      </c>
      <c r="J22" vm="10855">
        <f ca="1"/>
        <v>20.002500000000001</v>
      </c>
      <c r="K22" vm="956">
        <f ca="1"/>
        <v>164.74</v>
      </c>
      <c r="L22" vm="10856">
        <f ca="1"/>
        <v>233.82</v>
      </c>
      <c r="M22" vm="10857">
        <f ca="1"/>
        <v>134.93</v>
      </c>
      <c r="N22" vm="10858">
        <f ca="1"/>
        <v>400.44</v>
      </c>
      <c r="O22" vm="10859">
        <f ca="1"/>
        <v>318.89</v>
      </c>
      <c r="P22" vm="10860">
        <f ca="1"/>
        <v>365.09</v>
      </c>
      <c r="Q22" vm="9555">
        <f ca="1"/>
        <v>39.159999999999997</v>
      </c>
      <c r="R22" vm="3039">
        <f ca="1"/>
        <v>54.11</v>
      </c>
      <c r="S22" vm="6797">
        <f ca="1"/>
        <v>175.77</v>
      </c>
      <c r="T22" vm="10861">
        <f ca="1"/>
        <v>528.21</v>
      </c>
      <c r="U22" vm="3063">
        <f ca="1"/>
        <v>56.14</v>
      </c>
      <c r="V22" vm="10862">
        <f ca="1"/>
        <v>53</v>
      </c>
      <c r="W22" vm="6844">
        <f ca="1"/>
        <v>63.08</v>
      </c>
      <c r="X22" vm="10863">
        <f ca="1"/>
        <v>104.74</v>
      </c>
      <c r="Y22" vm="10864">
        <f ca="1"/>
        <v>47.0062</v>
      </c>
      <c r="Z22" vm="10865">
        <f ca="1"/>
        <v>21.734100000000002</v>
      </c>
      <c r="AA22" vm="10866">
        <f ca="1"/>
        <v>56.03</v>
      </c>
      <c r="AB22" vm="10867">
        <f ca="1"/>
        <v>154.49</v>
      </c>
      <c r="AC22" vm="10868">
        <f ca="1"/>
        <v>230.99</v>
      </c>
      <c r="AD22" vm="10869">
        <f ca="1"/>
        <v>111.81</v>
      </c>
      <c r="AE22" vm="4501">
        <f ca="1"/>
        <v>239.56</v>
      </c>
      <c r="AF22" vm="10870">
        <f ca="1"/>
        <v>146.59</v>
      </c>
      <c r="AG22" vm="10871">
        <f ca="1"/>
        <v>77.84</v>
      </c>
      <c r="AH22" vm="10872">
        <f ca="1"/>
        <v>244.27</v>
      </c>
      <c r="AI22" vm="10873">
        <f ca="1"/>
        <v>585.64</v>
      </c>
      <c r="AJ22" vm="8971">
        <f ca="1"/>
        <v>93.93</v>
      </c>
      <c r="AK22" vm="10874">
        <f ca="1"/>
        <v>291.48</v>
      </c>
      <c r="AL22" vm="10875">
        <f ca="1"/>
        <v>243.8</v>
      </c>
      <c r="AM22" vm="10876">
        <f ca="1"/>
        <v>119.53</v>
      </c>
      <c r="AN22" vm="3205">
        <f ca="1"/>
        <v>70.75</v>
      </c>
      <c r="AO22" vm="10877">
        <f ca="1"/>
        <v>41.23</v>
      </c>
      <c r="AP22" vm="972">
        <f ca="1"/>
        <v>155.54</v>
      </c>
      <c r="AQ22" vm="10878">
        <f ca="1"/>
        <v>379.53</v>
      </c>
      <c r="AR22" vm="10879">
        <f ca="1"/>
        <v>91.69</v>
      </c>
      <c r="AS22" vm="10880">
        <f ca="1"/>
        <v>45.29</v>
      </c>
      <c r="AT22" vm="10126">
        <f ca="1"/>
        <v>56.97</v>
      </c>
      <c r="AU22" vm="10881">
        <f ca="1"/>
        <v>241.74</v>
      </c>
      <c r="AV22" vm="10882">
        <f ca="1"/>
        <v>395.67</v>
      </c>
      <c r="AW22" vm="10883">
        <f ca="1"/>
        <v>193.97</v>
      </c>
    </row>
    <row r="23" spans="1:49">
      <c r="A23" vm="10884">
        <f ca="1"/>
        <v>44378</v>
      </c>
      <c r="B23" vm="10885">
        <f ca="1"/>
        <v>229.06440000000001</v>
      </c>
      <c r="C23" vm="10886">
        <f ca="1"/>
        <v>145.86000000000001</v>
      </c>
      <c r="D23" vm="10887">
        <f ca="1"/>
        <v>135.221</v>
      </c>
      <c r="E23" vm="10888">
        <f ca="1"/>
        <v>284.91000000000003</v>
      </c>
      <c r="F23" vm="10889">
        <f ca="1"/>
        <v>166.37950000000001</v>
      </c>
      <c r="G23" vm="10890">
        <f ca="1"/>
        <v>134.72649999999999</v>
      </c>
      <c r="H23" vm="10891">
        <f ca="1"/>
        <v>356.3</v>
      </c>
      <c r="I23" vm="10892">
        <f ca="1"/>
        <v>278.29000000000002</v>
      </c>
      <c r="J23" vm="10893">
        <f ca="1"/>
        <v>19.498999999999999</v>
      </c>
      <c r="K23" vm="10894">
        <f ca="1"/>
        <v>172.2</v>
      </c>
      <c r="L23" vm="10895">
        <f ca="1"/>
        <v>246.39</v>
      </c>
      <c r="M23" vm="10896">
        <f ca="1"/>
        <v>142.22999999999999</v>
      </c>
      <c r="N23" vm="10897">
        <f ca="1"/>
        <v>412.22</v>
      </c>
      <c r="O23" vm="10898">
        <f ca="1"/>
        <v>328.19</v>
      </c>
      <c r="P23" vm="10899">
        <f ca="1"/>
        <v>385.94</v>
      </c>
      <c r="Q23" vm="9172">
        <f ca="1"/>
        <v>42.81</v>
      </c>
      <c r="R23" vm="10900">
        <f ca="1"/>
        <v>57.03</v>
      </c>
      <c r="S23" vm="4020">
        <f ca="1"/>
        <v>176.02</v>
      </c>
      <c r="T23" vm="10901">
        <f ca="1"/>
        <v>517.57000000000005</v>
      </c>
      <c r="U23" vm="10902">
        <f ca="1"/>
        <v>53.72</v>
      </c>
      <c r="V23" vm="10903">
        <f ca="1"/>
        <v>55.37</v>
      </c>
      <c r="W23" vm="10904">
        <f ca="1"/>
        <v>57.57</v>
      </c>
      <c r="X23" vm="10905">
        <f ca="1"/>
        <v>101.81</v>
      </c>
      <c r="Y23" vm="10906">
        <f ca="1"/>
        <v>47.516199999999998</v>
      </c>
      <c r="Z23" vm="10907">
        <f ca="1"/>
        <v>21.1828</v>
      </c>
      <c r="AA23" vm="10908">
        <f ca="1"/>
        <v>55.78</v>
      </c>
      <c r="AB23" vm="10909">
        <f ca="1"/>
        <v>167.51</v>
      </c>
      <c r="AC23" vm="10910">
        <f ca="1"/>
        <v>242.71</v>
      </c>
      <c r="AD23" vm="6209">
        <f ca="1"/>
        <v>121.43</v>
      </c>
      <c r="AE23" vm="10911">
        <f ca="1"/>
        <v>226.48</v>
      </c>
      <c r="AF23" vm="10912">
        <f ca="1"/>
        <v>140.96</v>
      </c>
      <c r="AG23" vm="10913">
        <f ca="1"/>
        <v>87.14</v>
      </c>
      <c r="AH23" vm="10914">
        <f ca="1"/>
        <v>241.93</v>
      </c>
      <c r="AI23" vm="10915">
        <f ca="1"/>
        <v>621.63</v>
      </c>
      <c r="AJ23" vm="6641">
        <f ca="1"/>
        <v>106.19</v>
      </c>
      <c r="AK23" vm="10916">
        <f ca="1"/>
        <v>275.52999999999997</v>
      </c>
      <c r="AL23" vm="10917">
        <f ca="1"/>
        <v>247.26</v>
      </c>
      <c r="AM23" vm="10918">
        <f ca="1"/>
        <v>128.04</v>
      </c>
      <c r="AN23" vm="10919">
        <f ca="1"/>
        <v>67.62</v>
      </c>
      <c r="AO23" vm="10920">
        <f ca="1"/>
        <v>38.36</v>
      </c>
      <c r="AP23" vm="2766">
        <f ca="1"/>
        <v>151.78</v>
      </c>
      <c r="AQ23" vm="10921">
        <f ca="1"/>
        <v>374.88</v>
      </c>
      <c r="AR23" vm="10922">
        <f ca="1"/>
        <v>95.98</v>
      </c>
      <c r="AS23" vm="10923">
        <f ca="1"/>
        <v>45.94</v>
      </c>
      <c r="AT23" vm="3043">
        <f ca="1"/>
        <v>55.54</v>
      </c>
      <c r="AU23" vm="10924">
        <f ca="1"/>
        <v>261.05</v>
      </c>
      <c r="AV23" vm="10925">
        <f ca="1"/>
        <v>429.72</v>
      </c>
      <c r="AW23" vm="10926">
        <f ca="1"/>
        <v>192.69</v>
      </c>
    </row>
    <row r="24" spans="1:49">
      <c r="A24" vm="10927">
        <f ca="1"/>
        <v>44409</v>
      </c>
      <c r="B24" vm="10928">
        <f ca="1"/>
        <v>245.23750000000001</v>
      </c>
      <c r="C24" vm="10929">
        <f ca="1"/>
        <v>151.83000000000001</v>
      </c>
      <c r="D24" vm="10930">
        <f ca="1"/>
        <v>145.46199999999999</v>
      </c>
      <c r="E24" vm="10931">
        <f ca="1"/>
        <v>301.88</v>
      </c>
      <c r="F24" vm="10932">
        <f ca="1"/>
        <v>173.5395</v>
      </c>
      <c r="G24" vm="10933">
        <f ca="1"/>
        <v>144.69749999999999</v>
      </c>
      <c r="H24" vm="10934">
        <f ca="1"/>
        <v>379.38</v>
      </c>
      <c r="I24" vm="10935">
        <f ca="1"/>
        <v>285.77</v>
      </c>
      <c r="J24" vm="10936">
        <f ca="1"/>
        <v>22.385000000000002</v>
      </c>
      <c r="K24" vm="10937">
        <f ca="1"/>
        <v>173.13</v>
      </c>
      <c r="L24" vm="10938">
        <f ca="1"/>
        <v>229.1</v>
      </c>
      <c r="M24" vm="10939">
        <f ca="1"/>
        <v>142.38999999999999</v>
      </c>
      <c r="N24" vm="10940">
        <f ca="1"/>
        <v>416.27</v>
      </c>
      <c r="O24" vm="10941">
        <f ca="1"/>
        <v>326.18</v>
      </c>
      <c r="P24" vm="10942">
        <f ca="1"/>
        <v>346.23</v>
      </c>
      <c r="Q24" vm="10943">
        <f ca="1"/>
        <v>46.07</v>
      </c>
      <c r="R24" vm="10944">
        <f ca="1"/>
        <v>56.31</v>
      </c>
      <c r="S24" vm="10945">
        <f ca="1"/>
        <v>181.3</v>
      </c>
      <c r="T24" vm="10946">
        <f ca="1"/>
        <v>569.19000000000005</v>
      </c>
      <c r="U24" vm="10947">
        <f ca="1"/>
        <v>54.06</v>
      </c>
      <c r="V24" vm="8207">
        <f ca="1"/>
        <v>59.02</v>
      </c>
      <c r="W24" vm="10948">
        <f ca="1"/>
        <v>54.52</v>
      </c>
      <c r="X24" vm="10949">
        <f ca="1"/>
        <v>96.77</v>
      </c>
      <c r="Y24" vm="10950">
        <f ca="1"/>
        <v>49.366199999999999</v>
      </c>
      <c r="Z24" vm="10951">
        <f ca="1"/>
        <v>20.707000000000001</v>
      </c>
      <c r="AA24" vm="10952">
        <f ca="1"/>
        <v>55</v>
      </c>
      <c r="AB24" vm="956">
        <f ca="1"/>
        <v>164.74</v>
      </c>
      <c r="AC24" vm="10953">
        <f ca="1"/>
        <v>237.46</v>
      </c>
      <c r="AD24" vm="10954">
        <f ca="1"/>
        <v>117.49</v>
      </c>
      <c r="AE24" vm="10955">
        <f ca="1"/>
        <v>219.5</v>
      </c>
      <c r="AF24" vm="10956">
        <f ca="1"/>
        <v>140.34</v>
      </c>
      <c r="AG24" vm="5775">
        <f ca="1"/>
        <v>89.13</v>
      </c>
      <c r="AH24" vm="10957">
        <f ca="1"/>
        <v>265.27</v>
      </c>
      <c r="AI24" vm="10958">
        <f ca="1"/>
        <v>663.7</v>
      </c>
      <c r="AJ24" vm="10959">
        <f ca="1"/>
        <v>110.72</v>
      </c>
      <c r="AK24" vm="5173">
        <f ca="1"/>
        <v>288.66000000000003</v>
      </c>
      <c r="AL24" vm="10960">
        <f ca="1"/>
        <v>268.07</v>
      </c>
      <c r="AM24" vm="10961">
        <f ca="1"/>
        <v>134.66</v>
      </c>
      <c r="AN24" vm="10962">
        <f ca="1"/>
        <v>71.91</v>
      </c>
      <c r="AO24" vm="10963">
        <f ca="1"/>
        <v>41.75</v>
      </c>
      <c r="AP24" vm="10964">
        <f ca="1"/>
        <v>159.94999999999999</v>
      </c>
      <c r="AQ24" vm="8419">
        <f ca="1"/>
        <v>413.51</v>
      </c>
      <c r="AR24" vm="10965">
        <f ca="1"/>
        <v>104.43</v>
      </c>
      <c r="AS24" vm="10966">
        <f ca="1"/>
        <v>45.7</v>
      </c>
      <c r="AT24" vm="10967">
        <f ca="1"/>
        <v>57.39</v>
      </c>
      <c r="AU24" vm="10968">
        <f ca="1"/>
        <v>246.98</v>
      </c>
      <c r="AV24" vm="4851">
        <f ca="1"/>
        <v>455.49</v>
      </c>
      <c r="AW24" vm="8056">
        <f ca="1"/>
        <v>203.89</v>
      </c>
    </row>
    <row r="25" spans="1:49">
      <c r="A25" vm="10969">
        <f ca="1"/>
        <v>44440</v>
      </c>
      <c r="B25" vm="10970">
        <f ca="1"/>
        <v>258.4907</v>
      </c>
      <c r="C25" vm="6743">
        <f ca="1"/>
        <v>141.5</v>
      </c>
      <c r="D25" vm="10971">
        <f ca="1"/>
        <v>133.2655</v>
      </c>
      <c r="E25" vm="10972">
        <f ca="1"/>
        <v>281.92</v>
      </c>
      <c r="F25" vm="10973">
        <f ca="1"/>
        <v>164.25200000000001</v>
      </c>
      <c r="G25" vm="10974">
        <f ca="1"/>
        <v>133.67599999999999</v>
      </c>
      <c r="H25" vm="10975">
        <f ca="1"/>
        <v>339.39</v>
      </c>
      <c r="I25" vm="10976">
        <f ca="1"/>
        <v>272.94</v>
      </c>
      <c r="J25" vm="10977">
        <f ca="1"/>
        <v>20.716000000000001</v>
      </c>
      <c r="K25" vm="3913">
        <f ca="1"/>
        <v>161.5</v>
      </c>
      <c r="L25" vm="10978">
        <f ca="1"/>
        <v>222.75</v>
      </c>
      <c r="M25" vm="10979">
        <f ca="1"/>
        <v>139.80000000000001</v>
      </c>
      <c r="N25" vm="10980">
        <f ca="1"/>
        <v>390.74</v>
      </c>
      <c r="O25" vm="8697">
        <f ca="1"/>
        <v>328.26</v>
      </c>
      <c r="P25" vm="10981">
        <f ca="1"/>
        <v>347.68</v>
      </c>
      <c r="Q25" vm="2048">
        <f ca="1"/>
        <v>43.01</v>
      </c>
      <c r="R25" vm="10982">
        <f ca="1"/>
        <v>52.47</v>
      </c>
      <c r="S25" vm="8927">
        <f ca="1"/>
        <v>169.17</v>
      </c>
      <c r="T25" vm="10983">
        <f ca="1"/>
        <v>610.34</v>
      </c>
      <c r="U25" vm="10984">
        <f ca="1"/>
        <v>53.28</v>
      </c>
      <c r="V25" vm="10985">
        <f ca="1"/>
        <v>54.43</v>
      </c>
      <c r="W25" vm="10986">
        <f ca="1"/>
        <v>58.82</v>
      </c>
      <c r="X25" vm="10987">
        <f ca="1"/>
        <v>101.45</v>
      </c>
      <c r="Y25" vm="10988">
        <f ca="1"/>
        <v>46.459499999999998</v>
      </c>
      <c r="Z25" vm="10989">
        <f ca="1"/>
        <v>20.397400000000001</v>
      </c>
      <c r="AA25" vm="3028">
        <f ca="1"/>
        <v>54.01</v>
      </c>
      <c r="AB25" vm="7928">
        <f ca="1"/>
        <v>145.22999999999999</v>
      </c>
      <c r="AC25" vm="10990">
        <f ca="1"/>
        <v>241.11</v>
      </c>
      <c r="AD25" vm="10991">
        <f ca="1"/>
        <v>110.31</v>
      </c>
      <c r="AE25" vm="10992">
        <f ca="1"/>
        <v>219.94</v>
      </c>
      <c r="AF25" vm="779">
        <f ca="1"/>
        <v>138.93</v>
      </c>
      <c r="AG25" vm="7704">
        <f ca="1"/>
        <v>87.13</v>
      </c>
      <c r="AH25" vm="10993">
        <f ca="1"/>
        <v>271.22000000000003</v>
      </c>
      <c r="AI25" vm="10994">
        <f ca="1"/>
        <v>575.72</v>
      </c>
      <c r="AJ25" vm="9052">
        <f ca="1"/>
        <v>102.9</v>
      </c>
      <c r="AK25" vm="10995">
        <f ca="1"/>
        <v>260.20999999999998</v>
      </c>
      <c r="AL25" vm="10996">
        <f ca="1"/>
        <v>239.84</v>
      </c>
      <c r="AM25" vm="10997">
        <f ca="1"/>
        <v>125.43</v>
      </c>
      <c r="AN25" vm="10998">
        <f ca="1"/>
        <v>70.180000000000007</v>
      </c>
      <c r="AO25" vm="9585">
        <f ca="1"/>
        <v>42.45</v>
      </c>
      <c r="AP25" vm="10999">
        <f ca="1"/>
        <v>163.69</v>
      </c>
      <c r="AQ25" vm="11000">
        <f ca="1"/>
        <v>378.03</v>
      </c>
      <c r="AR25" vm="7819">
        <f ca="1"/>
        <v>97.31</v>
      </c>
      <c r="AS25" vm="2117">
        <f ca="1"/>
        <v>46.41</v>
      </c>
      <c r="AT25" vm="8238">
        <f ca="1"/>
        <v>59.44</v>
      </c>
      <c r="AU25" vm="11001">
        <f ca="1"/>
        <v>228.77</v>
      </c>
      <c r="AV25" vm="11002">
        <f ca="1"/>
        <v>449.35</v>
      </c>
      <c r="AW25" vm="11003">
        <f ca="1"/>
        <v>202.86</v>
      </c>
    </row>
    <row r="26" spans="1:49">
      <c r="A26" vm="11004">
        <f ca="1"/>
        <v>44470</v>
      </c>
      <c r="B26" vm="11005">
        <f ca="1"/>
        <v>371.32960000000003</v>
      </c>
      <c r="C26" vm="11006">
        <f ca="1"/>
        <v>149.80000000000001</v>
      </c>
      <c r="D26" vm="11007">
        <f ca="1"/>
        <v>148.2705</v>
      </c>
      <c r="E26" vm="11008">
        <f ca="1"/>
        <v>331.62</v>
      </c>
      <c r="F26" vm="11009">
        <f ca="1"/>
        <v>168.6215</v>
      </c>
      <c r="G26" vm="11010">
        <f ca="1"/>
        <v>148.04599999999999</v>
      </c>
      <c r="H26" vm="11011">
        <f ca="1"/>
        <v>323.57</v>
      </c>
      <c r="I26" vm="11012">
        <f ca="1"/>
        <v>287.01</v>
      </c>
      <c r="J26" vm="11013">
        <f ca="1"/>
        <v>25.567</v>
      </c>
      <c r="K26" vm="11014">
        <f ca="1"/>
        <v>162.88</v>
      </c>
      <c r="L26" vm="11015">
        <f ca="1"/>
        <v>211.77</v>
      </c>
      <c r="M26" vm="11016">
        <f ca="1"/>
        <v>142.99</v>
      </c>
      <c r="N26" vm="11017">
        <f ca="1"/>
        <v>460.47</v>
      </c>
      <c r="O26" vm="11018">
        <f ca="1"/>
        <v>371.74</v>
      </c>
      <c r="P26" vm="11019">
        <f ca="1"/>
        <v>335.52</v>
      </c>
      <c r="Q26" vm="9258">
        <f ca="1"/>
        <v>43.74</v>
      </c>
      <c r="R26" vm="11020">
        <f ca="1"/>
        <v>56.37</v>
      </c>
      <c r="S26" vm="11021">
        <f ca="1"/>
        <v>169.07</v>
      </c>
      <c r="T26" vm="11022">
        <f ca="1"/>
        <v>690.31</v>
      </c>
      <c r="U26" vm="11023">
        <f ca="1"/>
        <v>49</v>
      </c>
      <c r="V26" vm="11024">
        <f ca="1"/>
        <v>55.97</v>
      </c>
      <c r="W26" vm="2401">
        <f ca="1"/>
        <v>64.47</v>
      </c>
      <c r="X26" vm="10797">
        <f ca="1"/>
        <v>114.49</v>
      </c>
      <c r="Y26" vm="11025">
        <f ca="1"/>
        <v>49.806199999999997</v>
      </c>
      <c r="Z26" vm="11026">
        <f ca="1"/>
        <v>19.075800000000001</v>
      </c>
      <c r="AA26" vm="11027">
        <f ca="1"/>
        <v>52.99</v>
      </c>
      <c r="AB26" vm="8921">
        <f ca="1"/>
        <v>167.29</v>
      </c>
      <c r="AC26" vm="11028">
        <f ca="1"/>
        <v>245.55</v>
      </c>
      <c r="AD26" vm="11029">
        <f ca="1"/>
        <v>106.07</v>
      </c>
      <c r="AE26" vm="11030">
        <f ca="1"/>
        <v>207.03</v>
      </c>
      <c r="AF26" vm="11031">
        <f ca="1"/>
        <v>125.1</v>
      </c>
      <c r="AG26" vm="11032">
        <f ca="1"/>
        <v>95.94</v>
      </c>
      <c r="AH26" vm="11033">
        <f ca="1"/>
        <v>299.69</v>
      </c>
      <c r="AI26" vm="11034">
        <f ca="1"/>
        <v>650.36</v>
      </c>
      <c r="AJ26" vm="11035">
        <f ca="1"/>
        <v>120.23</v>
      </c>
      <c r="AK26" vm="11036">
        <f ca="1"/>
        <v>232.59</v>
      </c>
      <c r="AL26" vm="11037">
        <f ca="1"/>
        <v>254.5</v>
      </c>
      <c r="AM26" vm="11038">
        <f ca="1"/>
        <v>144.96</v>
      </c>
      <c r="AN26" vm="11039">
        <f ca="1"/>
        <v>69.16</v>
      </c>
      <c r="AO26" vm="2878">
        <f ca="1"/>
        <v>47.78</v>
      </c>
      <c r="AP26" vm="1556">
        <f ca="1"/>
        <v>169.89</v>
      </c>
      <c r="AQ26" vm="11040">
        <f ca="1"/>
        <v>413.35</v>
      </c>
      <c r="AR26" vm="11041">
        <f ca="1"/>
        <v>102.78</v>
      </c>
      <c r="AS26" vm="11042">
        <f ca="1"/>
        <v>51.16</v>
      </c>
      <c r="AT26" vm="11043">
        <f ca="1"/>
        <v>60.37</v>
      </c>
      <c r="AU26" vm="11044">
        <f ca="1"/>
        <v>259.62</v>
      </c>
      <c r="AV26" vm="11045">
        <f ca="1"/>
        <v>491.54</v>
      </c>
      <c r="AW26" vm="10856">
        <f ca="1"/>
        <v>233.82</v>
      </c>
    </row>
    <row r="27" spans="1:49">
      <c r="A27" vm="11046">
        <f ca="1"/>
        <v>44501</v>
      </c>
      <c r="B27" vm="11047">
        <f ca="1"/>
        <v>381.5829</v>
      </c>
      <c r="C27" vm="11048">
        <f ca="1"/>
        <v>165.3</v>
      </c>
      <c r="D27" vm="11049">
        <f ca="1"/>
        <v>142.452</v>
      </c>
      <c r="E27" vm="8689">
        <f ca="1"/>
        <v>330.59</v>
      </c>
      <c r="F27" vm="11050">
        <f ca="1"/>
        <v>175.3535</v>
      </c>
      <c r="G27" vm="11051">
        <f ca="1"/>
        <v>141.89750000000001</v>
      </c>
      <c r="H27" vm="11052">
        <f ca="1"/>
        <v>324.45999999999998</v>
      </c>
      <c r="I27" vm="5153">
        <f ca="1"/>
        <v>276.69</v>
      </c>
      <c r="J27" vm="11053">
        <f ca="1"/>
        <v>32.676000000000002</v>
      </c>
      <c r="K27" vm="2699">
        <f ca="1"/>
        <v>155.93</v>
      </c>
      <c r="L27" vm="11054">
        <f ca="1"/>
        <v>193.77</v>
      </c>
      <c r="M27" vm="11055">
        <f ca="1"/>
        <v>144.58000000000001</v>
      </c>
      <c r="N27" vm="11056">
        <f ca="1"/>
        <v>444.22</v>
      </c>
      <c r="O27" vm="11057">
        <f ca="1"/>
        <v>400.61</v>
      </c>
      <c r="P27" vm="11058">
        <f ca="1"/>
        <v>314.92</v>
      </c>
      <c r="Q27" vm="3037">
        <f ca="1"/>
        <v>53.73</v>
      </c>
      <c r="R27" vm="10244">
        <f ca="1"/>
        <v>52.45</v>
      </c>
      <c r="S27" vm="11059">
        <f ca="1"/>
        <v>144.9</v>
      </c>
      <c r="T27" vm="11060">
        <f ca="1"/>
        <v>641.9</v>
      </c>
      <c r="U27" vm="11061">
        <f ca="1"/>
        <v>49.2</v>
      </c>
      <c r="V27" vm="10641">
        <f ca="1"/>
        <v>54.84</v>
      </c>
      <c r="W27" vm="9954">
        <f ca="1"/>
        <v>59.84</v>
      </c>
      <c r="X27" vm="9008">
        <f ca="1"/>
        <v>112.87</v>
      </c>
      <c r="Y27" vm="11062">
        <f ca="1"/>
        <v>46.876199999999997</v>
      </c>
      <c r="Z27" vm="11063">
        <f ca="1"/>
        <v>17.2408</v>
      </c>
      <c r="AA27" vm="11064">
        <f ca="1"/>
        <v>50.27</v>
      </c>
      <c r="AB27" vm="1018">
        <f ca="1"/>
        <v>169.24</v>
      </c>
      <c r="AC27" vm="11065">
        <f ca="1"/>
        <v>244.6</v>
      </c>
      <c r="AD27" vm="11066">
        <f ca="1"/>
        <v>109.64</v>
      </c>
      <c r="AE27" vm="1367">
        <f ca="1"/>
        <v>197.85</v>
      </c>
      <c r="AF27" vm="11067">
        <f ca="1"/>
        <v>117.1</v>
      </c>
      <c r="AG27" vm="11068">
        <f ca="1"/>
        <v>90.74</v>
      </c>
      <c r="AH27" vm="11069">
        <f ca="1"/>
        <v>284.95999999999998</v>
      </c>
      <c r="AI27" vm="11070">
        <f ca="1"/>
        <v>669.85</v>
      </c>
      <c r="AJ27" vm="973">
        <f ca="1"/>
        <v>158.37</v>
      </c>
      <c r="AK27" vm="1416">
        <f ca="1"/>
        <v>184.89</v>
      </c>
      <c r="AL27" vm="11071">
        <f ca="1"/>
        <v>208.33</v>
      </c>
      <c r="AM27" vm="2769">
        <f ca="1"/>
        <v>150.75</v>
      </c>
      <c r="AN27" vm="8285">
        <f ca="1"/>
        <v>63.7</v>
      </c>
      <c r="AO27" vm="9281">
        <f ca="1"/>
        <v>44.47</v>
      </c>
      <c r="AP27" vm="11072">
        <f ca="1"/>
        <v>158.83000000000001</v>
      </c>
      <c r="AQ27" vm="11073">
        <f ca="1"/>
        <v>380.99</v>
      </c>
      <c r="AR27" vm="11074">
        <f ca="1"/>
        <v>94.82</v>
      </c>
      <c r="AS27" vm="2878">
        <f ca="1"/>
        <v>47.78</v>
      </c>
      <c r="AT27" vm="11075">
        <f ca="1"/>
        <v>55.34</v>
      </c>
      <c r="AU27" vm="11076">
        <f ca="1"/>
        <v>243.84</v>
      </c>
      <c r="AV27" vm="11077">
        <f ca="1"/>
        <v>539.38</v>
      </c>
      <c r="AW27" vm="11078">
        <f ca="1"/>
        <v>244.59</v>
      </c>
    </row>
    <row r="28" spans="1:49">
      <c r="A28" vm="11079">
        <f ca="1"/>
        <v>44531</v>
      </c>
      <c r="B28" vm="11080">
        <f ca="1"/>
        <v>352.25650000000002</v>
      </c>
      <c r="C28" vm="11081">
        <f ca="1"/>
        <v>177.57</v>
      </c>
      <c r="D28" vm="11082">
        <f ca="1"/>
        <v>144.67949999999999</v>
      </c>
      <c r="E28" vm="11083">
        <f ca="1"/>
        <v>336.32</v>
      </c>
      <c r="F28" vm="11084">
        <f ca="1"/>
        <v>166.71700000000001</v>
      </c>
      <c r="G28" vm="11085">
        <f ca="1"/>
        <v>144.852</v>
      </c>
      <c r="H28" vm="11086">
        <f ca="1"/>
        <v>336.35</v>
      </c>
      <c r="I28" vm="11087">
        <f ca="1"/>
        <v>299</v>
      </c>
      <c r="J28" vm="11088">
        <f ca="1"/>
        <v>29.411000000000001</v>
      </c>
      <c r="K28" vm="11089">
        <f ca="1"/>
        <v>171.07</v>
      </c>
      <c r="L28" vm="11090">
        <f ca="1"/>
        <v>216.71</v>
      </c>
      <c r="M28" vm="11091">
        <f ca="1"/>
        <v>163.58000000000001</v>
      </c>
      <c r="N28" vm="11092">
        <f ca="1"/>
        <v>502.14</v>
      </c>
      <c r="O28" vm="11093">
        <f ca="1"/>
        <v>415.01</v>
      </c>
      <c r="P28" vm="11094">
        <f ca="1"/>
        <v>359.32</v>
      </c>
      <c r="Q28" vm="8253">
        <f ca="1"/>
        <v>59.05</v>
      </c>
      <c r="R28" vm="3007">
        <f ca="1"/>
        <v>59.21</v>
      </c>
      <c r="S28" vm="11095">
        <f ca="1"/>
        <v>154.88999999999999</v>
      </c>
      <c r="T28" vm="11096">
        <f ca="1"/>
        <v>602.44000000000005</v>
      </c>
      <c r="U28" vm="11097">
        <f ca="1"/>
        <v>51.5</v>
      </c>
      <c r="V28" vm="2538">
        <f ca="1"/>
        <v>63.37</v>
      </c>
      <c r="W28" vm="11098">
        <f ca="1"/>
        <v>61.19</v>
      </c>
      <c r="X28" vm="9025">
        <f ca="1"/>
        <v>117.35</v>
      </c>
      <c r="Y28" vm="11099">
        <f ca="1"/>
        <v>48.229500000000002</v>
      </c>
      <c r="Z28" vm="11100">
        <f ca="1"/>
        <v>18.577400000000001</v>
      </c>
      <c r="AA28" vm="11101">
        <f ca="1"/>
        <v>51.96</v>
      </c>
      <c r="AB28" vm="1187">
        <f ca="1"/>
        <v>166.67</v>
      </c>
      <c r="AC28" vm="10960">
        <f ca="1"/>
        <v>268.07</v>
      </c>
      <c r="AD28" vm="11102">
        <f ca="1"/>
        <v>116.97</v>
      </c>
      <c r="AE28" vm="11103">
        <f ca="1"/>
        <v>201.32</v>
      </c>
      <c r="AF28" vm="5946">
        <f ca="1"/>
        <v>133.66</v>
      </c>
      <c r="AG28" vm="11104">
        <f ca="1"/>
        <v>87.21</v>
      </c>
      <c r="AH28" vm="11105">
        <f ca="1"/>
        <v>254.13</v>
      </c>
      <c r="AI28" vm="11106">
        <f ca="1"/>
        <v>567.05999999999995</v>
      </c>
      <c r="AJ28" vm="11107">
        <f ca="1"/>
        <v>143.9</v>
      </c>
      <c r="AK28" vm="11108">
        <f ca="1"/>
        <v>188.58</v>
      </c>
      <c r="AL28" vm="11109">
        <f ca="1"/>
        <v>161.51</v>
      </c>
      <c r="AM28" vm="11110">
        <f ca="1"/>
        <v>168.36</v>
      </c>
      <c r="AN28" vm="8218">
        <f ca="1"/>
        <v>60.39</v>
      </c>
      <c r="AO28" vm="9267">
        <f ca="1"/>
        <v>44.49</v>
      </c>
      <c r="AP28" vm="4286">
        <f ca="1"/>
        <v>158.35</v>
      </c>
      <c r="AQ28" vm="11111">
        <f ca="1"/>
        <v>382.55</v>
      </c>
      <c r="AR28" vm="7844">
        <f ca="1"/>
        <v>98.16</v>
      </c>
      <c r="AS28" vm="11112">
        <f ca="1"/>
        <v>47.98</v>
      </c>
      <c r="AT28" vm="3041">
        <f ca="1"/>
        <v>56.17</v>
      </c>
      <c r="AU28" vm="11113">
        <f ca="1"/>
        <v>231.44</v>
      </c>
      <c r="AV28" vm="11114">
        <f ca="1"/>
        <v>567.70000000000005</v>
      </c>
      <c r="AW28" vm="11115">
        <f ca="1"/>
        <v>258.48</v>
      </c>
    </row>
    <row r="29" spans="1:49">
      <c r="A29" vm="11116">
        <f ca="1"/>
        <v>44562</v>
      </c>
      <c r="B29" vm="11117">
        <f ca="1"/>
        <v>312.23689999999999</v>
      </c>
      <c r="C29" vm="11118">
        <f ca="1"/>
        <v>174.78</v>
      </c>
      <c r="D29" vm="11119">
        <f ca="1"/>
        <v>135.6985</v>
      </c>
      <c r="E29" vm="11120">
        <f ca="1"/>
        <v>310.98</v>
      </c>
      <c r="F29" vm="11121">
        <f ca="1"/>
        <v>149.5735</v>
      </c>
      <c r="G29" vm="11122">
        <f ca="1"/>
        <v>135.30350000000001</v>
      </c>
      <c r="H29" vm="11123">
        <f ca="1"/>
        <v>313.26</v>
      </c>
      <c r="I29" vm="11124">
        <f ca="1"/>
        <v>313.02</v>
      </c>
      <c r="J29" vm="11125">
        <f ca="1"/>
        <v>24.486000000000001</v>
      </c>
      <c r="K29" vm="11126">
        <f ca="1"/>
        <v>172.29</v>
      </c>
      <c r="L29" vm="11127">
        <f ca="1"/>
        <v>226.17</v>
      </c>
      <c r="M29" vm="4157">
        <f ca="1"/>
        <v>160.44999999999999</v>
      </c>
      <c r="N29" vm="11128">
        <f ca="1"/>
        <v>472.57</v>
      </c>
      <c r="O29" vm="11129">
        <f ca="1"/>
        <v>366.98</v>
      </c>
      <c r="P29" vm="11130">
        <f ca="1"/>
        <v>386.38</v>
      </c>
      <c r="Q29" vm="11131">
        <f ca="1"/>
        <v>52.69</v>
      </c>
      <c r="R29" vm="11132">
        <f ca="1"/>
        <v>61.01</v>
      </c>
      <c r="S29" vm="11133">
        <f ca="1"/>
        <v>142.97</v>
      </c>
      <c r="T29" vm="11134">
        <f ca="1"/>
        <v>427.14</v>
      </c>
      <c r="U29" vm="11135">
        <f ca="1"/>
        <v>48.82</v>
      </c>
      <c r="V29" vm="11136">
        <f ca="1"/>
        <v>55.67</v>
      </c>
      <c r="W29" vm="10211">
        <f ca="1"/>
        <v>75.959999999999994</v>
      </c>
      <c r="X29" vm="11137">
        <f ca="1"/>
        <v>131.33000000000001</v>
      </c>
      <c r="Y29" vm="11138">
        <f ca="1"/>
        <v>46.602899999999998</v>
      </c>
      <c r="Z29" vm="11139">
        <f ca="1"/>
        <v>19.257100000000001</v>
      </c>
      <c r="AA29" vm="11140">
        <f ca="1"/>
        <v>53.23</v>
      </c>
      <c r="AB29" vm="11141">
        <f ca="1"/>
        <v>148.07</v>
      </c>
      <c r="AC29" vm="11142">
        <f ca="1"/>
        <v>259.45</v>
      </c>
      <c r="AD29" vm="11143">
        <f ca="1"/>
        <v>98.32</v>
      </c>
      <c r="AE29" vm="11144">
        <f ca="1"/>
        <v>200.24</v>
      </c>
      <c r="AF29" vm="11145">
        <f ca="1"/>
        <v>133.57</v>
      </c>
      <c r="AG29" vm="6974">
        <f ca="1"/>
        <v>81.16</v>
      </c>
      <c r="AH29" vm="11146">
        <f ca="1"/>
        <v>232.63</v>
      </c>
      <c r="AI29" vm="11147">
        <f ca="1"/>
        <v>534.29999999999995</v>
      </c>
      <c r="AJ29" vm="6558">
        <f ca="1"/>
        <v>114.25</v>
      </c>
      <c r="AK29" vm="11148">
        <f ca="1"/>
        <v>171.94</v>
      </c>
      <c r="AL29" vm="11149">
        <f ca="1"/>
        <v>122.29</v>
      </c>
      <c r="AM29" vm="7968">
        <f ca="1"/>
        <v>156.82</v>
      </c>
      <c r="AN29" vm="11150">
        <f ca="1"/>
        <v>65.12</v>
      </c>
      <c r="AO29" vm="11151">
        <f ca="1"/>
        <v>46.14</v>
      </c>
      <c r="AP29" vm="766">
        <f ca="1"/>
        <v>148.6</v>
      </c>
      <c r="AQ29" vm="11152">
        <f ca="1"/>
        <v>354.68</v>
      </c>
      <c r="AR29" vm="11153">
        <f ca="1"/>
        <v>102.54</v>
      </c>
      <c r="AS29" vm="10384">
        <f ca="1"/>
        <v>53.8</v>
      </c>
      <c r="AT29" vm="11154">
        <f ca="1"/>
        <v>58.19</v>
      </c>
      <c r="AU29" vm="4538">
        <f ca="1"/>
        <v>220.43</v>
      </c>
      <c r="AV29" vm="11155">
        <f ca="1"/>
        <v>505.13</v>
      </c>
      <c r="AW29" vm="11156">
        <f ca="1"/>
        <v>237.35</v>
      </c>
    </row>
    <row r="30" spans="1:49">
      <c r="A30" vm="11157">
        <f ca="1"/>
        <v>44593</v>
      </c>
      <c r="B30" vm="11158">
        <f ca="1"/>
        <v>290.1404</v>
      </c>
      <c r="C30" vm="4277">
        <f ca="1"/>
        <v>165.12</v>
      </c>
      <c r="D30" vm="11159">
        <f ca="1"/>
        <v>134.89099999999999</v>
      </c>
      <c r="E30" vm="11160">
        <f ca="1"/>
        <v>298.79000000000002</v>
      </c>
      <c r="F30" vm="11161">
        <f ca="1"/>
        <v>153.56299999999999</v>
      </c>
      <c r="G30" vm="11162">
        <f ca="1"/>
        <v>135.05699999999999</v>
      </c>
      <c r="H30" vm="11163">
        <f ca="1"/>
        <v>211.03</v>
      </c>
      <c r="I30" vm="11164">
        <f ca="1"/>
        <v>321.45</v>
      </c>
      <c r="J30" vm="11165">
        <f ca="1"/>
        <v>24.385000000000002</v>
      </c>
      <c r="K30" vm="11166">
        <f ca="1"/>
        <v>164.57</v>
      </c>
      <c r="L30" vm="11167">
        <f ca="1"/>
        <v>216.12</v>
      </c>
      <c r="M30" vm="6785">
        <f ca="1"/>
        <v>155.88999999999999</v>
      </c>
      <c r="N30" vm="11168">
        <f ca="1"/>
        <v>475.87</v>
      </c>
      <c r="O30" vm="11169">
        <f ca="1"/>
        <v>315.83</v>
      </c>
      <c r="P30" vm="11170">
        <f ca="1"/>
        <v>360.82</v>
      </c>
      <c r="Q30" vm="2891">
        <f ca="1"/>
        <v>46.94</v>
      </c>
      <c r="R30" vm="11171">
        <f ca="1"/>
        <v>62.24</v>
      </c>
      <c r="S30" vm="11172">
        <f ca="1"/>
        <v>148.46</v>
      </c>
      <c r="T30" vm="11173">
        <f ca="1"/>
        <v>394.52</v>
      </c>
      <c r="U30" vm="11174">
        <f ca="1"/>
        <v>47.7</v>
      </c>
      <c r="V30" vm="11175">
        <f ca="1"/>
        <v>55.77</v>
      </c>
      <c r="W30" vm="2427">
        <f ca="1"/>
        <v>78.42</v>
      </c>
      <c r="X30" vm="11176">
        <f ca="1"/>
        <v>144</v>
      </c>
      <c r="Y30" vm="11177">
        <f ca="1"/>
        <v>45.052900000000001</v>
      </c>
      <c r="Z30" vm="11178">
        <f ca="1"/>
        <v>17.8902</v>
      </c>
      <c r="AA30" vm="3038">
        <f ca="1"/>
        <v>53.67</v>
      </c>
      <c r="AB30" vm="11179">
        <f ca="1"/>
        <v>136.55000000000001</v>
      </c>
      <c r="AC30" vm="11180">
        <f ca="1"/>
        <v>244.77</v>
      </c>
      <c r="AD30" vm="11181">
        <f ca="1"/>
        <v>91.79</v>
      </c>
      <c r="AE30" vm="11182">
        <f ca="1"/>
        <v>205.34</v>
      </c>
      <c r="AF30" vm="11183">
        <f ca="1"/>
        <v>122.51</v>
      </c>
      <c r="AG30" vm="11184">
        <f ca="1"/>
        <v>75.97</v>
      </c>
      <c r="AH30" vm="11185">
        <f ca="1"/>
        <v>210.53</v>
      </c>
      <c r="AI30" vm="11186">
        <f ca="1"/>
        <v>467.68</v>
      </c>
      <c r="AJ30" vm="11187">
        <f ca="1"/>
        <v>123.34</v>
      </c>
      <c r="AK30" vm="11188">
        <f ca="1"/>
        <v>111.93</v>
      </c>
      <c r="AL30" vm="11189">
        <f ca="1"/>
        <v>127.5</v>
      </c>
      <c r="AM30" vm="10381">
        <f ca="1"/>
        <v>145.85</v>
      </c>
      <c r="AN30" vm="10160">
        <f ca="1"/>
        <v>59.23</v>
      </c>
      <c r="AO30" vm="10389">
        <f ca="1"/>
        <v>44.2</v>
      </c>
      <c r="AP30" vm="801">
        <f ca="1"/>
        <v>141.80000000000001</v>
      </c>
      <c r="AQ30" vm="11190">
        <f ca="1"/>
        <v>341.29</v>
      </c>
      <c r="AR30" vm="11068">
        <f ca="1"/>
        <v>90.74</v>
      </c>
      <c r="AS30" vm="10101">
        <f ca="1"/>
        <v>53.37</v>
      </c>
      <c r="AT30" vm="10158">
        <f ca="1"/>
        <v>56.54</v>
      </c>
      <c r="AU30" vm="11191">
        <f ca="1"/>
        <v>199.77</v>
      </c>
      <c r="AV30" vm="5315">
        <f ca="1"/>
        <v>519.25</v>
      </c>
      <c r="AW30" vm="11192">
        <f ca="1"/>
        <v>221.06</v>
      </c>
    </row>
    <row r="31" spans="1:49">
      <c r="A31" vm="11193">
        <f ca="1"/>
        <v>44621</v>
      </c>
      <c r="B31" vm="11194">
        <f ca="1"/>
        <v>359.19639999999998</v>
      </c>
      <c r="C31" vm="11195">
        <f ca="1"/>
        <v>174.61</v>
      </c>
      <c r="D31" vm="11196">
        <f ca="1"/>
        <v>139.64949999999999</v>
      </c>
      <c r="E31" vm="11197">
        <f ca="1"/>
        <v>308.31</v>
      </c>
      <c r="F31" vm="11198">
        <f ca="1"/>
        <v>162.9975</v>
      </c>
      <c r="G31" vm="11199">
        <f ca="1"/>
        <v>139.0675</v>
      </c>
      <c r="H31" vm="11200">
        <f ca="1"/>
        <v>222.36</v>
      </c>
      <c r="I31" vm="11201">
        <f ca="1"/>
        <v>352.91</v>
      </c>
      <c r="J31" vm="11202">
        <f ca="1"/>
        <v>27.286000000000001</v>
      </c>
      <c r="K31" vm="1327">
        <f ca="1"/>
        <v>177.23</v>
      </c>
      <c r="L31" vm="11203">
        <f ca="1"/>
        <v>221.77</v>
      </c>
      <c r="M31" vm="11204">
        <f ca="1"/>
        <v>152.80000000000001</v>
      </c>
      <c r="N31" vm="11205">
        <f ca="1"/>
        <v>509.97</v>
      </c>
      <c r="O31" vm="11206">
        <f ca="1"/>
        <v>299.33</v>
      </c>
      <c r="P31" vm="11207">
        <f ca="1"/>
        <v>357.38</v>
      </c>
      <c r="Q31" vm="10099">
        <f ca="1"/>
        <v>51.77</v>
      </c>
      <c r="R31" vm="3102">
        <f ca="1"/>
        <v>62</v>
      </c>
      <c r="S31" vm="11208">
        <f ca="1"/>
        <v>137.16</v>
      </c>
      <c r="T31" vm="11209">
        <f ca="1"/>
        <v>374.59</v>
      </c>
      <c r="U31" vm="9295">
        <f ca="1"/>
        <v>49.56</v>
      </c>
      <c r="V31" vm="11210">
        <f ca="1"/>
        <v>55.76</v>
      </c>
      <c r="W31" vm="11211">
        <f ca="1"/>
        <v>82.59</v>
      </c>
      <c r="X31" vm="4278">
        <f ca="1"/>
        <v>162.83000000000001</v>
      </c>
      <c r="Y31" vm="11212">
        <f ca="1"/>
        <v>49.639499999999998</v>
      </c>
      <c r="Z31" vm="11213">
        <f ca="1"/>
        <v>17.844899999999999</v>
      </c>
      <c r="AA31" vm="11214">
        <f ca="1"/>
        <v>50.94</v>
      </c>
      <c r="AB31" vm="11215">
        <f ca="1"/>
        <v>134.56</v>
      </c>
      <c r="AC31" vm="11216">
        <f ca="1"/>
        <v>247.28</v>
      </c>
      <c r="AD31" vm="11217">
        <f ca="1"/>
        <v>90.97</v>
      </c>
      <c r="AE31" vm="4034">
        <f ca="1"/>
        <v>191.5</v>
      </c>
      <c r="AF31" vm="11218">
        <f ca="1"/>
        <v>130.02000000000001</v>
      </c>
      <c r="AG31" vm="11219">
        <f ca="1"/>
        <v>82.73</v>
      </c>
      <c r="AH31" vm="11220">
        <f ca="1"/>
        <v>212.32</v>
      </c>
      <c r="AI31" vm="11221">
        <f ca="1"/>
        <v>455.62</v>
      </c>
      <c r="AJ31" vm="11222">
        <f ca="1"/>
        <v>109.34</v>
      </c>
      <c r="AK31" vm="9139">
        <f ca="1"/>
        <v>115.65</v>
      </c>
      <c r="AL31" vm="6775">
        <f ca="1"/>
        <v>135.6</v>
      </c>
      <c r="AM31" vm="11223">
        <f ca="1"/>
        <v>161.47999999999999</v>
      </c>
      <c r="AN31" vm="11224">
        <f ca="1"/>
        <v>53.4</v>
      </c>
      <c r="AO31" vm="9189">
        <f ca="1"/>
        <v>41.22</v>
      </c>
      <c r="AP31" vm="709">
        <f ca="1"/>
        <v>136.32</v>
      </c>
      <c r="AQ31" vm="11225">
        <f ca="1"/>
        <v>330.1</v>
      </c>
      <c r="AR31" vm="11226">
        <f ca="1"/>
        <v>87.4</v>
      </c>
      <c r="AS31" vm="11227">
        <f ca="1"/>
        <v>48.46</v>
      </c>
      <c r="AT31" vm="11228">
        <f ca="1"/>
        <v>53.15</v>
      </c>
      <c r="AU31" vm="11229">
        <f ca="1"/>
        <v>212.22</v>
      </c>
      <c r="AV31" vm="11230">
        <f ca="1"/>
        <v>575.85</v>
      </c>
      <c r="AW31" vm="11231">
        <f ca="1"/>
        <v>202.19</v>
      </c>
    </row>
    <row r="32" spans="1:49">
      <c r="A32" vm="11232">
        <f ca="1"/>
        <v>44652</v>
      </c>
      <c r="B32" vm="11233">
        <f ca="1"/>
        <v>290.25040000000001</v>
      </c>
      <c r="C32" vm="11234">
        <f ca="1"/>
        <v>157.65</v>
      </c>
      <c r="D32" vm="11235">
        <f ca="1"/>
        <v>114.9665</v>
      </c>
      <c r="E32" vm="7508">
        <f ca="1"/>
        <v>277.52</v>
      </c>
      <c r="F32" vm="11236">
        <f ca="1"/>
        <v>124.28149999999999</v>
      </c>
      <c r="G32" vm="11237">
        <f ca="1"/>
        <v>114.1095</v>
      </c>
      <c r="H32" vm="11238">
        <f ca="1"/>
        <v>200.47</v>
      </c>
      <c r="I32" vm="11239">
        <f ca="1"/>
        <v>322.83</v>
      </c>
      <c r="J32" vm="11240">
        <f ca="1"/>
        <v>18.547000000000001</v>
      </c>
      <c r="K32" vm="11241">
        <f ca="1"/>
        <v>180.46</v>
      </c>
      <c r="L32" vm="11242">
        <f ca="1"/>
        <v>213.13</v>
      </c>
      <c r="M32" vm="8859">
        <f ca="1"/>
        <v>160.55000000000001</v>
      </c>
      <c r="N32" vm="11243">
        <f ca="1"/>
        <v>508.55</v>
      </c>
      <c r="O32" vm="11244">
        <f ca="1"/>
        <v>300.39999999999998</v>
      </c>
      <c r="P32" vm="11245">
        <f ca="1"/>
        <v>363.38</v>
      </c>
      <c r="Q32" vm="11246">
        <f ca="1"/>
        <v>49.07</v>
      </c>
      <c r="R32" vm="11247">
        <f ca="1"/>
        <v>64.61</v>
      </c>
      <c r="S32" vm="7316">
        <f ca="1"/>
        <v>111.63</v>
      </c>
      <c r="T32" vm="11248">
        <f ca="1"/>
        <v>190.36</v>
      </c>
      <c r="U32" vm="9201">
        <f ca="1"/>
        <v>43.59</v>
      </c>
      <c r="V32" vm="11249">
        <f ca="1"/>
        <v>48.98</v>
      </c>
      <c r="W32" vm="11250">
        <f ca="1"/>
        <v>85.25</v>
      </c>
      <c r="X32" vm="8200">
        <f ca="1"/>
        <v>156.66999999999999</v>
      </c>
      <c r="Y32" vm="11251">
        <f ca="1"/>
        <v>50.996200000000002</v>
      </c>
      <c r="Z32" vm="1816">
        <f ca="1"/>
        <v>18.86</v>
      </c>
      <c r="AA32" vm="11252">
        <f ca="1"/>
        <v>46.3</v>
      </c>
      <c r="AB32" vm="7345">
        <f ca="1"/>
        <v>124.7</v>
      </c>
      <c r="AC32" vm="11253">
        <f ca="1"/>
        <v>249.16</v>
      </c>
      <c r="AD32" vm="6341">
        <f ca="1"/>
        <v>74.64</v>
      </c>
      <c r="AE32" vm="1251">
        <f ca="1"/>
        <v>148.84</v>
      </c>
      <c r="AF32" vm="11254">
        <f ca="1"/>
        <v>132.21</v>
      </c>
      <c r="AG32" vm="6330">
        <f ca="1"/>
        <v>73.400000000000006</v>
      </c>
      <c r="AH32" vm="11255">
        <f ca="1"/>
        <v>175.94</v>
      </c>
      <c r="AI32" vm="11256">
        <f ca="1"/>
        <v>395.95</v>
      </c>
      <c r="AJ32" vm="11257">
        <f ca="1"/>
        <v>85.52</v>
      </c>
      <c r="AK32" vm="11258">
        <f ca="1"/>
        <v>87.93</v>
      </c>
      <c r="AL32" vm="6251">
        <f ca="1"/>
        <v>99.54</v>
      </c>
      <c r="AM32" vm="4269">
        <f ca="1"/>
        <v>160.29</v>
      </c>
      <c r="AN32" vm="11259">
        <f ca="1"/>
        <v>48.21</v>
      </c>
      <c r="AO32" vm="3764">
        <f ca="1"/>
        <v>35.68</v>
      </c>
      <c r="AP32" vm="9018">
        <f ca="1"/>
        <v>119.36</v>
      </c>
      <c r="AQ32" vm="11260">
        <f ca="1"/>
        <v>305.49</v>
      </c>
      <c r="AR32" vm="11261">
        <f ca="1"/>
        <v>80.59</v>
      </c>
      <c r="AS32" vm="9155">
        <f ca="1"/>
        <v>43.63</v>
      </c>
      <c r="AT32" vm="10351">
        <f ca="1"/>
        <v>48.56</v>
      </c>
      <c r="AU32" vm="11262">
        <f ca="1"/>
        <v>228.65</v>
      </c>
      <c r="AV32" vm="11263">
        <f ca="1"/>
        <v>531.72</v>
      </c>
      <c r="AW32" vm="11264">
        <f ca="1"/>
        <v>197.73</v>
      </c>
    </row>
    <row r="33" spans="1:49">
      <c r="A33" vm="11265">
        <f ca="1"/>
        <v>44682</v>
      </c>
      <c r="B33" vm="11266">
        <f ca="1"/>
        <v>252.7508</v>
      </c>
      <c r="C33" vm="1251">
        <f ca="1"/>
        <v>148.84</v>
      </c>
      <c r="D33" vm="11267">
        <f ca="1"/>
        <v>114.039</v>
      </c>
      <c r="E33" vm="11268">
        <f ca="1"/>
        <v>271.87</v>
      </c>
      <c r="F33" vm="11269">
        <f ca="1"/>
        <v>120.20950000000001</v>
      </c>
      <c r="G33" vm="11270">
        <f ca="1"/>
        <v>113.762</v>
      </c>
      <c r="H33" vm="11271">
        <f ca="1"/>
        <v>193.64</v>
      </c>
      <c r="I33" vm="11272">
        <f ca="1"/>
        <v>315.98</v>
      </c>
      <c r="J33" vm="11273">
        <f ca="1"/>
        <v>18.672000000000001</v>
      </c>
      <c r="K33" vm="10621">
        <f ca="1"/>
        <v>179.53</v>
      </c>
      <c r="L33" vm="11274">
        <f ca="1"/>
        <v>212.17</v>
      </c>
      <c r="M33" vm="11275">
        <f ca="1"/>
        <v>147.88</v>
      </c>
      <c r="N33" vm="11276">
        <f ca="1"/>
        <v>496.78</v>
      </c>
      <c r="O33" vm="11277">
        <f ca="1"/>
        <v>302.75</v>
      </c>
      <c r="P33" vm="8657">
        <f ca="1"/>
        <v>357.87</v>
      </c>
      <c r="Q33" vm="3024">
        <f ca="1"/>
        <v>53.04</v>
      </c>
      <c r="R33" vm="2551">
        <f ca="1"/>
        <v>63.38</v>
      </c>
      <c r="S33" vm="11278">
        <f ca="1"/>
        <v>110.44</v>
      </c>
      <c r="T33" vm="11279">
        <f ca="1"/>
        <v>197.44</v>
      </c>
      <c r="U33" vm="11280">
        <f ca="1"/>
        <v>44.42</v>
      </c>
      <c r="V33" vm="9644">
        <f ca="1"/>
        <v>45.05</v>
      </c>
      <c r="W33" vm="6307">
        <f ca="1"/>
        <v>96</v>
      </c>
      <c r="X33" vm="11281">
        <f ca="1"/>
        <v>174.66</v>
      </c>
      <c r="Y33" vm="11282">
        <f ca="1"/>
        <v>42.876199999999997</v>
      </c>
      <c r="Z33" vm="11283">
        <f ca="1"/>
        <v>21.29</v>
      </c>
      <c r="AA33" vm="11284">
        <f ca="1"/>
        <v>51.29</v>
      </c>
      <c r="AB33" vm="3623">
        <f ca="1"/>
        <v>118.85</v>
      </c>
      <c r="AC33" vm="11285">
        <f ca="1"/>
        <v>252.21</v>
      </c>
      <c r="AD33" vm="6342">
        <f ca="1"/>
        <v>78.5</v>
      </c>
      <c r="AE33" vm="1084">
        <f ca="1"/>
        <v>131.4</v>
      </c>
      <c r="AF33" vm="777">
        <f ca="1"/>
        <v>138.84</v>
      </c>
      <c r="AG33" vm="11286">
        <f ca="1"/>
        <v>71.92</v>
      </c>
      <c r="AH33" vm="671">
        <f ca="1"/>
        <v>160.24</v>
      </c>
      <c r="AI33" vm="11287">
        <f ca="1"/>
        <v>416.48</v>
      </c>
      <c r="AJ33" vm="10507">
        <f ca="1"/>
        <v>101.86</v>
      </c>
      <c r="AK33" vm="11288">
        <f ca="1"/>
        <v>85.21</v>
      </c>
      <c r="AL33" vm="11289">
        <f ca="1"/>
        <v>87.51</v>
      </c>
      <c r="AM33" vm="11290">
        <f ca="1"/>
        <v>127.48</v>
      </c>
      <c r="AN33" vm="11291">
        <f ca="1"/>
        <v>53.41</v>
      </c>
      <c r="AO33" vm="3760">
        <f ca="1"/>
        <v>37.200000000000003</v>
      </c>
      <c r="AP33" vm="11292">
        <f ca="1"/>
        <v>132.22999999999999</v>
      </c>
      <c r="AQ33" vm="11293">
        <f ca="1"/>
        <v>326.85000000000002</v>
      </c>
      <c r="AR33" vm="5777">
        <f ca="1"/>
        <v>86.14</v>
      </c>
      <c r="AS33" vm="2904">
        <f ca="1"/>
        <v>45.77</v>
      </c>
      <c r="AT33" vm="11294">
        <f ca="1"/>
        <v>53.07</v>
      </c>
      <c r="AU33" vm="11295">
        <f ca="1"/>
        <v>161.88</v>
      </c>
      <c r="AV33" vm="11296">
        <f ca="1"/>
        <v>466.22</v>
      </c>
      <c r="AW33" vm="11297">
        <f ca="1"/>
        <v>195.3</v>
      </c>
    </row>
    <row r="34" spans="1:49">
      <c r="A34" vm="11298">
        <f ca="1"/>
        <v>44713</v>
      </c>
      <c r="B34" vm="11299">
        <f ca="1"/>
        <v>224.47110000000001</v>
      </c>
      <c r="C34" vm="11300">
        <f ca="1"/>
        <v>136.72</v>
      </c>
      <c r="D34" vm="11301">
        <f ca="1"/>
        <v>109.3725</v>
      </c>
      <c r="E34" vm="11302">
        <f ca="1"/>
        <v>256.83</v>
      </c>
      <c r="F34" vm="6582">
        <f ca="1"/>
        <v>106.21</v>
      </c>
      <c r="G34" vm="11303">
        <f ca="1"/>
        <v>108.96299999999999</v>
      </c>
      <c r="H34" vm="4239">
        <f ca="1"/>
        <v>161.25</v>
      </c>
      <c r="I34" vm="11304">
        <f ca="1"/>
        <v>273.02</v>
      </c>
      <c r="J34" vm="11305">
        <f ca="1"/>
        <v>15.159000000000001</v>
      </c>
      <c r="K34" vm="11306">
        <f ca="1"/>
        <v>177.51</v>
      </c>
      <c r="L34" vm="1582">
        <f ca="1"/>
        <v>196.89</v>
      </c>
      <c r="M34" vm="11307">
        <f ca="1"/>
        <v>143.79</v>
      </c>
      <c r="N34" vm="11308">
        <f ca="1"/>
        <v>513.63</v>
      </c>
      <c r="O34" vm="11309">
        <f ca="1"/>
        <v>274.27</v>
      </c>
      <c r="P34" vm="11310">
        <f ca="1"/>
        <v>315.48</v>
      </c>
      <c r="Q34" vm="2967">
        <f ca="1"/>
        <v>52.43</v>
      </c>
      <c r="R34" vm="8266">
        <f ca="1"/>
        <v>62.91</v>
      </c>
      <c r="S34" vm="6302">
        <f ca="1"/>
        <v>94.4</v>
      </c>
      <c r="T34" vm="11311">
        <f ca="1"/>
        <v>174.87</v>
      </c>
      <c r="U34" vm="11312">
        <f ca="1"/>
        <v>37.409999999999997</v>
      </c>
      <c r="V34" vm="3745">
        <f ca="1"/>
        <v>42.64</v>
      </c>
      <c r="W34" vm="10692">
        <f ca="1"/>
        <v>85.64</v>
      </c>
      <c r="X34" vm="11313">
        <f ca="1"/>
        <v>144.78</v>
      </c>
      <c r="Y34" vm="11314">
        <f ca="1"/>
        <v>40.526299999999999</v>
      </c>
      <c r="Z34" vm="11315">
        <f ca="1"/>
        <v>20.96</v>
      </c>
      <c r="AA34" vm="2819">
        <f ca="1"/>
        <v>50.75</v>
      </c>
      <c r="AB34" vm="5891">
        <f ca="1"/>
        <v>102.2</v>
      </c>
      <c r="AC34" vm="11316">
        <f ca="1"/>
        <v>246.88</v>
      </c>
      <c r="AD34" vm="11317">
        <f ca="1"/>
        <v>76.39</v>
      </c>
      <c r="AE34" vm="11300">
        <f ca="1"/>
        <v>136.72</v>
      </c>
      <c r="AF34" vm="11318">
        <f ca="1"/>
        <v>141.19</v>
      </c>
      <c r="AG34" vm="11319">
        <f ca="1"/>
        <v>69.87</v>
      </c>
      <c r="AH34" vm="8142">
        <f ca="1"/>
        <v>165.04</v>
      </c>
      <c r="AI34" vm="11320">
        <f ca="1"/>
        <v>366.06</v>
      </c>
      <c r="AJ34" vm="11321">
        <f ca="1"/>
        <v>76.47</v>
      </c>
      <c r="AK34" vm="3204">
        <f ca="1"/>
        <v>69.84</v>
      </c>
      <c r="AL34" vm="3166">
        <f ca="1"/>
        <v>61.46</v>
      </c>
      <c r="AM34" vm="10274">
        <f ca="1"/>
        <v>117.65</v>
      </c>
      <c r="AN34" vm="11322">
        <f ca="1"/>
        <v>45.99</v>
      </c>
      <c r="AO34" vm="11323">
        <f ca="1"/>
        <v>31.13</v>
      </c>
      <c r="AP34" vm="9031">
        <f ca="1"/>
        <v>112.61</v>
      </c>
      <c r="AQ34" vm="11324">
        <f ca="1"/>
        <v>297.02</v>
      </c>
      <c r="AR34" vm="11325">
        <f ca="1"/>
        <v>76.06</v>
      </c>
      <c r="AS34" vm="2014">
        <f ca="1"/>
        <v>39.17</v>
      </c>
      <c r="AT34" vm="2900">
        <f ca="1"/>
        <v>46.02</v>
      </c>
      <c r="AU34" vm="11326">
        <f ca="1"/>
        <v>141.22999999999999</v>
      </c>
      <c r="AV34" vm="11327">
        <f ca="1"/>
        <v>479.28</v>
      </c>
      <c r="AW34" vm="7898">
        <f ca="1"/>
        <v>174.67</v>
      </c>
    </row>
    <row r="35" spans="1:49">
      <c r="A35" vm="11328">
        <f ca="1"/>
        <v>44743</v>
      </c>
      <c r="B35" vm="11329">
        <f ca="1"/>
        <v>297.14699999999999</v>
      </c>
      <c r="C35" vm="11330">
        <f ca="1"/>
        <v>162.51</v>
      </c>
      <c r="D35" vm="6669">
        <f ca="1"/>
        <v>116.64</v>
      </c>
      <c r="E35" vm="9763">
        <f ca="1"/>
        <v>280.74</v>
      </c>
      <c r="F35" vm="11331">
        <f ca="1"/>
        <v>134.94999999999999</v>
      </c>
      <c r="G35" vm="3632">
        <f ca="1"/>
        <v>116.32</v>
      </c>
      <c r="H35" vm="11332">
        <f ca="1"/>
        <v>159.1</v>
      </c>
      <c r="I35" vm="11333">
        <f ca="1"/>
        <v>300.60000000000002</v>
      </c>
      <c r="J35" vm="11334">
        <f ca="1"/>
        <v>18.163</v>
      </c>
      <c r="K35" vm="8106">
        <f ca="1"/>
        <v>174.52</v>
      </c>
      <c r="L35" vm="11335">
        <f ca="1"/>
        <v>212.11</v>
      </c>
      <c r="M35" vm="11336">
        <f ca="1"/>
        <v>138.91</v>
      </c>
      <c r="N35" vm="11337">
        <f ca="1"/>
        <v>542.34</v>
      </c>
      <c r="O35" vm="11338">
        <f ca="1"/>
        <v>300.94</v>
      </c>
      <c r="P35" vm="8722">
        <f ca="1"/>
        <v>353.79</v>
      </c>
      <c r="Q35" vm="2812">
        <f ca="1"/>
        <v>50.51</v>
      </c>
      <c r="R35" vm="2547">
        <f ca="1"/>
        <v>64.17</v>
      </c>
      <c r="S35" vm="11339">
        <f ca="1"/>
        <v>106.1</v>
      </c>
      <c r="T35" vm="11340">
        <f ca="1"/>
        <v>224.9</v>
      </c>
      <c r="U35" vm="3762">
        <f ca="1"/>
        <v>36.31</v>
      </c>
      <c r="V35" vm="2937">
        <f ca="1"/>
        <v>45.37</v>
      </c>
      <c r="W35" vm="11341">
        <f ca="1"/>
        <v>96.93</v>
      </c>
      <c r="X35" vm="11342">
        <f ca="1"/>
        <v>163.78</v>
      </c>
      <c r="Y35" vm="11343">
        <f ca="1"/>
        <v>44.016199999999998</v>
      </c>
      <c r="Z35" vm="11344">
        <f ca="1"/>
        <v>18.78</v>
      </c>
      <c r="AA35" vm="11345">
        <f ca="1"/>
        <v>46.19</v>
      </c>
      <c r="AB35" vm="11346">
        <f ca="1"/>
        <v>114.92</v>
      </c>
      <c r="AC35" vm="11347">
        <f ca="1"/>
        <v>263.37</v>
      </c>
      <c r="AD35" vm="11348">
        <f ca="1"/>
        <v>84.78</v>
      </c>
      <c r="AE35" vm="2707">
        <f ca="1"/>
        <v>159.31</v>
      </c>
      <c r="AF35" vm="11349">
        <f ca="1"/>
        <v>130.79</v>
      </c>
      <c r="AG35" vm="10871">
        <f ca="1"/>
        <v>77.84</v>
      </c>
      <c r="AH35" vm="4031">
        <f ca="1"/>
        <v>184.02</v>
      </c>
      <c r="AI35" vm="11350">
        <f ca="1"/>
        <v>410.12</v>
      </c>
      <c r="AJ35" vm="11351">
        <f ca="1"/>
        <v>94.47</v>
      </c>
      <c r="AK35" vm="7007">
        <f ca="1"/>
        <v>86.53</v>
      </c>
      <c r="AL35" vm="11325">
        <f ca="1"/>
        <v>76.06</v>
      </c>
      <c r="AM35" vm="850">
        <f ca="1"/>
        <v>132.56</v>
      </c>
      <c r="AN35" vm="11352">
        <f ca="1"/>
        <v>51.9</v>
      </c>
      <c r="AO35" vm="11353">
        <f ca="1"/>
        <v>33.81</v>
      </c>
      <c r="AP35" vm="11354">
        <f ca="1"/>
        <v>115.36</v>
      </c>
      <c r="AQ35" vm="11355">
        <f ca="1"/>
        <v>333.39</v>
      </c>
      <c r="AR35" vm="2592">
        <f ca="1"/>
        <v>84.3</v>
      </c>
      <c r="AS35" vm="11356">
        <f ca="1"/>
        <v>43.87</v>
      </c>
      <c r="AT35" vm="11357">
        <f ca="1"/>
        <v>47.2</v>
      </c>
      <c r="AU35" vm="1194">
        <f ca="1"/>
        <v>163.38</v>
      </c>
      <c r="AV35" vm="11358">
        <f ca="1"/>
        <v>541.29999999999995</v>
      </c>
      <c r="AW35" vm="4403">
        <f ca="1"/>
        <v>191.53</v>
      </c>
    </row>
    <row r="36" spans="1:49">
      <c r="A36" vm="11359">
        <f ca="1"/>
        <v>44774</v>
      </c>
      <c r="B36" vm="11360">
        <f ca="1"/>
        <v>275.61</v>
      </c>
      <c r="C36" vm="11361">
        <f ca="1"/>
        <v>157.22</v>
      </c>
      <c r="D36" vm="11362">
        <f ca="1"/>
        <v>109.15</v>
      </c>
      <c r="E36" vm="11363">
        <f ca="1"/>
        <v>261.47000000000003</v>
      </c>
      <c r="F36" vm="11364">
        <f ca="1"/>
        <v>126.77</v>
      </c>
      <c r="G36" vm="11365">
        <f ca="1"/>
        <v>108.22</v>
      </c>
      <c r="H36" vm="1220">
        <f ca="1"/>
        <v>162.93</v>
      </c>
      <c r="I36" vm="11366">
        <f ca="1"/>
        <v>280.8</v>
      </c>
      <c r="J36" vm="11367">
        <f ca="1"/>
        <v>15.093999999999999</v>
      </c>
      <c r="K36" vm="11368">
        <f ca="1"/>
        <v>161.34</v>
      </c>
      <c r="L36" vm="11369">
        <f ca="1"/>
        <v>198.71</v>
      </c>
      <c r="M36" vm="11370">
        <f ca="1"/>
        <v>137.94</v>
      </c>
      <c r="N36" vm="11371">
        <f ca="1"/>
        <v>519.33000000000004</v>
      </c>
      <c r="O36" vm="11372">
        <f ca="1"/>
        <v>288.42</v>
      </c>
      <c r="P36" vm="11373">
        <f ca="1"/>
        <v>324.37</v>
      </c>
      <c r="Q36" vm="11374">
        <f ca="1"/>
        <v>45.23</v>
      </c>
      <c r="R36" vm="2524">
        <f ca="1"/>
        <v>61.71</v>
      </c>
      <c r="S36" vm="9037">
        <f ca="1"/>
        <v>112.08</v>
      </c>
      <c r="T36" vm="11375">
        <f ca="1"/>
        <v>223.56</v>
      </c>
      <c r="U36" vm="11376">
        <f ca="1"/>
        <v>31.92</v>
      </c>
      <c r="V36" vm="10414">
        <f ca="1"/>
        <v>44.72</v>
      </c>
      <c r="W36" vm="11377">
        <f ca="1"/>
        <v>95.59</v>
      </c>
      <c r="X36" vm="1203">
        <f ca="1"/>
        <v>158.06</v>
      </c>
      <c r="Y36" vm="11378">
        <f ca="1"/>
        <v>44.182899999999997</v>
      </c>
      <c r="Z36" vm="11379">
        <f ca="1"/>
        <v>17.54</v>
      </c>
      <c r="AA36" vm="2043">
        <f ca="1"/>
        <v>41.81</v>
      </c>
      <c r="AB36" vm="11380">
        <f ca="1"/>
        <v>106.45</v>
      </c>
      <c r="AC36" vm="11381">
        <f ca="1"/>
        <v>252.28</v>
      </c>
      <c r="AD36" vm="11382">
        <f ca="1"/>
        <v>84.07</v>
      </c>
      <c r="AE36" vm="678">
        <f ca="1"/>
        <v>160.25</v>
      </c>
      <c r="AF36" vm="11383">
        <f ca="1"/>
        <v>128.44999999999999</v>
      </c>
      <c r="AG36" vm="11384">
        <f ca="1"/>
        <v>74.150000000000006</v>
      </c>
      <c r="AH36" vm="11385">
        <f ca="1"/>
        <v>156.12</v>
      </c>
      <c r="AI36" vm="11386">
        <f ca="1"/>
        <v>373.44</v>
      </c>
      <c r="AJ36" vm="11387">
        <f ca="1"/>
        <v>84.87</v>
      </c>
      <c r="AK36" vm="11388">
        <f ca="1"/>
        <v>93.44</v>
      </c>
      <c r="AL36" vm="11389">
        <f ca="1"/>
        <v>68.91</v>
      </c>
      <c r="AM36" vm="11390">
        <f ca="1"/>
        <v>124.51</v>
      </c>
      <c r="AN36" vm="11391">
        <f ca="1"/>
        <v>48.81</v>
      </c>
      <c r="AO36" vm="1936">
        <f ca="1"/>
        <v>33.61</v>
      </c>
      <c r="AP36" vm="11392">
        <f ca="1"/>
        <v>113.73</v>
      </c>
      <c r="AQ36" vm="11393">
        <f ca="1"/>
        <v>332.67</v>
      </c>
      <c r="AR36" vm="11394">
        <f ca="1"/>
        <v>85.22</v>
      </c>
      <c r="AS36" vm="11395">
        <f ca="1"/>
        <v>43.71</v>
      </c>
      <c r="AT36" vm="3738">
        <f ca="1"/>
        <v>45.61</v>
      </c>
      <c r="AU36" vm="669">
        <f ca="1"/>
        <v>160.34</v>
      </c>
      <c r="AV36" vm="11396">
        <f ca="1"/>
        <v>522.1</v>
      </c>
      <c r="AW36" vm="11397">
        <f ca="1"/>
        <v>194.14</v>
      </c>
    </row>
    <row r="37" spans="1:49">
      <c r="A37" vm="11398">
        <f ca="1"/>
        <v>44805</v>
      </c>
      <c r="B37" vm="11399">
        <f ca="1"/>
        <v>265.25</v>
      </c>
      <c r="C37" vm="11400">
        <f ca="1"/>
        <v>138.19999999999999</v>
      </c>
      <c r="D37" vm="11401">
        <f ca="1"/>
        <v>96.15</v>
      </c>
      <c r="E37" vm="11402">
        <f ca="1"/>
        <v>232.9</v>
      </c>
      <c r="F37" vm="11403">
        <f ca="1"/>
        <v>113</v>
      </c>
      <c r="G37" vm="5840">
        <f ca="1"/>
        <v>95.65</v>
      </c>
      <c r="H37" vm="11404">
        <f ca="1"/>
        <v>135.68</v>
      </c>
      <c r="I37" vm="11405">
        <f ca="1"/>
        <v>267.02</v>
      </c>
      <c r="J37" vm="11406">
        <f ca="1"/>
        <v>12.138999999999999</v>
      </c>
      <c r="K37" vm="11407">
        <f ca="1"/>
        <v>163.36000000000001</v>
      </c>
      <c r="L37" vm="11408">
        <f ca="1"/>
        <v>177.65</v>
      </c>
      <c r="M37" vm="11409">
        <f ca="1"/>
        <v>126.25</v>
      </c>
      <c r="N37" vm="11410">
        <f ca="1"/>
        <v>505.04</v>
      </c>
      <c r="O37" vm="11411">
        <f ca="1"/>
        <v>275.94</v>
      </c>
      <c r="P37" vm="11412">
        <f ca="1"/>
        <v>284.33999999999997</v>
      </c>
      <c r="Q37" vm="11413">
        <f ca="1"/>
        <v>43.76</v>
      </c>
      <c r="R37" vm="11414">
        <f ca="1"/>
        <v>56.02</v>
      </c>
      <c r="S37" vm="11415">
        <f ca="1"/>
        <v>94.33</v>
      </c>
      <c r="T37" vm="4593">
        <f ca="1"/>
        <v>235.44</v>
      </c>
      <c r="U37" vm="7194">
        <f ca="1"/>
        <v>25.77</v>
      </c>
      <c r="V37" vm="11416">
        <f ca="1"/>
        <v>40</v>
      </c>
      <c r="W37" vm="6997">
        <f ca="1"/>
        <v>87.31</v>
      </c>
      <c r="X37" vm="814">
        <f ca="1"/>
        <v>143.66999999999999</v>
      </c>
      <c r="Y37" vm="11417">
        <f ca="1"/>
        <v>43.232900000000001</v>
      </c>
      <c r="Z37" vm="11418">
        <f ca="1"/>
        <v>15.34</v>
      </c>
      <c r="AA37" vm="10307">
        <f ca="1"/>
        <v>37.97</v>
      </c>
      <c r="AB37" vm="11419">
        <f ca="1"/>
        <v>83.12</v>
      </c>
      <c r="AC37" vm="11420">
        <f ca="1"/>
        <v>230.74</v>
      </c>
      <c r="AD37" vm="11421">
        <f ca="1"/>
        <v>84.26</v>
      </c>
      <c r="AE37" vm="11422">
        <f ca="1"/>
        <v>121.08</v>
      </c>
      <c r="AF37" vm="3633">
        <f ca="1"/>
        <v>118.81</v>
      </c>
      <c r="AG37" vm="11423">
        <f ca="1"/>
        <v>61.07</v>
      </c>
      <c r="AH37" vm="840">
        <f ca="1"/>
        <v>143.84</v>
      </c>
      <c r="AI37" vm="11424">
        <f ca="1"/>
        <v>275.2</v>
      </c>
      <c r="AJ37" vm="8338">
        <f ca="1"/>
        <v>63.36</v>
      </c>
      <c r="AK37" vm="11425">
        <f ca="1"/>
        <v>86.07</v>
      </c>
      <c r="AL37" vm="11426">
        <f ca="1"/>
        <v>54.99</v>
      </c>
      <c r="AM37" vm="11427">
        <f ca="1"/>
        <v>101.6</v>
      </c>
      <c r="AN37" vm="2054">
        <f ca="1"/>
        <v>41.67</v>
      </c>
      <c r="AO37" vm="11428">
        <f ca="1"/>
        <v>30.2</v>
      </c>
      <c r="AP37" vm="6236">
        <f ca="1"/>
        <v>104.5</v>
      </c>
      <c r="AQ37" vm="11429">
        <f ca="1"/>
        <v>293.05</v>
      </c>
      <c r="AR37" vm="6361">
        <f ca="1"/>
        <v>79.010000000000005</v>
      </c>
      <c r="AS37" vm="11430">
        <f ca="1"/>
        <v>40.22</v>
      </c>
      <c r="AT37" vm="11431">
        <f ca="1"/>
        <v>40.32</v>
      </c>
      <c r="AU37" vm="11432">
        <f ca="1"/>
        <v>148.38999999999999</v>
      </c>
      <c r="AV37" vm="11433">
        <f ca="1"/>
        <v>472.27</v>
      </c>
      <c r="AW37" vm="11434">
        <f ca="1"/>
        <v>187.81</v>
      </c>
    </row>
    <row r="38" spans="1:49">
      <c r="A38" vm="11435">
        <f ca="1"/>
        <v>44835</v>
      </c>
      <c r="B38" vm="11436">
        <f ca="1"/>
        <v>227.54</v>
      </c>
      <c r="C38" vm="1259">
        <f ca="1"/>
        <v>153.34</v>
      </c>
      <c r="D38" vm="11437">
        <f ca="1"/>
        <v>94.66</v>
      </c>
      <c r="E38" vm="4607">
        <f ca="1"/>
        <v>232.13</v>
      </c>
      <c r="F38" vm="5866">
        <f ca="1"/>
        <v>102.44</v>
      </c>
      <c r="G38" vm="11438">
        <f ca="1"/>
        <v>94.51</v>
      </c>
      <c r="H38" vm="7684">
        <f ca="1"/>
        <v>93.16</v>
      </c>
      <c r="I38" vm="5236">
        <f ca="1"/>
        <v>295.08999999999997</v>
      </c>
      <c r="J38" vm="11439">
        <f ca="1"/>
        <v>13.497</v>
      </c>
      <c r="K38" vm="11440">
        <f ca="1"/>
        <v>173.97</v>
      </c>
      <c r="L38" vm="11441">
        <f ca="1"/>
        <v>207.16</v>
      </c>
      <c r="M38" vm="11442">
        <f ca="1"/>
        <v>134.66999999999999</v>
      </c>
      <c r="N38" vm="11443">
        <f ca="1"/>
        <v>555.15</v>
      </c>
      <c r="O38" vm="11444">
        <f ca="1"/>
        <v>296.13</v>
      </c>
      <c r="P38" vm="11445">
        <f ca="1"/>
        <v>328.18</v>
      </c>
      <c r="Q38" vm="11446">
        <f ca="1"/>
        <v>46.55</v>
      </c>
      <c r="R38" vm="8221">
        <f ca="1"/>
        <v>59.85</v>
      </c>
      <c r="S38" vm="11447">
        <f ca="1"/>
        <v>106.54</v>
      </c>
      <c r="T38" vm="11448">
        <f ca="1"/>
        <v>291.88</v>
      </c>
      <c r="U38" vm="7036">
        <f ca="1"/>
        <v>28.43</v>
      </c>
      <c r="V38" vm="11449">
        <f ca="1"/>
        <v>45.43</v>
      </c>
      <c r="W38" vm="11450">
        <f ca="1"/>
        <v>110.81</v>
      </c>
      <c r="X38" vm="4339">
        <f ca="1"/>
        <v>180.9</v>
      </c>
      <c r="Y38" vm="11451">
        <f ca="1"/>
        <v>47.442900000000002</v>
      </c>
      <c r="Z38" vm="11452">
        <f ca="1"/>
        <v>18.23</v>
      </c>
      <c r="AA38" vm="9546">
        <f ca="1"/>
        <v>37.369999999999997</v>
      </c>
      <c r="AB38" vm="11453">
        <f ca="1"/>
        <v>92.68</v>
      </c>
      <c r="AC38" vm="11454">
        <f ca="1"/>
        <v>272.66000000000003</v>
      </c>
      <c r="AD38" vm="11455">
        <f ca="1"/>
        <v>86.59</v>
      </c>
      <c r="AE38" vm="11456">
        <f ca="1"/>
        <v>142.51</v>
      </c>
      <c r="AF38" vm="11457">
        <f ca="1"/>
        <v>138.29</v>
      </c>
      <c r="AG38" vm="11458">
        <f ca="1"/>
        <v>78.069999999999993</v>
      </c>
      <c r="AH38" vm="11459">
        <f ca="1"/>
        <v>162.59</v>
      </c>
      <c r="AI38" vm="11460">
        <f ca="1"/>
        <v>318.5</v>
      </c>
      <c r="AJ38" vm="3128">
        <f ca="1"/>
        <v>60.06</v>
      </c>
      <c r="AK38" vm="11461">
        <f ca="1"/>
        <v>83.58</v>
      </c>
      <c r="AL38" vm="11462">
        <f ca="1"/>
        <v>60.07</v>
      </c>
      <c r="AM38" vm="11463">
        <f ca="1"/>
        <v>110.75</v>
      </c>
      <c r="AN38" vm="2112">
        <f ca="1"/>
        <v>45.86</v>
      </c>
      <c r="AO38" vm="11464">
        <f ca="1"/>
        <v>36.04</v>
      </c>
      <c r="AP38" vm="10474">
        <f ca="1"/>
        <v>125.88</v>
      </c>
      <c r="AQ38" vm="11465">
        <f ca="1"/>
        <v>344.51</v>
      </c>
      <c r="AR38" vm="11466">
        <f ca="1"/>
        <v>82.17</v>
      </c>
      <c r="AS38" vm="11322">
        <f ca="1"/>
        <v>45.99</v>
      </c>
      <c r="AT38" vm="9585">
        <f ca="1"/>
        <v>42.45</v>
      </c>
      <c r="AU38" vm="11467">
        <f ca="1"/>
        <v>164.25</v>
      </c>
      <c r="AV38" vm="11468">
        <f ca="1"/>
        <v>501.5</v>
      </c>
      <c r="AW38" vm="11469">
        <f ca="1"/>
        <v>194.95</v>
      </c>
    </row>
    <row r="39" spans="1:49">
      <c r="A39" vm="11470">
        <f ca="1"/>
        <v>44866</v>
      </c>
      <c r="B39" vm="11471">
        <f ca="1"/>
        <v>194.7</v>
      </c>
      <c r="C39" vm="11472">
        <f ca="1"/>
        <v>148.03</v>
      </c>
      <c r="D39" vm="10987">
        <f ca="1"/>
        <v>101.45</v>
      </c>
      <c r="E39" vm="11473">
        <f ca="1"/>
        <v>255.14</v>
      </c>
      <c r="F39" vm="9119">
        <f ca="1"/>
        <v>96.54</v>
      </c>
      <c r="G39" vm="9133">
        <f ca="1"/>
        <v>100.99</v>
      </c>
      <c r="H39" vm="11474">
        <f ca="1"/>
        <v>118.1</v>
      </c>
      <c r="I39" vm="11475">
        <f ca="1"/>
        <v>318.60000000000002</v>
      </c>
      <c r="J39" vm="11476">
        <f ca="1"/>
        <v>16.922999999999998</v>
      </c>
      <c r="K39" vm="598">
        <f ca="1"/>
        <v>178</v>
      </c>
      <c r="L39" vm="11477">
        <f ca="1"/>
        <v>217</v>
      </c>
      <c r="M39" vm="2619">
        <f ca="1"/>
        <v>149.16</v>
      </c>
      <c r="N39" vm="11478">
        <f ca="1"/>
        <v>547.76</v>
      </c>
      <c r="O39" vm="11479">
        <f ca="1"/>
        <v>323.99</v>
      </c>
      <c r="P39" vm="11480">
        <f ca="1"/>
        <v>356.4</v>
      </c>
      <c r="Q39" vm="2832">
        <f ca="1"/>
        <v>50.13</v>
      </c>
      <c r="R39" vm="11481">
        <f ca="1"/>
        <v>63.61</v>
      </c>
      <c r="S39" vm="11482">
        <f ca="1"/>
        <v>97.87</v>
      </c>
      <c r="T39" vm="11483">
        <f ca="1"/>
        <v>305.52999999999997</v>
      </c>
      <c r="U39" vm="7162">
        <f ca="1"/>
        <v>30.07</v>
      </c>
      <c r="V39" vm="11484">
        <f ca="1"/>
        <v>49.72</v>
      </c>
      <c r="W39" vm="11485">
        <f ca="1"/>
        <v>111.34</v>
      </c>
      <c r="X39" vm="4038">
        <f ca="1"/>
        <v>183.31</v>
      </c>
      <c r="Y39" vm="11486">
        <f ca="1"/>
        <v>50.806199999999997</v>
      </c>
      <c r="Z39" vm="11487">
        <f ca="1"/>
        <v>19.28</v>
      </c>
      <c r="AA39" vm="11488">
        <f ca="1"/>
        <v>38.979999999999997</v>
      </c>
      <c r="AB39" vm="11489">
        <f ca="1"/>
        <v>109.69</v>
      </c>
      <c r="AC39" vm="11490">
        <f ca="1"/>
        <v>272.79000000000002</v>
      </c>
      <c r="AD39" vm="5891">
        <f ca="1"/>
        <v>102.2</v>
      </c>
      <c r="AE39" vm="1233">
        <f ca="1"/>
        <v>178.88</v>
      </c>
      <c r="AF39" vm="11491">
        <f ca="1"/>
        <v>148.9</v>
      </c>
      <c r="AG39" vm="11492">
        <f ca="1"/>
        <v>83.03</v>
      </c>
      <c r="AH39" vm="678">
        <f ca="1"/>
        <v>160.25</v>
      </c>
      <c r="AI39" vm="11493">
        <f ca="1"/>
        <v>344.93</v>
      </c>
      <c r="AJ39" vm="11494">
        <f ca="1"/>
        <v>77.63</v>
      </c>
      <c r="AK39" vm="11495">
        <f ca="1"/>
        <v>78.41</v>
      </c>
      <c r="AL39" vm="11496">
        <f ca="1"/>
        <v>67.77</v>
      </c>
      <c r="AM39" vm="11497">
        <f ca="1"/>
        <v>117.79</v>
      </c>
      <c r="AN39" vm="11498">
        <f ca="1"/>
        <v>48.41</v>
      </c>
      <c r="AO39" vm="11499">
        <f ca="1"/>
        <v>37.85</v>
      </c>
      <c r="AP39" vm="11500">
        <f ca="1"/>
        <v>138.18</v>
      </c>
      <c r="AQ39" vm="11501">
        <f ca="1"/>
        <v>386.15</v>
      </c>
      <c r="AR39" vm="7663">
        <f ca="1"/>
        <v>93.07</v>
      </c>
      <c r="AS39" vm="11502">
        <f ca="1"/>
        <v>47.95</v>
      </c>
      <c r="AT39" vm="9260">
        <f ca="1"/>
        <v>45.39</v>
      </c>
      <c r="AU39" vm="4260">
        <f ca="1"/>
        <v>167.07</v>
      </c>
      <c r="AV39" vm="11503">
        <f ca="1"/>
        <v>539.25</v>
      </c>
      <c r="AW39" vm="11504">
        <f ca="1"/>
        <v>212.55</v>
      </c>
    </row>
    <row r="40" spans="1:49">
      <c r="A40" vm="11505">
        <f ca="1"/>
        <v>44896</v>
      </c>
      <c r="B40" vm="11506">
        <f ca="1"/>
        <v>123.18</v>
      </c>
      <c r="C40" vm="11507">
        <f ca="1"/>
        <v>129.93</v>
      </c>
      <c r="D40" vm="11508">
        <f ca="1"/>
        <v>88.73</v>
      </c>
      <c r="E40" vm="11509">
        <f ca="1"/>
        <v>239.82</v>
      </c>
      <c r="F40" vm="5763">
        <f ca="1"/>
        <v>84</v>
      </c>
      <c r="G40" vm="11510">
        <f ca="1"/>
        <v>88.23</v>
      </c>
      <c r="H40" vm="11511">
        <f ca="1"/>
        <v>120.34</v>
      </c>
      <c r="I40" vm="11512">
        <f ca="1"/>
        <v>308.89999999999998</v>
      </c>
      <c r="J40" vm="11513">
        <f ca="1"/>
        <v>14.614000000000001</v>
      </c>
      <c r="K40" vm="11514">
        <f ca="1"/>
        <v>176.65</v>
      </c>
      <c r="L40" vm="11515">
        <f ca="1"/>
        <v>207.76</v>
      </c>
      <c r="M40" vm="11516">
        <f ca="1"/>
        <v>151.56</v>
      </c>
      <c r="N40" vm="11517">
        <f ca="1"/>
        <v>530.17999999999995</v>
      </c>
      <c r="O40" vm="11518">
        <f ca="1"/>
        <v>315.86</v>
      </c>
      <c r="P40" vm="11519">
        <f ca="1"/>
        <v>347.73</v>
      </c>
      <c r="Q40" vm="11520">
        <f ca="1"/>
        <v>51.24</v>
      </c>
      <c r="R40" vm="11481">
        <f ca="1"/>
        <v>63.61</v>
      </c>
      <c r="S40" vm="11521">
        <f ca="1"/>
        <v>86.88</v>
      </c>
      <c r="T40" vm="11522">
        <f ca="1"/>
        <v>294.88</v>
      </c>
      <c r="U40" vm="11523">
        <f ca="1"/>
        <v>26.43</v>
      </c>
      <c r="V40" vm="3708">
        <f ca="1"/>
        <v>47.64</v>
      </c>
      <c r="W40" vm="11524">
        <f ca="1"/>
        <v>110.3</v>
      </c>
      <c r="X40" vm="11525">
        <f ca="1"/>
        <v>179.49</v>
      </c>
      <c r="Y40" vm="11526">
        <f ca="1"/>
        <v>47.262900000000002</v>
      </c>
      <c r="Z40" vm="11527">
        <f ca="1"/>
        <v>18.41</v>
      </c>
      <c r="AA40" vm="2087">
        <f ca="1"/>
        <v>39.4</v>
      </c>
      <c r="AB40" vm="11528">
        <f ca="1"/>
        <v>117.01</v>
      </c>
      <c r="AC40" vm="11529">
        <f ca="1"/>
        <v>263.52999999999997</v>
      </c>
      <c r="AD40" vm="10581">
        <f ca="1"/>
        <v>99.2</v>
      </c>
      <c r="AE40" vm="11530">
        <f ca="1"/>
        <v>190.49</v>
      </c>
      <c r="AF40" vm="11531">
        <f ca="1"/>
        <v>140.88999999999999</v>
      </c>
      <c r="AG40" vm="11532">
        <f ca="1"/>
        <v>81.739999999999995</v>
      </c>
      <c r="AH40" vm="11533">
        <f ca="1"/>
        <v>132.59</v>
      </c>
      <c r="AI40" vm="11534">
        <f ca="1"/>
        <v>336.53</v>
      </c>
      <c r="AJ40" vm="6879">
        <f ca="1"/>
        <v>64.77</v>
      </c>
      <c r="AK40" vm="11535">
        <f ca="1"/>
        <v>71.22</v>
      </c>
      <c r="AL40" vm="3081">
        <f ca="1"/>
        <v>62.84</v>
      </c>
      <c r="AM40" vm="9036">
        <f ca="1"/>
        <v>112.73</v>
      </c>
      <c r="AN40" vm="11374">
        <f ca="1"/>
        <v>45.23</v>
      </c>
      <c r="AO40" vm="1944">
        <f ca="1"/>
        <v>33.119999999999997</v>
      </c>
      <c r="AP40" vm="11536">
        <f ca="1"/>
        <v>134.1</v>
      </c>
      <c r="AQ40" vm="11537">
        <f ca="1"/>
        <v>343.38</v>
      </c>
      <c r="AR40" vm="11538">
        <f ca="1"/>
        <v>85.02</v>
      </c>
      <c r="AS40" vm="9220">
        <f ca="1"/>
        <v>41.29</v>
      </c>
      <c r="AT40" vm="11539">
        <f ca="1"/>
        <v>43.61</v>
      </c>
      <c r="AU40" vm="11540">
        <f ca="1"/>
        <v>149.04</v>
      </c>
      <c r="AV40" vm="11541">
        <f ca="1"/>
        <v>456.5</v>
      </c>
      <c r="AW40" vm="11542">
        <f ca="1"/>
        <v>199.24</v>
      </c>
    </row>
    <row r="41" spans="1:49">
      <c r="A41" vm="11543">
        <f ca="1"/>
        <v>44927</v>
      </c>
      <c r="B41" vm="11544">
        <f ca="1"/>
        <v>173.22</v>
      </c>
      <c r="C41" vm="11545">
        <f ca="1"/>
        <v>144.29</v>
      </c>
      <c r="D41" vm="11546">
        <f ca="1"/>
        <v>99.87</v>
      </c>
      <c r="E41" vm="11547">
        <f ca="1"/>
        <v>247.81</v>
      </c>
      <c r="F41" vm="3495">
        <f ca="1"/>
        <v>103.13</v>
      </c>
      <c r="G41" vm="11548">
        <f ca="1"/>
        <v>98.84</v>
      </c>
      <c r="H41" vm="11549">
        <f ca="1"/>
        <v>148.97</v>
      </c>
      <c r="I41" vm="11550">
        <f ca="1"/>
        <v>311.52</v>
      </c>
      <c r="J41" vm="11551">
        <f ca="1"/>
        <v>19.536999999999999</v>
      </c>
      <c r="K41" vm="1221">
        <f ca="1"/>
        <v>163.41999999999999</v>
      </c>
      <c r="L41" vm="11552">
        <f ca="1"/>
        <v>230.21</v>
      </c>
      <c r="M41" vm="1062">
        <f ca="1"/>
        <v>142.38</v>
      </c>
      <c r="N41" vm="11553">
        <f ca="1"/>
        <v>499.19</v>
      </c>
      <c r="O41" vm="11554">
        <f ca="1"/>
        <v>324.17</v>
      </c>
      <c r="P41" vm="5498">
        <f ca="1"/>
        <v>370.6</v>
      </c>
      <c r="Q41" vm="11555">
        <f ca="1"/>
        <v>44.16</v>
      </c>
      <c r="R41" vm="11556">
        <f ca="1"/>
        <v>61.32</v>
      </c>
      <c r="S41" vm="11557">
        <f ca="1"/>
        <v>108.49</v>
      </c>
      <c r="T41" vm="11558">
        <f ca="1"/>
        <v>353.86</v>
      </c>
      <c r="U41" vm="11559">
        <f ca="1"/>
        <v>28.26</v>
      </c>
      <c r="V41" vm="11560">
        <f ca="1"/>
        <v>48.67</v>
      </c>
      <c r="W41" vm="11561">
        <f ca="1"/>
        <v>116.01</v>
      </c>
      <c r="X41" vm="11562">
        <f ca="1"/>
        <v>174.02</v>
      </c>
      <c r="Y41" vm="11563">
        <f ca="1"/>
        <v>47.956200000000003</v>
      </c>
      <c r="Z41" vm="11564">
        <f ca="1"/>
        <v>20.37</v>
      </c>
      <c r="AA41" vm="11565">
        <f ca="1"/>
        <v>41.57</v>
      </c>
      <c r="AB41" vm="11566">
        <f ca="1"/>
        <v>127.33</v>
      </c>
      <c r="AC41" vm="11567">
        <f ca="1"/>
        <v>267.39999999999998</v>
      </c>
      <c r="AD41" vm="11568">
        <f ca="1"/>
        <v>109.14</v>
      </c>
      <c r="AE41" vm="10574">
        <f ca="1"/>
        <v>213</v>
      </c>
      <c r="AF41" vm="11569">
        <f ca="1"/>
        <v>134.72999999999999</v>
      </c>
      <c r="AG41" vm="11570">
        <f ca="1"/>
        <v>88.46</v>
      </c>
      <c r="AH41" vm="11571">
        <f ca="1"/>
        <v>167.97</v>
      </c>
      <c r="AI41" vm="11572">
        <f ca="1"/>
        <v>370.34</v>
      </c>
      <c r="AJ41" vm="11573">
        <f ca="1"/>
        <v>75.150000000000006</v>
      </c>
      <c r="AK41" vm="11574">
        <f ca="1"/>
        <v>81.489999999999995</v>
      </c>
      <c r="AL41" vm="11575">
        <f ca="1"/>
        <v>81.72</v>
      </c>
      <c r="AM41" vm="7361">
        <f ca="1"/>
        <v>129.28</v>
      </c>
      <c r="AN41" vm="11576">
        <f ca="1"/>
        <v>52.22</v>
      </c>
      <c r="AO41" vm="11577">
        <f ca="1"/>
        <v>35.479999999999997</v>
      </c>
      <c r="AP41" vm="11578">
        <f ca="1"/>
        <v>139.96</v>
      </c>
      <c r="AQ41" vm="11579">
        <f ca="1"/>
        <v>365.81</v>
      </c>
      <c r="AR41" vm="11580">
        <f ca="1"/>
        <v>97.33</v>
      </c>
      <c r="AS41" vm="3704">
        <f ca="1"/>
        <v>46.87</v>
      </c>
      <c r="AT41" vm="2805">
        <f ca="1"/>
        <v>49.8</v>
      </c>
      <c r="AU41" vm="11581">
        <f ca="1"/>
        <v>172.14</v>
      </c>
      <c r="AV41" vm="11582">
        <f ca="1"/>
        <v>511.14</v>
      </c>
      <c r="AW41" vm="4098">
        <f ca="1"/>
        <v>208.25</v>
      </c>
    </row>
    <row r="42" spans="1:49">
      <c r="A42" vm="11583">
        <f ca="1"/>
        <v>44958</v>
      </c>
      <c r="B42" vm="11584">
        <f ca="1"/>
        <v>205.71</v>
      </c>
      <c r="C42" vm="561">
        <f ca="1"/>
        <v>147.41</v>
      </c>
      <c r="D42" vm="11585">
        <f ca="1"/>
        <v>90.3</v>
      </c>
      <c r="E42" vm="11586">
        <f ca="1"/>
        <v>249.42</v>
      </c>
      <c r="F42" vm="11587">
        <f ca="1"/>
        <v>94.23</v>
      </c>
      <c r="G42" vm="11588">
        <f ca="1"/>
        <v>90.06</v>
      </c>
      <c r="H42" vm="11589">
        <f ca="1"/>
        <v>174.94</v>
      </c>
      <c r="I42" vm="11590">
        <f ca="1"/>
        <v>305.18</v>
      </c>
      <c r="J42" vm="11591">
        <f ca="1"/>
        <v>23.216000000000001</v>
      </c>
      <c r="K42" vm="11592">
        <f ca="1"/>
        <v>153.26</v>
      </c>
      <c r="L42" vm="10992">
        <f ca="1"/>
        <v>219.94</v>
      </c>
      <c r="M42" vm="11593">
        <f ca="1"/>
        <v>137.56</v>
      </c>
      <c r="N42" vm="11594">
        <f ca="1"/>
        <v>475.94</v>
      </c>
      <c r="O42" vm="11595">
        <f ca="1"/>
        <v>296.54000000000002</v>
      </c>
      <c r="P42" vm="11596">
        <f ca="1"/>
        <v>355.29</v>
      </c>
      <c r="Q42" vm="9656">
        <f ca="1"/>
        <v>40.57</v>
      </c>
      <c r="R42" vm="8249">
        <f ca="1"/>
        <v>59.51</v>
      </c>
      <c r="S42" vm="11597">
        <f ca="1"/>
        <v>99.61</v>
      </c>
      <c r="T42" vm="11598">
        <f ca="1"/>
        <v>322.13</v>
      </c>
      <c r="U42" vm="11599">
        <f ca="1"/>
        <v>24.93</v>
      </c>
      <c r="V42" vm="11600">
        <f ca="1"/>
        <v>48.42</v>
      </c>
      <c r="W42" vm="11601">
        <f ca="1"/>
        <v>109.91</v>
      </c>
      <c r="X42" vm="11602">
        <f ca="1"/>
        <v>160.77000000000001</v>
      </c>
      <c r="Y42" vm="11603">
        <f ca="1"/>
        <v>47.376199999999997</v>
      </c>
      <c r="Z42" vm="1830">
        <f ca="1"/>
        <v>18.91</v>
      </c>
      <c r="AA42" vm="2062">
        <f ca="1"/>
        <v>38.81</v>
      </c>
      <c r="AB42" vm="11604">
        <f ca="1"/>
        <v>118.79</v>
      </c>
      <c r="AC42" vm="11605">
        <f ca="1"/>
        <v>263.91000000000003</v>
      </c>
      <c r="AD42" vm="5865">
        <f ca="1"/>
        <v>102.09</v>
      </c>
      <c r="AE42" vm="11606">
        <f ca="1"/>
        <v>201.55</v>
      </c>
      <c r="AF42" vm="11607">
        <f ca="1"/>
        <v>129.30000000000001</v>
      </c>
      <c r="AG42" vm="11226">
        <f ca="1"/>
        <v>87.4</v>
      </c>
      <c r="AH42" vm="2691">
        <f ca="1"/>
        <v>163.61000000000001</v>
      </c>
      <c r="AI42" vm="11608">
        <f ca="1"/>
        <v>323.95</v>
      </c>
      <c r="AJ42" vm="6411">
        <f ca="1"/>
        <v>78.58</v>
      </c>
      <c r="AK42" vm="11609">
        <f ca="1"/>
        <v>73.599999999999994</v>
      </c>
      <c r="AL42" vm="10342">
        <f ca="1"/>
        <v>76.73</v>
      </c>
      <c r="AM42" vm="11610">
        <f ca="1"/>
        <v>123.4</v>
      </c>
      <c r="AN42" vm="11611">
        <f ca="1"/>
        <v>50.69</v>
      </c>
      <c r="AO42" vm="11612">
        <f ca="1"/>
        <v>34.299999999999997</v>
      </c>
      <c r="AP42" vm="11613">
        <f ca="1"/>
        <v>143.35</v>
      </c>
      <c r="AQ42" vm="11614">
        <f ca="1"/>
        <v>351.65</v>
      </c>
      <c r="AR42" vm="7804">
        <f ca="1"/>
        <v>96.5</v>
      </c>
      <c r="AS42" vm="11615">
        <f ca="1"/>
        <v>46.77</v>
      </c>
      <c r="AT42" vm="10454">
        <f ca="1"/>
        <v>47.73</v>
      </c>
      <c r="AU42" vm="8146">
        <f ca="1"/>
        <v>168.5</v>
      </c>
      <c r="AV42" vm="11616">
        <f ca="1"/>
        <v>484.18</v>
      </c>
      <c r="AW42" vm="11617">
        <f ca="1"/>
        <v>205.75</v>
      </c>
    </row>
    <row r="43" spans="1:49">
      <c r="A43" vm="11618">
        <f ca="1"/>
        <v>44986</v>
      </c>
      <c r="B43" vm="11619">
        <f ca="1"/>
        <v>207.46</v>
      </c>
      <c r="C43" vm="11620">
        <f ca="1"/>
        <v>164.9</v>
      </c>
      <c r="D43" vm="11621">
        <f ca="1"/>
        <v>104</v>
      </c>
      <c r="E43" vm="11622">
        <f ca="1"/>
        <v>288.3</v>
      </c>
      <c r="F43" vm="11623">
        <f ca="1"/>
        <v>103.29</v>
      </c>
      <c r="G43" vm="3508">
        <f ca="1"/>
        <v>103.73</v>
      </c>
      <c r="H43" vm="11624">
        <f ca="1"/>
        <v>211.94</v>
      </c>
      <c r="I43" vm="11625">
        <f ca="1"/>
        <v>308.77</v>
      </c>
      <c r="J43" vm="11626">
        <f ca="1"/>
        <v>27.777000000000001</v>
      </c>
      <c r="K43" vm="8172">
        <f ca="1"/>
        <v>155</v>
      </c>
      <c r="L43" vm="11627">
        <f ca="1"/>
        <v>225.46</v>
      </c>
      <c r="M43" vm="8829">
        <f ca="1"/>
        <v>148.69</v>
      </c>
      <c r="N43" vm="11628">
        <f ca="1"/>
        <v>472.59</v>
      </c>
      <c r="O43" vm="11629">
        <f ca="1"/>
        <v>295.12</v>
      </c>
      <c r="P43" vm="11630">
        <f ca="1"/>
        <v>363.41</v>
      </c>
      <c r="Q43" vm="9239">
        <f ca="1"/>
        <v>40.799999999999997</v>
      </c>
      <c r="R43" vm="3161">
        <f ca="1"/>
        <v>62.03</v>
      </c>
      <c r="S43" vm="11631">
        <f ca="1"/>
        <v>100.13</v>
      </c>
      <c r="T43" vm="11632">
        <f ca="1"/>
        <v>345.48</v>
      </c>
      <c r="U43" vm="11633">
        <f ca="1"/>
        <v>32.67</v>
      </c>
      <c r="V43" vm="11634">
        <f ca="1"/>
        <v>52.274999999999999</v>
      </c>
      <c r="W43" vm="11635">
        <f ca="1"/>
        <v>109.66</v>
      </c>
      <c r="X43" vm="11636">
        <f ca="1"/>
        <v>163.16</v>
      </c>
      <c r="Y43" vm="11637">
        <f ca="1"/>
        <v>49.149500000000003</v>
      </c>
      <c r="Z43" vm="1827">
        <f ca="1"/>
        <v>19.25</v>
      </c>
      <c r="AA43" vm="9594">
        <f ca="1"/>
        <v>38.89</v>
      </c>
      <c r="AB43" vm="6208">
        <f ca="1"/>
        <v>122.64</v>
      </c>
      <c r="AC43" vm="11638">
        <f ca="1"/>
        <v>279.61</v>
      </c>
      <c r="AD43" vm="11639">
        <f ca="1"/>
        <v>104.13</v>
      </c>
      <c r="AE43" vm="11640">
        <f ca="1"/>
        <v>212.43</v>
      </c>
      <c r="AF43" vm="11641">
        <f ca="1"/>
        <v>131.09</v>
      </c>
      <c r="AG43" vm="11642">
        <f ca="1"/>
        <v>92.92</v>
      </c>
      <c r="AH43" vm="11643">
        <f ca="1"/>
        <v>199.78</v>
      </c>
      <c r="AI43" vm="11644">
        <f ca="1"/>
        <v>385.37</v>
      </c>
      <c r="AJ43" vm="11645">
        <f ca="1"/>
        <v>98.01</v>
      </c>
      <c r="AK43" vm="7766">
        <f ca="1"/>
        <v>75.94</v>
      </c>
      <c r="AL43" vm="8304">
        <f ca="1"/>
        <v>68.650000000000006</v>
      </c>
      <c r="AM43" vm="7344">
        <f ca="1"/>
        <v>124.77</v>
      </c>
      <c r="AN43" vm="3705">
        <f ca="1"/>
        <v>46.89</v>
      </c>
      <c r="AO43" vm="11646">
        <f ca="1"/>
        <v>28.6</v>
      </c>
      <c r="AP43" vm="11647">
        <f ca="1"/>
        <v>130.31</v>
      </c>
      <c r="AQ43" vm="11648">
        <f ca="1"/>
        <v>327.11</v>
      </c>
      <c r="AR43" vm="11649">
        <f ca="1"/>
        <v>87.8</v>
      </c>
      <c r="AS43" vm="11650">
        <f ca="1"/>
        <v>37.380000000000003</v>
      </c>
      <c r="AT43" vm="11651">
        <f ca="1"/>
        <v>36.049999999999997</v>
      </c>
      <c r="AU43" vm="4002">
        <f ca="1"/>
        <v>165.63</v>
      </c>
      <c r="AV43" vm="11652">
        <f ca="1"/>
        <v>496.87</v>
      </c>
      <c r="AW43" vm="10524">
        <f ca="1"/>
        <v>199.97</v>
      </c>
    </row>
    <row r="44" spans="1:49">
      <c r="A44" vm="11653">
        <f ca="1"/>
        <v>45017</v>
      </c>
      <c r="B44" vm="683">
        <f ca="1"/>
        <v>164.31</v>
      </c>
      <c r="C44" vm="1225">
        <f ca="1"/>
        <v>169.68</v>
      </c>
      <c r="D44" vm="11365">
        <f ca="1"/>
        <v>108.22</v>
      </c>
      <c r="E44" vm="11654">
        <f ca="1"/>
        <v>307.26</v>
      </c>
      <c r="F44" vm="11655">
        <f ca="1"/>
        <v>105.45</v>
      </c>
      <c r="G44" vm="11656">
        <f ca="1"/>
        <v>107.34</v>
      </c>
      <c r="H44" vm="11657">
        <f ca="1"/>
        <v>240.32</v>
      </c>
      <c r="I44" vm="11658">
        <f ca="1"/>
        <v>328.55</v>
      </c>
      <c r="J44" vm="11659">
        <f ca="1"/>
        <v>27.748999999999999</v>
      </c>
      <c r="K44" vm="11660">
        <f ca="1"/>
        <v>163.69999999999999</v>
      </c>
      <c r="L44" vm="11661">
        <f ca="1"/>
        <v>232.73</v>
      </c>
      <c r="M44" vm="11662">
        <f ca="1"/>
        <v>156.38</v>
      </c>
      <c r="N44" vm="11663">
        <f ca="1"/>
        <v>492.09</v>
      </c>
      <c r="O44" vm="11664">
        <f ca="1"/>
        <v>300.54000000000002</v>
      </c>
      <c r="P44" vm="11665">
        <f ca="1"/>
        <v>380.03</v>
      </c>
      <c r="Q44" vm="9594">
        <f ca="1"/>
        <v>38.89</v>
      </c>
      <c r="R44" vm="8272">
        <f ca="1"/>
        <v>64.150000000000006</v>
      </c>
      <c r="S44" vm="7836">
        <f ca="1"/>
        <v>102.5</v>
      </c>
      <c r="T44" vm="11666">
        <f ca="1"/>
        <v>329.93</v>
      </c>
      <c r="U44" vm="3790">
        <f ca="1"/>
        <v>31.06</v>
      </c>
      <c r="V44" vm="11667">
        <f ca="1"/>
        <v>47.25</v>
      </c>
      <c r="W44" vm="6717">
        <f ca="1"/>
        <v>118.34</v>
      </c>
      <c r="X44" vm="7888">
        <f ca="1"/>
        <v>168.58</v>
      </c>
      <c r="Y44" vm="11668">
        <f ca="1"/>
        <v>50.322800000000001</v>
      </c>
      <c r="Z44" vm="1799">
        <f ca="1"/>
        <v>17.670000000000002</v>
      </c>
      <c r="AA44" vm="9235">
        <f ca="1"/>
        <v>38.83</v>
      </c>
      <c r="AB44" vm="11669">
        <f ca="1"/>
        <v>126.72</v>
      </c>
      <c r="AC44" vm="11670">
        <f ca="1"/>
        <v>295.75</v>
      </c>
      <c r="AD44" vm="11671">
        <f ca="1"/>
        <v>114.29</v>
      </c>
      <c r="AE44" vm="11672">
        <f ca="1"/>
        <v>206.78</v>
      </c>
      <c r="AF44" vm="11673">
        <f ca="1"/>
        <v>126.41</v>
      </c>
      <c r="AG44" vm="5878">
        <f ca="1"/>
        <v>94.72</v>
      </c>
      <c r="AH44" vm="11674">
        <f ca="1"/>
        <v>198.37</v>
      </c>
      <c r="AI44" vm="11675">
        <f ca="1"/>
        <v>377.56</v>
      </c>
      <c r="AJ44" vm="11676">
        <f ca="1"/>
        <v>89.37</v>
      </c>
      <c r="AK44" vm="11677">
        <f ca="1"/>
        <v>76</v>
      </c>
      <c r="AL44" vm="11678">
        <f ca="1"/>
        <v>60.79</v>
      </c>
      <c r="AM44" vm="11679">
        <f ca="1"/>
        <v>125.25</v>
      </c>
      <c r="AN44" vm="11680">
        <f ca="1"/>
        <v>47.07</v>
      </c>
      <c r="AO44" vm="11681">
        <f ca="1"/>
        <v>29.28</v>
      </c>
      <c r="AP44" vm="11682">
        <f ca="1"/>
        <v>138.24</v>
      </c>
      <c r="AQ44" vm="11683">
        <f ca="1"/>
        <v>343.44</v>
      </c>
      <c r="AR44" vm="9088">
        <f ca="1"/>
        <v>89.97</v>
      </c>
      <c r="AS44" vm="11684">
        <f ca="1"/>
        <v>39.75</v>
      </c>
      <c r="AT44" vm="1954">
        <f ca="1"/>
        <v>34.28</v>
      </c>
      <c r="AU44" vm="1276">
        <f ca="1"/>
        <v>157.75</v>
      </c>
      <c r="AV44" vm="11685">
        <f ca="1"/>
        <v>503.22</v>
      </c>
      <c r="AW44" vm="11686">
        <f ca="1"/>
        <v>207.83</v>
      </c>
    </row>
    <row r="45" spans="1:49">
      <c r="A45" vm="11687">
        <f ca="1"/>
        <v>45047</v>
      </c>
      <c r="B45" vm="11688">
        <f ca="1"/>
        <v>203.93</v>
      </c>
      <c r="C45" vm="578">
        <f ca="1"/>
        <v>177.25</v>
      </c>
      <c r="D45" vm="11689">
        <f ca="1"/>
        <v>123.37</v>
      </c>
      <c r="E45" vm="11690">
        <f ca="1"/>
        <v>328.39</v>
      </c>
      <c r="F45" vm="11691">
        <f ca="1"/>
        <v>120.58</v>
      </c>
      <c r="G45" vm="11692">
        <f ca="1"/>
        <v>122.87</v>
      </c>
      <c r="H45" vm="11693">
        <f ca="1"/>
        <v>264.72000000000003</v>
      </c>
      <c r="I45" vm="11694">
        <f ca="1"/>
        <v>321.08</v>
      </c>
      <c r="J45" vm="11695">
        <f ca="1"/>
        <v>37.834000000000003</v>
      </c>
      <c r="K45" vm="11696">
        <f ca="1"/>
        <v>155.06</v>
      </c>
      <c r="L45" vm="11697">
        <f ca="1"/>
        <v>221.03</v>
      </c>
      <c r="M45" vm="2609">
        <f ca="1"/>
        <v>142.5</v>
      </c>
      <c r="N45" vm="11698">
        <f ca="1"/>
        <v>487.24</v>
      </c>
      <c r="O45" vm="11699">
        <f ca="1"/>
        <v>283.45</v>
      </c>
      <c r="P45" vm="11700">
        <f ca="1"/>
        <v>365.02</v>
      </c>
      <c r="Q45" vm="11701">
        <f ca="1"/>
        <v>38.020000000000003</v>
      </c>
      <c r="R45" vm="11702">
        <f ca="1"/>
        <v>59.66</v>
      </c>
      <c r="S45" vm="5784">
        <f ca="1"/>
        <v>87.96</v>
      </c>
      <c r="T45" vm="11703">
        <f ca="1"/>
        <v>395.23</v>
      </c>
      <c r="U45" vm="11704">
        <f ca="1"/>
        <v>31.44</v>
      </c>
      <c r="V45" vm="2887">
        <f ca="1"/>
        <v>49.67</v>
      </c>
      <c r="W45" vm="9069">
        <f ca="1"/>
        <v>102.18</v>
      </c>
      <c r="X45" vm="2764">
        <f ca="1"/>
        <v>150.62</v>
      </c>
      <c r="Y45" vm="11705">
        <f ca="1"/>
        <v>48.956200000000003</v>
      </c>
      <c r="Z45" vm="11706">
        <f ca="1"/>
        <v>15.73</v>
      </c>
      <c r="AA45" vm="1961">
        <f ca="1"/>
        <v>35.630000000000003</v>
      </c>
      <c r="AB45" vm="5861">
        <f ca="1"/>
        <v>105.26</v>
      </c>
      <c r="AC45" vm="11707">
        <f ca="1"/>
        <v>285.11</v>
      </c>
      <c r="AD45" vm="11708">
        <f ca="1"/>
        <v>97.64</v>
      </c>
      <c r="AE45" vm="11709">
        <f ca="1"/>
        <v>205.7</v>
      </c>
      <c r="AF45" vm="11710">
        <f ca="1"/>
        <v>128.59</v>
      </c>
      <c r="AG45" vm="6642">
        <f ca="1"/>
        <v>105.94</v>
      </c>
      <c r="AH45" vm="11711">
        <f ca="1"/>
        <v>223.38</v>
      </c>
      <c r="AI45" vm="5708">
        <f ca="1"/>
        <v>417.79</v>
      </c>
      <c r="AJ45" vm="11712">
        <f ca="1"/>
        <v>118.21</v>
      </c>
      <c r="AK45" vm="8261">
        <f ca="1"/>
        <v>61.99</v>
      </c>
      <c r="AL45" vm="8218">
        <f ca="1"/>
        <v>60.39</v>
      </c>
      <c r="AM45" vm="11713">
        <f ca="1"/>
        <v>124.55</v>
      </c>
      <c r="AN45" vm="11714">
        <f ca="1"/>
        <v>44.32</v>
      </c>
      <c r="AO45" vm="11715">
        <f ca="1"/>
        <v>27.79</v>
      </c>
      <c r="AP45" vm="11716">
        <f ca="1"/>
        <v>135.71</v>
      </c>
      <c r="AQ45" vm="11717">
        <f ca="1"/>
        <v>323.89999999999998</v>
      </c>
      <c r="AR45" vm="11718">
        <f ca="1"/>
        <v>81.760000000000005</v>
      </c>
      <c r="AS45" vm="11719">
        <f ca="1"/>
        <v>39.81</v>
      </c>
      <c r="AT45" vm="11720">
        <f ca="1"/>
        <v>29.9</v>
      </c>
      <c r="AU45" vm="11721">
        <f ca="1"/>
        <v>130.93</v>
      </c>
      <c r="AV45" vm="11722">
        <f ca="1"/>
        <v>511.56</v>
      </c>
      <c r="AW45" vm="11723">
        <f ca="1"/>
        <v>201.13</v>
      </c>
    </row>
    <row r="46" spans="1:49">
      <c r="A46" vm="11724">
        <f ca="1"/>
        <v>45078</v>
      </c>
      <c r="B46" vm="11725">
        <f ca="1"/>
        <v>261.77</v>
      </c>
      <c r="C46" vm="10883">
        <f ca="1"/>
        <v>193.97</v>
      </c>
      <c r="D46" vm="11726">
        <f ca="1"/>
        <v>120.97</v>
      </c>
      <c r="E46" vm="11727">
        <f ca="1"/>
        <v>340.54</v>
      </c>
      <c r="F46" vm="11728">
        <f ca="1"/>
        <v>130.36000000000001</v>
      </c>
      <c r="G46" vm="11729">
        <f ca="1"/>
        <v>119.7</v>
      </c>
      <c r="H46" vm="11730">
        <f ca="1"/>
        <v>286.98</v>
      </c>
      <c r="I46" vm="11731">
        <f ca="1"/>
        <v>341</v>
      </c>
      <c r="J46" vm="11732">
        <f ca="1"/>
        <v>42.302</v>
      </c>
      <c r="K46" vm="657">
        <f ca="1"/>
        <v>165.52</v>
      </c>
      <c r="L46" vm="11733">
        <f ca="1"/>
        <v>237.48</v>
      </c>
      <c r="M46" vm="637">
        <f ca="1"/>
        <v>151.74</v>
      </c>
      <c r="N46" vm="11734">
        <f ca="1"/>
        <v>480.64</v>
      </c>
      <c r="O46" vm="11735">
        <f ca="1"/>
        <v>310.64</v>
      </c>
      <c r="P46" vm="11736">
        <f ca="1"/>
        <v>393.3</v>
      </c>
      <c r="Q46" vm="11737">
        <f ca="1"/>
        <v>36.68</v>
      </c>
      <c r="R46" vm="11738">
        <f ca="1"/>
        <v>60.22</v>
      </c>
      <c r="S46" vm="11739">
        <f ca="1"/>
        <v>89.28</v>
      </c>
      <c r="T46" vm="11740">
        <f ca="1"/>
        <v>440.49</v>
      </c>
      <c r="U46" vm="11741">
        <f ca="1"/>
        <v>33.44</v>
      </c>
      <c r="V46" vm="11742">
        <f ca="1"/>
        <v>51.74</v>
      </c>
      <c r="W46" vm="11743">
        <f ca="1"/>
        <v>107.25</v>
      </c>
      <c r="X46" vm="11744">
        <f ca="1"/>
        <v>157.35</v>
      </c>
      <c r="Y46" vm="11745">
        <f ca="1"/>
        <v>52.392800000000001</v>
      </c>
      <c r="Z46" vm="11746">
        <f ca="1"/>
        <v>15.95</v>
      </c>
      <c r="AA46" vm="11747">
        <f ca="1"/>
        <v>37.19</v>
      </c>
      <c r="AB46" vm="11748">
        <f ca="1"/>
        <v>110.37</v>
      </c>
      <c r="AC46" vm="5022">
        <f ca="1"/>
        <v>298.41000000000003</v>
      </c>
      <c r="AD46" vm="11749">
        <f ca="1"/>
        <v>99.06</v>
      </c>
      <c r="AE46" vm="11750">
        <f ca="1"/>
        <v>211.16</v>
      </c>
      <c r="AF46" vm="11751">
        <f ca="1"/>
        <v>133.81</v>
      </c>
      <c r="AG46" vm="11752">
        <f ca="1"/>
        <v>119.09</v>
      </c>
      <c r="AH46" vm="11753">
        <f ca="1"/>
        <v>211.26</v>
      </c>
      <c r="AI46" vm="11754">
        <f ca="1"/>
        <v>488.99</v>
      </c>
      <c r="AJ46" vm="11755">
        <f ca="1"/>
        <v>113.91</v>
      </c>
      <c r="AK46" vm="9975">
        <f ca="1"/>
        <v>66.73</v>
      </c>
      <c r="AL46" vm="6881">
        <f ca="1"/>
        <v>66.569999999999993</v>
      </c>
      <c r="AM46" vm="6733">
        <f ca="1"/>
        <v>122.63</v>
      </c>
      <c r="AN46" vm="11756">
        <f ca="1"/>
        <v>46.04</v>
      </c>
      <c r="AO46" vm="7107">
        <f ca="1"/>
        <v>28.69</v>
      </c>
      <c r="AP46" vm="11757">
        <f ca="1"/>
        <v>145.44</v>
      </c>
      <c r="AQ46" vm="11758">
        <f ca="1"/>
        <v>322.54000000000002</v>
      </c>
      <c r="AR46" vm="11759">
        <f ca="1"/>
        <v>85.4</v>
      </c>
      <c r="AS46" vm="11760">
        <f ca="1"/>
        <v>42.68</v>
      </c>
      <c r="AT46" vm="1942">
        <f ca="1"/>
        <v>33.04</v>
      </c>
      <c r="AU46" vm="11761">
        <f ca="1"/>
        <v>131.9</v>
      </c>
      <c r="AV46" vm="11762">
        <f ca="1"/>
        <v>538.38</v>
      </c>
      <c r="AW46" vm="11763">
        <f ca="1"/>
        <v>225.7</v>
      </c>
    </row>
    <row r="47" spans="1:49">
      <c r="A47" vm="11764">
        <f ca="1"/>
        <v>45108</v>
      </c>
      <c r="B47" vm="11765">
        <f ca="1"/>
        <v>267.43</v>
      </c>
      <c r="C47" vm="11766">
        <f ca="1"/>
        <v>196.45</v>
      </c>
      <c r="D47" vm="11767">
        <f ca="1"/>
        <v>133.11000000000001</v>
      </c>
      <c r="E47" vm="11768">
        <f ca="1"/>
        <v>335.92</v>
      </c>
      <c r="F47" vm="11769">
        <f ca="1"/>
        <v>133.68</v>
      </c>
      <c r="G47" vm="11770">
        <f ca="1"/>
        <v>132.72</v>
      </c>
      <c r="H47" vm="11475">
        <f ca="1"/>
        <v>318.60000000000002</v>
      </c>
      <c r="I47" vm="11771">
        <f ca="1"/>
        <v>351.96</v>
      </c>
      <c r="J47" vm="11772">
        <f ca="1"/>
        <v>46.728999999999999</v>
      </c>
      <c r="K47" vm="11773">
        <f ca="1"/>
        <v>167.53</v>
      </c>
      <c r="L47" vm="11774">
        <f ca="1"/>
        <v>237.73</v>
      </c>
      <c r="M47" vm="8165">
        <f ca="1"/>
        <v>156.30000000000001</v>
      </c>
      <c r="N47" vm="11775">
        <f ca="1"/>
        <v>506.37</v>
      </c>
      <c r="O47" vm="11776">
        <f ca="1"/>
        <v>333.84</v>
      </c>
      <c r="P47" vm="11777">
        <f ca="1"/>
        <v>394.28</v>
      </c>
      <c r="Q47" vm="11778">
        <f ca="1"/>
        <v>36.06</v>
      </c>
      <c r="R47" vm="3117">
        <f ca="1"/>
        <v>61.93</v>
      </c>
      <c r="S47" vm="11779">
        <f ca="1"/>
        <v>88.89</v>
      </c>
      <c r="T47" vm="11780">
        <f ca="1"/>
        <v>438.97</v>
      </c>
      <c r="U47" vm="1990">
        <f ca="1"/>
        <v>35.770000000000003</v>
      </c>
      <c r="V47" vm="10097">
        <f ca="1"/>
        <v>52.04</v>
      </c>
      <c r="W47" vm="11781">
        <f ca="1"/>
        <v>107.24</v>
      </c>
      <c r="X47" vm="11782">
        <f ca="1"/>
        <v>163.66</v>
      </c>
      <c r="Y47" vm="11783">
        <f ca="1"/>
        <v>53.286099999999998</v>
      </c>
      <c r="Z47" vm="11784">
        <f ca="1"/>
        <v>14.52</v>
      </c>
      <c r="AA47" vm="11785">
        <f ca="1"/>
        <v>34.08</v>
      </c>
      <c r="AB47" vm="11786">
        <f ca="1"/>
        <v>110.39</v>
      </c>
      <c r="AC47" vm="10484">
        <f ca="1"/>
        <v>293.2</v>
      </c>
      <c r="AD47" vm="7840">
        <f ca="1"/>
        <v>101.57</v>
      </c>
      <c r="AE47" vm="11787">
        <f ca="1"/>
        <v>238.85</v>
      </c>
      <c r="AF47" vm="11788">
        <f ca="1"/>
        <v>144.18</v>
      </c>
      <c r="AG47" vm="11789">
        <f ca="1"/>
        <v>117.23</v>
      </c>
      <c r="AH47" vm="1611">
        <f ca="1"/>
        <v>225.01</v>
      </c>
      <c r="AI47" vm="11790">
        <f ca="1"/>
        <v>546.16999999999996</v>
      </c>
      <c r="AJ47" vm="11791">
        <f ca="1"/>
        <v>114.4</v>
      </c>
      <c r="AK47" vm="11792">
        <f ca="1"/>
        <v>75.819999999999993</v>
      </c>
      <c r="AL47" vm="11793">
        <f ca="1"/>
        <v>80.53</v>
      </c>
      <c r="AM47" vm="11794">
        <f ca="1"/>
        <v>124.75</v>
      </c>
      <c r="AN47" vm="11795">
        <f ca="1"/>
        <v>47.66</v>
      </c>
      <c r="AO47" vm="11796">
        <f ca="1"/>
        <v>32</v>
      </c>
      <c r="AP47" vm="4174">
        <f ca="1"/>
        <v>157.96</v>
      </c>
      <c r="AQ47" vm="11797">
        <f ca="1"/>
        <v>355.87</v>
      </c>
      <c r="AR47" vm="7787">
        <f ca="1"/>
        <v>91.56</v>
      </c>
      <c r="AS47" vm="3696">
        <f ca="1"/>
        <v>46.16</v>
      </c>
      <c r="AT47" vm="2021">
        <f ca="1"/>
        <v>39.68</v>
      </c>
      <c r="AU47" vm="11798">
        <f ca="1"/>
        <v>136.47</v>
      </c>
      <c r="AV47" vm="11799">
        <f ca="1"/>
        <v>560.66999999999996</v>
      </c>
      <c r="AW47" vm="11800">
        <f ca="1"/>
        <v>234.27</v>
      </c>
    </row>
    <row r="48" spans="1:49">
      <c r="A48" vm="11801">
        <f ca="1"/>
        <v>45139</v>
      </c>
      <c r="B48" vm="11802">
        <f ca="1"/>
        <v>258.08</v>
      </c>
      <c r="C48" vm="3928">
        <f ca="1"/>
        <v>187.87</v>
      </c>
      <c r="D48" vm="11803">
        <f ca="1"/>
        <v>137.35</v>
      </c>
      <c r="E48" vm="11804">
        <f ca="1"/>
        <v>327.76</v>
      </c>
      <c r="F48" vm="11805">
        <f ca="1"/>
        <v>138.01</v>
      </c>
      <c r="G48" vm="11806">
        <f ca="1"/>
        <v>136.16999999999999</v>
      </c>
      <c r="H48" vm="11807">
        <f ca="1"/>
        <v>295.89</v>
      </c>
      <c r="I48" vm="11808">
        <f ca="1"/>
        <v>360.2</v>
      </c>
      <c r="J48" vm="11809">
        <f ca="1"/>
        <v>49.354999999999997</v>
      </c>
      <c r="K48" vm="4139">
        <f ca="1"/>
        <v>161.68</v>
      </c>
      <c r="L48" vm="11810">
        <f ca="1"/>
        <v>245.68</v>
      </c>
      <c r="M48" vm="11811">
        <f ca="1"/>
        <v>154.34</v>
      </c>
      <c r="N48" vm="11812">
        <f ca="1"/>
        <v>476.58</v>
      </c>
      <c r="O48" vm="11813">
        <f ca="1"/>
        <v>330.3</v>
      </c>
      <c r="P48" vm="11814">
        <f ca="1"/>
        <v>412.64</v>
      </c>
      <c r="Q48" vm="11815">
        <f ca="1"/>
        <v>35.380000000000003</v>
      </c>
      <c r="R48" vm="8219">
        <f ca="1"/>
        <v>59.83</v>
      </c>
      <c r="S48" vm="10055">
        <f ca="1"/>
        <v>83.68</v>
      </c>
      <c r="T48" vm="11816">
        <f ca="1"/>
        <v>433.68</v>
      </c>
      <c r="U48" vm="11817">
        <f ca="1"/>
        <v>35.14</v>
      </c>
      <c r="V48" vm="10119">
        <f ca="1"/>
        <v>57.35</v>
      </c>
      <c r="W48" vm="11818">
        <f ca="1"/>
        <v>111.19</v>
      </c>
      <c r="X48" vm="880">
        <f ca="1"/>
        <v>161.1</v>
      </c>
      <c r="Y48" vm="11819">
        <f ca="1"/>
        <v>54.202800000000003</v>
      </c>
      <c r="Z48" vm="11820">
        <f ca="1"/>
        <v>14.79</v>
      </c>
      <c r="AA48" vm="11821">
        <f ca="1"/>
        <v>34.979999999999997</v>
      </c>
      <c r="AB48" vm="11822">
        <f ca="1"/>
        <v>101.71</v>
      </c>
      <c r="AC48" vm="7447">
        <f ca="1"/>
        <v>281.14999999999998</v>
      </c>
      <c r="AD48" vm="5845">
        <f ca="1"/>
        <v>97.44</v>
      </c>
      <c r="AE48" vm="11823">
        <f ca="1"/>
        <v>224.03</v>
      </c>
      <c r="AF48" vm="2738">
        <f ca="1"/>
        <v>146.83000000000001</v>
      </c>
      <c r="AG48" vm="7385">
        <f ca="1"/>
        <v>120.39</v>
      </c>
      <c r="AH48" vm="11824">
        <f ca="1"/>
        <v>221.46</v>
      </c>
      <c r="AI48" vm="11825">
        <f ca="1"/>
        <v>559.34</v>
      </c>
      <c r="AJ48" vm="11826">
        <f ca="1"/>
        <v>105.72</v>
      </c>
      <c r="AK48" vm="6910">
        <f ca="1"/>
        <v>62.51</v>
      </c>
      <c r="AL48" vm="11827">
        <f ca="1"/>
        <v>57.65</v>
      </c>
      <c r="AM48" vm="11828">
        <f ca="1"/>
        <v>124.2</v>
      </c>
      <c r="AN48" vm="9220">
        <f ca="1"/>
        <v>41.29</v>
      </c>
      <c r="AO48" vm="7169">
        <f ca="1"/>
        <v>28.67</v>
      </c>
      <c r="AP48" vm="7878">
        <f ca="1"/>
        <v>146.33000000000001</v>
      </c>
      <c r="AQ48" vm="11829">
        <f ca="1"/>
        <v>327.71</v>
      </c>
      <c r="AR48" vm="11830">
        <f ca="1"/>
        <v>85.15</v>
      </c>
      <c r="AS48" vm="9220">
        <f ca="1"/>
        <v>41.29</v>
      </c>
      <c r="AT48" vm="11831">
        <f ca="1"/>
        <v>36.53</v>
      </c>
      <c r="AU48" vm="8009">
        <f ca="1"/>
        <v>126.55</v>
      </c>
      <c r="AV48" vm="11832">
        <f ca="1"/>
        <v>549.28</v>
      </c>
      <c r="AW48" vm="7531">
        <f ca="1"/>
        <v>230.48</v>
      </c>
    </row>
    <row r="49" spans="1:49">
      <c r="A49" vm="11833">
        <f ca="1"/>
        <v>45170</v>
      </c>
      <c r="B49" vm="11834">
        <f ca="1"/>
        <v>250.22</v>
      </c>
      <c r="C49" vm="11835">
        <f ca="1"/>
        <v>171.21</v>
      </c>
      <c r="D49" vm="11836">
        <f ca="1"/>
        <v>131.85</v>
      </c>
      <c r="E49" vm="11837">
        <f ca="1"/>
        <v>315.75</v>
      </c>
      <c r="F49" vm="11838">
        <f ca="1"/>
        <v>127.12</v>
      </c>
      <c r="G49" vm="11839">
        <f ca="1"/>
        <v>130.86000000000001</v>
      </c>
      <c r="H49" vm="11840">
        <f ca="1"/>
        <v>300.20999999999998</v>
      </c>
      <c r="I49" vm="11841">
        <f ca="1"/>
        <v>350.3</v>
      </c>
      <c r="J49" vm="11842">
        <f ca="1"/>
        <v>43.499000000000002</v>
      </c>
      <c r="K49" vm="4171">
        <f ca="1"/>
        <v>155.75</v>
      </c>
      <c r="L49" vm="4595">
        <f ca="1"/>
        <v>230.01</v>
      </c>
      <c r="M49" vm="10886">
        <f ca="1"/>
        <v>145.86000000000001</v>
      </c>
      <c r="N49" vm="11843">
        <f ca="1"/>
        <v>504.19</v>
      </c>
      <c r="O49" vm="11844">
        <f ca="1"/>
        <v>302.16000000000003</v>
      </c>
      <c r="P49" vm="11845">
        <f ca="1"/>
        <v>395.91</v>
      </c>
      <c r="Q49" vm="11846">
        <f ca="1"/>
        <v>33.17</v>
      </c>
      <c r="R49" vm="11847">
        <f ca="1"/>
        <v>55.98</v>
      </c>
      <c r="S49" vm="11848">
        <f ca="1"/>
        <v>81.05</v>
      </c>
      <c r="T49" vm="11849">
        <f ca="1"/>
        <v>377.6</v>
      </c>
      <c r="U49" vm="11850">
        <f ca="1"/>
        <v>35.549999999999997</v>
      </c>
      <c r="V49" vm="11851">
        <f ca="1"/>
        <v>53.76</v>
      </c>
      <c r="W49" vm="11852">
        <f ca="1"/>
        <v>117.58</v>
      </c>
      <c r="X49" vm="11853">
        <f ca="1"/>
        <v>168.62</v>
      </c>
      <c r="Y49" vm="11854">
        <f ca="1"/>
        <v>53.3095</v>
      </c>
      <c r="Z49" vm="11855">
        <f ca="1"/>
        <v>15.02</v>
      </c>
      <c r="AA49" vm="11856">
        <f ca="1"/>
        <v>32.409999999999997</v>
      </c>
      <c r="AB49" vm="7681">
        <f ca="1"/>
        <v>95.62</v>
      </c>
      <c r="AC49" vm="11857">
        <f ca="1"/>
        <v>263.44</v>
      </c>
      <c r="AD49" vm="8972">
        <f ca="1"/>
        <v>91.27</v>
      </c>
      <c r="AE49" vm="11858">
        <f ca="1"/>
        <v>191.68</v>
      </c>
      <c r="AF49" vm="2747">
        <f ca="1"/>
        <v>140.30000000000001</v>
      </c>
      <c r="AG49" vm="11859">
        <f ca="1"/>
        <v>105.92</v>
      </c>
      <c r="AH49" vm="11860">
        <f ca="1"/>
        <v>202.78</v>
      </c>
      <c r="AI49" vm="11861">
        <f ca="1"/>
        <v>509.9</v>
      </c>
      <c r="AJ49" vm="11862">
        <f ca="1"/>
        <v>102.82</v>
      </c>
      <c r="AK49" vm="11863">
        <f ca="1"/>
        <v>58.46</v>
      </c>
      <c r="AL49" vm="9282">
        <f ca="1"/>
        <v>44.26</v>
      </c>
      <c r="AM49" vm="11864">
        <f ca="1"/>
        <v>112.21</v>
      </c>
      <c r="AN49" vm="11865">
        <f ca="1"/>
        <v>41.13</v>
      </c>
      <c r="AO49" vm="11866">
        <f ca="1"/>
        <v>27.38</v>
      </c>
      <c r="AP49" vm="2734">
        <f ca="1"/>
        <v>145.02000000000001</v>
      </c>
      <c r="AQ49" vm="11011">
        <f ca="1"/>
        <v>323.57</v>
      </c>
      <c r="AR49" vm="11867">
        <f ca="1"/>
        <v>81.67</v>
      </c>
      <c r="AS49" vm="11868">
        <f ca="1"/>
        <v>40.86</v>
      </c>
      <c r="AT49" vm="11869">
        <f ca="1"/>
        <v>33.06</v>
      </c>
      <c r="AU49" vm="11870">
        <f ca="1"/>
        <v>110.57</v>
      </c>
      <c r="AV49" vm="11871">
        <f ca="1"/>
        <v>564.96</v>
      </c>
      <c r="AW49" vm="10685">
        <f ca="1"/>
        <v>207.84</v>
      </c>
    </row>
    <row r="50" spans="1:49">
      <c r="A50" vm="11872">
        <f ca="1"/>
        <v>45200</v>
      </c>
      <c r="B50" vm="11873">
        <f ca="1"/>
        <v>200.84</v>
      </c>
      <c r="C50" vm="11874">
        <f ca="1"/>
        <v>170.77</v>
      </c>
      <c r="D50" vm="11875">
        <f ca="1"/>
        <v>125.3</v>
      </c>
      <c r="E50" vm="11876">
        <f ca="1"/>
        <v>338.11</v>
      </c>
      <c r="F50" vm="11877">
        <f ca="1"/>
        <v>133.09</v>
      </c>
      <c r="G50" vm="3661">
        <f ca="1"/>
        <v>124.08</v>
      </c>
      <c r="H50" vm="11878">
        <f ca="1"/>
        <v>301.27</v>
      </c>
      <c r="I50" vm="11879">
        <f ca="1"/>
        <v>341.33</v>
      </c>
      <c r="J50" vm="9624">
        <f ca="1"/>
        <v>40.78</v>
      </c>
      <c r="K50" vm="11880">
        <f ca="1"/>
        <v>148.34</v>
      </c>
      <c r="L50" vm="11881">
        <f ca="1"/>
        <v>235.1</v>
      </c>
      <c r="M50" vm="11882">
        <f ca="1"/>
        <v>150.03</v>
      </c>
      <c r="N50" vm="11883">
        <f ca="1"/>
        <v>535.55999999999995</v>
      </c>
      <c r="O50" vm="11884">
        <f ca="1"/>
        <v>284.69</v>
      </c>
      <c r="P50" vm="11885">
        <f ca="1"/>
        <v>376.35</v>
      </c>
      <c r="Q50" vm="11886">
        <f ca="1"/>
        <v>30.56</v>
      </c>
      <c r="R50" vm="10186">
        <f ca="1"/>
        <v>56.49</v>
      </c>
      <c r="S50" vm="11887">
        <f ca="1"/>
        <v>81.59</v>
      </c>
      <c r="T50" vm="11888">
        <f ca="1"/>
        <v>411.69</v>
      </c>
      <c r="U50" vm="10353">
        <f ca="1"/>
        <v>36.5</v>
      </c>
      <c r="V50" vm="11889">
        <f ca="1"/>
        <v>52.13</v>
      </c>
      <c r="W50" vm="11890">
        <f ca="1"/>
        <v>105.85</v>
      </c>
      <c r="X50" vm="2740">
        <f ca="1"/>
        <v>145.72999999999999</v>
      </c>
      <c r="Y50" vm="11891">
        <f ca="1"/>
        <v>54.469499999999996</v>
      </c>
      <c r="Z50" vm="11892">
        <f ca="1"/>
        <v>15.4</v>
      </c>
      <c r="AA50" vm="11893">
        <f ca="1"/>
        <v>35.130000000000003</v>
      </c>
      <c r="AB50" vm="9049">
        <f ca="1"/>
        <v>102.77</v>
      </c>
      <c r="AC50" vm="11894">
        <f ca="1"/>
        <v>262.17</v>
      </c>
      <c r="AD50" vm="11895">
        <f ca="1"/>
        <v>92.24</v>
      </c>
      <c r="AE50" vm="11896">
        <f ca="1"/>
        <v>186.82</v>
      </c>
      <c r="AF50" vm="6741">
        <f ca="1"/>
        <v>144.63999999999999</v>
      </c>
      <c r="AG50" vm="11897">
        <f ca="1"/>
        <v>103.4</v>
      </c>
      <c r="AH50" vm="8060">
        <f ca="1"/>
        <v>200.83</v>
      </c>
      <c r="AI50" vm="11898">
        <f ca="1"/>
        <v>532.05999999999995</v>
      </c>
      <c r="AJ50" vm="11899">
        <f ca="1"/>
        <v>98.5</v>
      </c>
      <c r="AK50" vm="11900">
        <f ca="1"/>
        <v>51.8</v>
      </c>
      <c r="AL50" vm="9599">
        <f ca="1"/>
        <v>40.25</v>
      </c>
      <c r="AM50" vm="11901">
        <f ca="1"/>
        <v>100.75</v>
      </c>
      <c r="AN50" vm="2030">
        <f ca="1"/>
        <v>39.49</v>
      </c>
      <c r="AO50" vm="7082">
        <f ca="1"/>
        <v>26.34</v>
      </c>
      <c r="AP50" vm="11902">
        <f ca="1"/>
        <v>139.06</v>
      </c>
      <c r="AQ50" vm="11903">
        <f ca="1"/>
        <v>303.61</v>
      </c>
      <c r="AR50" vm="9994">
        <f ca="1"/>
        <v>70.819999999999993</v>
      </c>
      <c r="AS50" vm="2035">
        <f ca="1"/>
        <v>39.770000000000003</v>
      </c>
      <c r="AT50" vm="3770">
        <f ca="1"/>
        <v>31.88</v>
      </c>
      <c r="AU50" vm="7295">
        <f ca="1"/>
        <v>110.79</v>
      </c>
      <c r="AV50" vm="11904">
        <f ca="1"/>
        <v>552.44000000000005</v>
      </c>
      <c r="AW50" vm="11905">
        <f ca="1"/>
        <v>190.57</v>
      </c>
    </row>
    <row r="51" spans="1:49">
      <c r="A51" vm="11906">
        <f ca="1"/>
        <v>45231</v>
      </c>
      <c r="B51" vm="11907">
        <f ca="1"/>
        <v>240.08</v>
      </c>
      <c r="C51" vm="11908">
        <f ca="1"/>
        <v>189.95</v>
      </c>
      <c r="D51" vm="11909">
        <f ca="1"/>
        <v>133.91999999999999</v>
      </c>
      <c r="E51" vm="11910">
        <f ca="1"/>
        <v>378.91</v>
      </c>
      <c r="F51" vm="11911">
        <f ca="1"/>
        <v>146.09</v>
      </c>
      <c r="G51" vm="11912">
        <f ca="1"/>
        <v>132.53</v>
      </c>
      <c r="H51" vm="11913">
        <f ca="1"/>
        <v>327.14999999999998</v>
      </c>
      <c r="I51" vm="11914">
        <f ca="1"/>
        <v>360</v>
      </c>
      <c r="J51" vm="11615">
        <f ca="1"/>
        <v>46.77</v>
      </c>
      <c r="K51" vm="2649">
        <f ca="1"/>
        <v>154.66</v>
      </c>
      <c r="L51" vm="11915">
        <f ca="1"/>
        <v>256.68</v>
      </c>
      <c r="M51" vm="11916">
        <f ca="1"/>
        <v>153.52000000000001</v>
      </c>
      <c r="N51" vm="11917">
        <f ca="1"/>
        <v>552.97</v>
      </c>
      <c r="O51" vm="11918">
        <f ca="1"/>
        <v>313.49</v>
      </c>
      <c r="P51" vm="11919">
        <f ca="1"/>
        <v>413.83</v>
      </c>
      <c r="Q51" vm="3772">
        <f ca="1"/>
        <v>30.47</v>
      </c>
      <c r="R51" vm="11920">
        <f ca="1"/>
        <v>58.44</v>
      </c>
      <c r="S51" vm="11921">
        <f ca="1"/>
        <v>92.69</v>
      </c>
      <c r="T51" vm="11922">
        <f ca="1"/>
        <v>473.97</v>
      </c>
      <c r="U51" vm="9204">
        <f ca="1"/>
        <v>44.7</v>
      </c>
      <c r="V51" vm="11923">
        <f ca="1"/>
        <v>48.38</v>
      </c>
      <c r="W51" vm="6220">
        <f ca="1"/>
        <v>102.74</v>
      </c>
      <c r="X51" vm="11924">
        <f ca="1"/>
        <v>143.6</v>
      </c>
      <c r="Y51" vm="11925">
        <f ca="1"/>
        <v>51.896099999999997</v>
      </c>
      <c r="Z51" vm="1716">
        <f ca="1"/>
        <v>16.57</v>
      </c>
      <c r="AA51" vm="3759">
        <f ca="1"/>
        <v>38.33</v>
      </c>
      <c r="AB51" vm="11926">
        <f ca="1"/>
        <v>110.27</v>
      </c>
      <c r="AC51" vm="11927">
        <f ca="1"/>
        <v>281.83999999999997</v>
      </c>
      <c r="AD51" vm="5904">
        <f ca="1"/>
        <v>99.3</v>
      </c>
      <c r="AE51" vm="11928">
        <f ca="1"/>
        <v>231.63</v>
      </c>
      <c r="AF51" vm="4237">
        <f ca="1"/>
        <v>158.56</v>
      </c>
      <c r="AG51" vm="11929">
        <f ca="1"/>
        <v>116.21</v>
      </c>
      <c r="AH51" vm="11930">
        <f ca="1"/>
        <v>251.9</v>
      </c>
      <c r="AI51" vm="11931">
        <f ca="1"/>
        <v>611.01</v>
      </c>
      <c r="AJ51" vm="11932">
        <f ca="1"/>
        <v>121.16</v>
      </c>
      <c r="AK51" vm="3071">
        <f ca="1"/>
        <v>57.61</v>
      </c>
      <c r="AL51" vm="3135">
        <f ca="1"/>
        <v>63.43</v>
      </c>
      <c r="AM51" vm="11933">
        <f ca="1"/>
        <v>114.93</v>
      </c>
      <c r="AN51" vm="11934">
        <f ca="1"/>
        <v>46.1</v>
      </c>
      <c r="AO51" vm="11935">
        <f ca="1"/>
        <v>30.49</v>
      </c>
      <c r="AP51" vm="2700">
        <f ca="1"/>
        <v>156.08000000000001</v>
      </c>
      <c r="AQ51" vm="11936">
        <f ca="1"/>
        <v>341.54</v>
      </c>
      <c r="AR51" vm="11937">
        <f ca="1"/>
        <v>79.34</v>
      </c>
      <c r="AS51" vm="11938">
        <f ca="1"/>
        <v>44.59</v>
      </c>
      <c r="AT51" vm="11939">
        <f ca="1"/>
        <v>38.119999999999997</v>
      </c>
      <c r="AU51" vm="11751">
        <f ca="1"/>
        <v>133.81</v>
      </c>
      <c r="AV51" vm="11940">
        <f ca="1"/>
        <v>592.74</v>
      </c>
      <c r="AW51" vm="11941">
        <f ca="1"/>
        <v>198.83</v>
      </c>
    </row>
    <row r="52" spans="1:49">
      <c r="A52" vm="11942">
        <f ca="1"/>
        <v>45261</v>
      </c>
      <c r="B52" vm="10367">
        <f ca="1"/>
        <v>248.48</v>
      </c>
      <c r="C52" vm="600">
        <f ca="1"/>
        <v>192.53</v>
      </c>
      <c r="D52" vm="806">
        <f ca="1"/>
        <v>140.93</v>
      </c>
      <c r="E52" vm="5496">
        <f ca="1"/>
        <v>376.04</v>
      </c>
      <c r="F52" vm="864">
        <f ca="1"/>
        <v>151.94</v>
      </c>
      <c r="G52" vm="1041">
        <f ca="1"/>
        <v>139.69</v>
      </c>
      <c r="H52" vm="5253">
        <f ca="1"/>
        <v>353.96</v>
      </c>
      <c r="I52" vm="2142">
        <f ca="1"/>
        <v>356.66</v>
      </c>
      <c r="J52" vm="6423">
        <f ca="1"/>
        <v>49.521999999999998</v>
      </c>
      <c r="K52" vm="737">
        <f ca="1"/>
        <v>156.74</v>
      </c>
      <c r="L52" vm="8027">
        <f ca="1"/>
        <v>260.35000000000002</v>
      </c>
      <c r="M52" vm="8826">
        <f ca="1"/>
        <v>146.54</v>
      </c>
      <c r="N52" vm="9323">
        <f ca="1"/>
        <v>526.47</v>
      </c>
      <c r="O52" vm="8592">
        <f ca="1"/>
        <v>346.55</v>
      </c>
      <c r="P52" vm="4762">
        <f ca="1"/>
        <v>426.51</v>
      </c>
      <c r="Q52" vm="7024">
        <f ca="1"/>
        <v>28.79</v>
      </c>
      <c r="R52" vm="8211">
        <f ca="1"/>
        <v>58.93</v>
      </c>
      <c r="S52" vm="8977">
        <f ca="1"/>
        <v>90.29</v>
      </c>
      <c r="T52" vm="5968">
        <f ca="1"/>
        <v>486.88</v>
      </c>
      <c r="U52" vm="3701">
        <f ca="1"/>
        <v>50.25</v>
      </c>
      <c r="V52" vm="2811">
        <f ca="1"/>
        <v>50.52</v>
      </c>
      <c r="W52" vm="3476">
        <f ca="1"/>
        <v>99.98</v>
      </c>
      <c r="X52" vm="2619">
        <f ca="1"/>
        <v>149.16</v>
      </c>
      <c r="Y52" vm="9900">
        <f ca="1"/>
        <v>52.549500000000002</v>
      </c>
      <c r="Z52" vm="1719">
        <f ca="1"/>
        <v>16.78</v>
      </c>
      <c r="AA52" vm="9553">
        <f ca="1"/>
        <v>37.700000000000003</v>
      </c>
      <c r="AB52" vm="6215">
        <f ca="1"/>
        <v>108.57</v>
      </c>
      <c r="AC52" vm="5009">
        <f ca="1"/>
        <v>296.51</v>
      </c>
      <c r="AD52" vm="7654">
        <f ca="1"/>
        <v>96.01</v>
      </c>
      <c r="AE52" vm="8028">
        <f ca="1"/>
        <v>260.66000000000003</v>
      </c>
      <c r="AF52" vm="664">
        <f ca="1"/>
        <v>163.55000000000001</v>
      </c>
      <c r="AG52" vm="6643">
        <f ca="1"/>
        <v>105.43</v>
      </c>
      <c r="AH52" vm="7419">
        <f ca="1"/>
        <v>263.14</v>
      </c>
      <c r="AI52" vm="311">
        <f ca="1"/>
        <v>596.6</v>
      </c>
      <c r="AJ52" vm="561">
        <f ca="1"/>
        <v>147.41</v>
      </c>
      <c r="AK52" vm="6845">
        <f ca="1"/>
        <v>61.41</v>
      </c>
      <c r="AL52" vm="2389">
        <f ca="1"/>
        <v>77.349999999999994</v>
      </c>
      <c r="AM52" vm="7214">
        <f ca="1"/>
        <v>133.30000000000001</v>
      </c>
      <c r="AN52" vm="2957">
        <f ca="1"/>
        <v>51.44</v>
      </c>
      <c r="AO52" vm="1920">
        <f ca="1"/>
        <v>33.67</v>
      </c>
      <c r="AP52" vm="1396">
        <f ca="1"/>
        <v>170.1</v>
      </c>
      <c r="AQ52" vm="8360">
        <f ca="1"/>
        <v>385.77</v>
      </c>
      <c r="AR52" vm="5735">
        <f ca="1"/>
        <v>93.25</v>
      </c>
      <c r="AS52" vm="10080">
        <f ca="1"/>
        <v>49.22</v>
      </c>
      <c r="AT52" vm="9156">
        <f ca="1"/>
        <v>43.28</v>
      </c>
      <c r="AU52" vm="7854">
        <f ca="1"/>
        <v>142.41999999999999</v>
      </c>
      <c r="AV52" vm="3226">
        <f ca="1"/>
        <v>660.08</v>
      </c>
      <c r="AW52" vm="4529">
        <f ca="1"/>
        <v>222.55</v>
      </c>
    </row>
    <row r="53" spans="1:49">
      <c r="A53" vm="11943">
        <f ca="1"/>
        <v>45292</v>
      </c>
      <c r="B53" vm="11944">
        <f ca="1"/>
        <v>187.29</v>
      </c>
      <c r="C53" vm="1505">
        <f ca="1"/>
        <v>184.4</v>
      </c>
      <c r="D53" vm="801">
        <f ca="1"/>
        <v>141.80000000000001</v>
      </c>
      <c r="E53" vm="5517">
        <f ca="1"/>
        <v>397.58</v>
      </c>
      <c r="F53" vm="1280">
        <f ca="1"/>
        <v>155.19999999999999</v>
      </c>
      <c r="G53" vm="844">
        <f ca="1"/>
        <v>140.1</v>
      </c>
      <c r="H53" vm="5274">
        <f ca="1"/>
        <v>390.14</v>
      </c>
      <c r="I53" vm="2163">
        <f ca="1"/>
        <v>383.74</v>
      </c>
      <c r="J53" vm="6443">
        <f ca="1"/>
        <v>61.527000000000001</v>
      </c>
      <c r="K53" vm="4145">
        <f ca="1"/>
        <v>158.9</v>
      </c>
      <c r="L53" vm="9698">
        <f ca="1"/>
        <v>273.26</v>
      </c>
      <c r="M53" vm="8839">
        <f ca="1"/>
        <v>157.13999999999999</v>
      </c>
      <c r="N53" vm="9343">
        <f ca="1"/>
        <v>511.74</v>
      </c>
      <c r="O53" vm="8612">
        <f ca="1"/>
        <v>352.96</v>
      </c>
      <c r="P53" vm="4783">
        <f ca="1"/>
        <v>449.23</v>
      </c>
      <c r="Q53" vm="7041">
        <f ca="1"/>
        <v>27.08</v>
      </c>
      <c r="R53" vm="6919">
        <f ca="1"/>
        <v>59.49</v>
      </c>
      <c r="S53" vm="7797">
        <f ca="1"/>
        <v>96.05</v>
      </c>
      <c r="T53" vm="5988">
        <f ca="1"/>
        <v>564.11</v>
      </c>
      <c r="U53" vm="3718">
        <f ca="1"/>
        <v>43.08</v>
      </c>
      <c r="V53" vm="2804">
        <f ca="1"/>
        <v>50.18</v>
      </c>
      <c r="W53" vm="3497">
        <f ca="1"/>
        <v>102.81</v>
      </c>
      <c r="X53" vm="2639">
        <f ca="1"/>
        <v>147.43</v>
      </c>
      <c r="Y53" vm="9921">
        <f ca="1"/>
        <v>55.082799999999999</v>
      </c>
      <c r="Z53" vm="1737">
        <f ca="1"/>
        <v>17.690000000000001</v>
      </c>
      <c r="AA53" vm="9196">
        <f ca="1"/>
        <v>42.35</v>
      </c>
      <c r="AB53" vm="5827">
        <f ca="1"/>
        <v>101.53</v>
      </c>
      <c r="AC53" vm="5029">
        <f ca="1"/>
        <v>292.72000000000003</v>
      </c>
      <c r="AD53" vm="7669">
        <f ca="1"/>
        <v>93.03</v>
      </c>
      <c r="AE53" vm="8044">
        <f ca="1"/>
        <v>211.04</v>
      </c>
      <c r="AF53" vm="1360">
        <f ca="1"/>
        <v>183.66</v>
      </c>
      <c r="AG53" vm="6662">
        <f ca="1"/>
        <v>111.7</v>
      </c>
      <c r="AH53" vm="7438">
        <f ca="1"/>
        <v>281.08999999999997</v>
      </c>
      <c r="AI53" vm="332">
        <f ca="1"/>
        <v>617.78</v>
      </c>
      <c r="AJ53" vm="581">
        <f ca="1"/>
        <v>167.69</v>
      </c>
      <c r="AK53" vm="3098">
        <f ca="1"/>
        <v>61.35</v>
      </c>
      <c r="AL53" vm="2410">
        <f ca="1"/>
        <v>65.010000000000005</v>
      </c>
      <c r="AM53" vm="7234">
        <f ca="1"/>
        <v>126.69</v>
      </c>
      <c r="AN53" vm="3041">
        <f ca="1"/>
        <v>56.17</v>
      </c>
      <c r="AO53" vm="1938">
        <f ca="1"/>
        <v>34.01</v>
      </c>
      <c r="AP53" vm="4330">
        <f ca="1"/>
        <v>174.36</v>
      </c>
      <c r="AQ53" vm="8379">
        <f ca="1"/>
        <v>384.01</v>
      </c>
      <c r="AR53" vm="5754">
        <f ca="1"/>
        <v>87.24</v>
      </c>
      <c r="AS53" vm="2804">
        <f ca="1"/>
        <v>50.18</v>
      </c>
      <c r="AT53" vm="9175">
        <f ca="1"/>
        <v>41.54</v>
      </c>
      <c r="AU53" vm="7869">
        <f ca="1"/>
        <v>139.08000000000001</v>
      </c>
      <c r="AV53" vm="3247">
        <f ca="1"/>
        <v>694.88</v>
      </c>
      <c r="AW53" vm="4478">
        <f ca="1"/>
        <v>212.84</v>
      </c>
    </row>
    <row r="54" spans="1:49">
      <c r="A54" vm="82">
        <f ca="1"/>
        <v>45323</v>
      </c>
      <c r="B54" vm="8040">
        <f ca="1"/>
        <v>201.88</v>
      </c>
      <c r="C54" vm="1230">
        <f ca="1"/>
        <v>180.75</v>
      </c>
      <c r="D54" vm="846">
        <f ca="1"/>
        <v>139.78</v>
      </c>
      <c r="E54" vm="5536">
        <f ca="1"/>
        <v>413.64</v>
      </c>
      <c r="F54" vm="591">
        <f ca="1"/>
        <v>176.76</v>
      </c>
      <c r="G54" vm="1080">
        <f ca="1"/>
        <v>138.46</v>
      </c>
      <c r="H54" vm="5291">
        <f ca="1"/>
        <v>490.13</v>
      </c>
      <c r="I54" vm="2183">
        <f ca="1"/>
        <v>409.4</v>
      </c>
      <c r="J54" vm="6463">
        <f ca="1"/>
        <v>79.111999999999995</v>
      </c>
      <c r="K54" vm="4161">
        <f ca="1"/>
        <v>161.38</v>
      </c>
      <c r="L54" vm="9714">
        <f ca="1"/>
        <v>282.64</v>
      </c>
      <c r="M54" vm="1180">
        <f ca="1"/>
        <v>158.94</v>
      </c>
      <c r="N54" vm="9362">
        <f ca="1"/>
        <v>493.6</v>
      </c>
      <c r="O54" vm="8632">
        <f ca="1"/>
        <v>380.61</v>
      </c>
      <c r="P54" vm="4803">
        <f ca="1"/>
        <v>474.76</v>
      </c>
      <c r="Q54" vm="7060">
        <f ca="1"/>
        <v>26.56</v>
      </c>
      <c r="R54" vm="3011">
        <f ca="1"/>
        <v>60.02</v>
      </c>
      <c r="S54" vm="7308">
        <f ca="1"/>
        <v>111.58</v>
      </c>
      <c r="T54" vm="6008">
        <f ca="1"/>
        <v>602.91999999999996</v>
      </c>
      <c r="U54" vm="3736">
        <f ca="1"/>
        <v>43.05</v>
      </c>
      <c r="V54" vm="2844">
        <f ca="1"/>
        <v>48.37</v>
      </c>
      <c r="W54" vm="3515">
        <f ca="1"/>
        <v>104.52</v>
      </c>
      <c r="X54" vm="2653">
        <f ca="1"/>
        <v>152.01</v>
      </c>
      <c r="Y54" vm="9939">
        <f ca="1"/>
        <v>58.61</v>
      </c>
      <c r="Z54" vm="1755">
        <f ca="1"/>
        <v>16.93</v>
      </c>
      <c r="AA54" vm="2031">
        <f ca="1"/>
        <v>40.020000000000003</v>
      </c>
      <c r="AB54" vm="6249">
        <f ca="1"/>
        <v>103.93</v>
      </c>
      <c r="AC54" vm="5049">
        <f ca="1"/>
        <v>292.27999999999997</v>
      </c>
      <c r="AD54" vm="7683">
        <f ca="1"/>
        <v>94.9</v>
      </c>
      <c r="AE54" vm="8064">
        <f ca="1"/>
        <v>203.72</v>
      </c>
      <c r="AF54" vm="3946">
        <f ca="1"/>
        <v>185.03</v>
      </c>
      <c r="AG54" vm="6681">
        <f ca="1"/>
        <v>111.68</v>
      </c>
      <c r="AH54" vm="7458">
        <f ca="1"/>
        <v>308.82</v>
      </c>
      <c r="AI54" vm="352">
        <f ca="1"/>
        <v>560.28</v>
      </c>
      <c r="AJ54" vm="600">
        <f ca="1"/>
        <v>192.53</v>
      </c>
      <c r="AK54" vm="6868">
        <f ca="1"/>
        <v>60.34</v>
      </c>
      <c r="AL54" vm="2428">
        <f ca="1"/>
        <v>79.47</v>
      </c>
      <c r="AM54" vm="7250">
        <f ca="1"/>
        <v>133.27000000000001</v>
      </c>
      <c r="AN54" vm="3061">
        <f ca="1"/>
        <v>55.49</v>
      </c>
      <c r="AO54" vm="1956">
        <f ca="1"/>
        <v>34.520000000000003</v>
      </c>
      <c r="AP54" vm="4345">
        <f ca="1"/>
        <v>186.06</v>
      </c>
      <c r="AQ54" vm="8398">
        <f ca="1"/>
        <v>389.05</v>
      </c>
      <c r="AR54" vm="5772">
        <f ca="1"/>
        <v>86.04</v>
      </c>
      <c r="AS54" vm="2986">
        <f ca="1"/>
        <v>55.59</v>
      </c>
      <c r="AT54" vm="9190">
        <f ca="1"/>
        <v>41.96</v>
      </c>
      <c r="AU54" vm="7886">
        <f ca="1"/>
        <v>152.91999999999999</v>
      </c>
      <c r="AV54" vm="3267">
        <f ca="1"/>
        <v>743.89</v>
      </c>
      <c r="AW54" vm="4564">
        <f ca="1"/>
        <v>240.67</v>
      </c>
    </row>
    <row r="55" spans="1:49">
      <c r="A55" vm="102">
        <f ca="1"/>
        <v>45352</v>
      </c>
      <c r="B55" vm="4334">
        <f ca="1"/>
        <v>175.79</v>
      </c>
      <c r="C55" vm="1540">
        <f ca="1"/>
        <v>171.48</v>
      </c>
      <c r="D55" vm="865">
        <f ca="1"/>
        <v>152.26</v>
      </c>
      <c r="E55" vm="5555">
        <f ca="1"/>
        <v>420.72</v>
      </c>
      <c r="F55" vm="1314">
        <f ca="1"/>
        <v>180.38</v>
      </c>
      <c r="G55" vm="1098">
        <f ca="1"/>
        <v>150.93</v>
      </c>
      <c r="H55" vm="5309">
        <f ca="1"/>
        <v>485.58</v>
      </c>
      <c r="I55" vm="2202">
        <f ca="1"/>
        <v>420.52</v>
      </c>
      <c r="J55" vm="6483">
        <f ca="1"/>
        <v>90.355999999999995</v>
      </c>
      <c r="K55" vm="4175">
        <f ca="1"/>
        <v>158.19</v>
      </c>
      <c r="L55" vm="9734">
        <f ca="1"/>
        <v>279.08</v>
      </c>
      <c r="M55" vm="8861">
        <f ca="1"/>
        <v>162.25</v>
      </c>
      <c r="N55" vm="9379">
        <f ca="1"/>
        <v>494.7</v>
      </c>
      <c r="O55" vm="8652">
        <f ca="1"/>
        <v>383.6</v>
      </c>
      <c r="P55" vm="4823">
        <f ca="1"/>
        <v>481.57</v>
      </c>
      <c r="Q55" vm="7077">
        <f ca="1"/>
        <v>27.75</v>
      </c>
      <c r="R55" vm="8245">
        <f ca="1"/>
        <v>61.18</v>
      </c>
      <c r="S55" vm="9020">
        <f ca="1"/>
        <v>122.36</v>
      </c>
      <c r="T55" vm="6028">
        <f ca="1"/>
        <v>607.33000000000004</v>
      </c>
      <c r="U55" vm="3753">
        <f ca="1"/>
        <v>44.17</v>
      </c>
      <c r="V55" vm="2815">
        <f ca="1"/>
        <v>49.91</v>
      </c>
      <c r="W55" vm="3534">
        <f ca="1"/>
        <v>116.24</v>
      </c>
      <c r="X55" vm="2671">
        <f ca="1"/>
        <v>157.74</v>
      </c>
      <c r="Y55" vm="8257">
        <f ca="1"/>
        <v>60.17</v>
      </c>
      <c r="Z55" vm="1766">
        <f ca="1"/>
        <v>17.600000000000001</v>
      </c>
      <c r="AA55" vm="9190">
        <f ca="1"/>
        <v>41.96</v>
      </c>
      <c r="AB55" vm="6267">
        <f ca="1"/>
        <v>93.98</v>
      </c>
      <c r="AC55" vm="5067">
        <f ca="1"/>
        <v>281.95</v>
      </c>
      <c r="AD55" vm="7699">
        <f ca="1"/>
        <v>91.39</v>
      </c>
      <c r="AE55" vm="8080">
        <f ca="1"/>
        <v>192.99</v>
      </c>
      <c r="AF55" vm="3964">
        <f ca="1"/>
        <v>190.96</v>
      </c>
      <c r="AG55" vm="6578">
        <f ca="1"/>
        <v>125.61</v>
      </c>
      <c r="AH55" vm="7478">
        <f ca="1"/>
        <v>301.18</v>
      </c>
      <c r="AI55" vm="372">
        <f ca="1"/>
        <v>504.6</v>
      </c>
      <c r="AJ55" vm="620">
        <f ca="1"/>
        <v>180.49</v>
      </c>
      <c r="AK55" vm="6882">
        <f ca="1"/>
        <v>66.989999999999995</v>
      </c>
      <c r="AL55" vm="2448">
        <f ca="1"/>
        <v>84.58</v>
      </c>
      <c r="AM55" vm="7269">
        <f ca="1"/>
        <v>130.22</v>
      </c>
      <c r="AN55" vm="3079">
        <f ca="1"/>
        <v>63.24</v>
      </c>
      <c r="AO55" vm="1976">
        <f ca="1"/>
        <v>37.92</v>
      </c>
      <c r="AP55" vm="4361">
        <f ca="1"/>
        <v>200.3</v>
      </c>
      <c r="AQ55" vm="8418">
        <f ca="1"/>
        <v>417.69</v>
      </c>
      <c r="AR55" vm="5791">
        <f ca="1"/>
        <v>94.16</v>
      </c>
      <c r="AS55" vm="10118">
        <f ca="1"/>
        <v>57.96</v>
      </c>
      <c r="AT55" vm="9204">
        <f ca="1"/>
        <v>44.7</v>
      </c>
      <c r="AU55" vm="7899">
        <f ca="1"/>
        <v>177.21</v>
      </c>
      <c r="AV55" vm="3287">
        <f ca="1"/>
        <v>732.63</v>
      </c>
      <c r="AW55" vm="4584">
        <f ca="1"/>
        <v>254.73</v>
      </c>
    </row>
    <row r="56" spans="1:49">
      <c r="A56" vm="122">
        <f ca="1"/>
        <v>45383</v>
      </c>
      <c r="B56" vm="11945">
        <f ca="1"/>
        <v>183.28</v>
      </c>
      <c r="C56" vm="1559">
        <f ca="1"/>
        <v>170.33</v>
      </c>
      <c r="D56" vm="883">
        <f ca="1"/>
        <v>164.64</v>
      </c>
      <c r="E56" vm="5574">
        <f ca="1"/>
        <v>389.33</v>
      </c>
      <c r="F56" vm="1332">
        <f ca="1"/>
        <v>175</v>
      </c>
      <c r="G56" vm="1117">
        <f ca="1"/>
        <v>162.78</v>
      </c>
      <c r="H56" vm="5331">
        <f ca="1"/>
        <v>430.17</v>
      </c>
      <c r="I56" vm="2224">
        <f ca="1"/>
        <v>396.73</v>
      </c>
      <c r="J56" vm="6505">
        <f ca="1"/>
        <v>86.402000000000001</v>
      </c>
      <c r="K56" vm="4193">
        <f ca="1"/>
        <v>144.59</v>
      </c>
      <c r="L56" vm="9756">
        <f ca="1"/>
        <v>268.61</v>
      </c>
      <c r="M56" vm="8876">
        <f ca="1"/>
        <v>163.19999999999999</v>
      </c>
      <c r="N56" vm="9396">
        <f ca="1"/>
        <v>483.7</v>
      </c>
      <c r="O56" vm="5241">
        <f ca="1"/>
        <v>334.22</v>
      </c>
      <c r="P56" vm="4844">
        <f ca="1"/>
        <v>451.2</v>
      </c>
      <c r="Q56" vm="7094">
        <f ca="1"/>
        <v>25.62</v>
      </c>
      <c r="R56" vm="3121">
        <f ca="1"/>
        <v>61.77</v>
      </c>
      <c r="S56" vm="9038">
        <f ca="1"/>
        <v>111.1</v>
      </c>
      <c r="T56" vm="6050">
        <f ca="1"/>
        <v>550.64</v>
      </c>
      <c r="U56" vm="3772">
        <f ca="1"/>
        <v>30.47</v>
      </c>
      <c r="V56" vm="2879">
        <f ca="1"/>
        <v>46.98</v>
      </c>
      <c r="W56" vm="3556">
        <f ca="1"/>
        <v>118.27</v>
      </c>
      <c r="X56" vm="2676">
        <f ca="1"/>
        <v>161.27000000000001</v>
      </c>
      <c r="Y56" vm="8228">
        <f ca="1"/>
        <v>59.35</v>
      </c>
      <c r="Z56" vm="1782">
        <f ca="1"/>
        <v>16.89</v>
      </c>
      <c r="AA56" vm="2030">
        <f ca="1"/>
        <v>39.49</v>
      </c>
      <c r="AB56" vm="2597">
        <f ca="1"/>
        <v>92.26</v>
      </c>
      <c r="AC56" vm="5089">
        <f ca="1"/>
        <v>273.04000000000002</v>
      </c>
      <c r="AD56" vm="7719">
        <f ca="1"/>
        <v>88.49</v>
      </c>
      <c r="AE56" vm="6811">
        <f ca="1"/>
        <v>167.84</v>
      </c>
      <c r="AF56" vm="3983">
        <f ca="1"/>
        <v>166.2</v>
      </c>
      <c r="AG56" vm="6661">
        <f ca="1"/>
        <v>113.75</v>
      </c>
      <c r="AH56" vm="7500">
        <f ca="1"/>
        <v>268.94</v>
      </c>
      <c r="AI56" vm="393">
        <f ca="1"/>
        <v>462.83</v>
      </c>
      <c r="AJ56" vm="641">
        <f ca="1"/>
        <v>158.38</v>
      </c>
      <c r="AK56" vm="6898">
        <f ca="1"/>
        <v>67.92</v>
      </c>
      <c r="AL56" vm="2469">
        <f ca="1"/>
        <v>73</v>
      </c>
      <c r="AM56" vm="7285">
        <f ca="1"/>
        <v>102.05</v>
      </c>
      <c r="AN56" vm="3074">
        <f ca="1"/>
        <v>61.33</v>
      </c>
      <c r="AO56" vm="1997">
        <f ca="1"/>
        <v>37.01</v>
      </c>
      <c r="AP56" vm="4379">
        <f ca="1"/>
        <v>191.74</v>
      </c>
      <c r="AQ56" vm="8437">
        <f ca="1"/>
        <v>426.71</v>
      </c>
      <c r="AR56" vm="5813">
        <f ca="1"/>
        <v>90.84</v>
      </c>
      <c r="AS56" vm="10134">
        <f ca="1"/>
        <v>59.32</v>
      </c>
      <c r="AT56" vm="9221">
        <f ca="1"/>
        <v>40.630000000000003</v>
      </c>
      <c r="AU56" vm="4159">
        <f ca="1"/>
        <v>160.97999999999999</v>
      </c>
      <c r="AV56" vm="3309">
        <f ca="1"/>
        <v>722.9</v>
      </c>
      <c r="AW56" vm="4605">
        <f ca="1"/>
        <v>227.99</v>
      </c>
    </row>
    <row r="57" spans="1:49">
      <c r="A57" vm="144">
        <f ca="1"/>
        <v>45413</v>
      </c>
      <c r="B57" vm="11946">
        <f ca="1"/>
        <v>178.08</v>
      </c>
      <c r="C57" vm="1577">
        <f ca="1"/>
        <v>192.25</v>
      </c>
      <c r="D57" vm="903">
        <f ca="1"/>
        <v>173.96</v>
      </c>
      <c r="E57" vm="5595">
        <f ca="1"/>
        <v>415.13</v>
      </c>
      <c r="F57" vm="1352">
        <f ca="1"/>
        <v>176.44</v>
      </c>
      <c r="G57" vm="1139">
        <f ca="1"/>
        <v>172.5</v>
      </c>
      <c r="H57" vm="5353">
        <f ca="1"/>
        <v>466.83</v>
      </c>
      <c r="I57" vm="2246">
        <f ca="1"/>
        <v>414.4</v>
      </c>
      <c r="J57" vm="6525">
        <f ca="1"/>
        <v>109.633</v>
      </c>
      <c r="K57" vm="4212">
        <f ca="1"/>
        <v>146.66999999999999</v>
      </c>
      <c r="L57" vm="9772">
        <f ca="1"/>
        <v>272.45999999999998</v>
      </c>
      <c r="M57" vm="8890">
        <f ca="1"/>
        <v>164.54</v>
      </c>
      <c r="N57" vm="9417">
        <f ca="1"/>
        <v>495.37</v>
      </c>
      <c r="O57" vm="8695">
        <f ca="1"/>
        <v>334.87</v>
      </c>
      <c r="P57" vm="4866">
        <f ca="1"/>
        <v>447.07</v>
      </c>
      <c r="Q57" vm="7112">
        <f ca="1"/>
        <v>28.66</v>
      </c>
      <c r="R57" vm="6904">
        <f ca="1"/>
        <v>62.93</v>
      </c>
      <c r="S57" vm="9058">
        <f ca="1"/>
        <v>103.91</v>
      </c>
      <c r="T57" vm="6072">
        <f ca="1"/>
        <v>641.62</v>
      </c>
      <c r="U57" vm="3793">
        <f ca="1"/>
        <v>30.85</v>
      </c>
      <c r="V57" vm="2897">
        <f ca="1"/>
        <v>46.5</v>
      </c>
      <c r="W57" vm="3575">
        <f ca="1"/>
        <v>117.26</v>
      </c>
      <c r="X57" vm="2687">
        <f ca="1"/>
        <v>162.30000000000001</v>
      </c>
      <c r="Y57" vm="9972">
        <f ca="1"/>
        <v>65.760000000000005</v>
      </c>
      <c r="Z57" vm="1792">
        <f ca="1"/>
        <v>18.22</v>
      </c>
      <c r="AA57" vm="9604">
        <f ca="1"/>
        <v>41.15</v>
      </c>
      <c r="AB57" vm="6301">
        <f ca="1"/>
        <v>95.05</v>
      </c>
      <c r="AC57" vm="5111">
        <f ca="1"/>
        <v>258.89</v>
      </c>
      <c r="AD57" vm="7737">
        <f ca="1"/>
        <v>80.22</v>
      </c>
      <c r="AE57" vm="8109">
        <f ca="1"/>
        <v>177.61</v>
      </c>
      <c r="AF57" vm="4003">
        <f ca="1"/>
        <v>166.85</v>
      </c>
      <c r="AG57" vm="6731">
        <f ca="1"/>
        <v>117.19</v>
      </c>
      <c r="AH57" vm="7520">
        <f ca="1"/>
        <v>234.44</v>
      </c>
      <c r="AI57" vm="415">
        <f ca="1"/>
        <v>444.76</v>
      </c>
      <c r="AJ57" vm="663">
        <f ca="1"/>
        <v>166.9</v>
      </c>
      <c r="AK57" vm="6911">
        <f ca="1"/>
        <v>62.99</v>
      </c>
      <c r="AL57" vm="2490">
        <f ca="1"/>
        <v>64.08</v>
      </c>
      <c r="AM57" vm="7301">
        <f ca="1"/>
        <v>110.49</v>
      </c>
      <c r="AN57" vm="3118">
        <f ca="1"/>
        <v>62.31</v>
      </c>
      <c r="AO57" vm="2019">
        <f ca="1"/>
        <v>39.99</v>
      </c>
      <c r="AP57" vm="4395">
        <f ca="1"/>
        <v>202.63</v>
      </c>
      <c r="AQ57" vm="4860">
        <f ca="1"/>
        <v>456.52</v>
      </c>
      <c r="AR57" vm="5832">
        <f ca="1"/>
        <v>97.84</v>
      </c>
      <c r="AS57" vm="10143">
        <f ca="1"/>
        <v>59.92</v>
      </c>
      <c r="AT57" vm="9231">
        <f ca="1"/>
        <v>40.549999999999997</v>
      </c>
      <c r="AU57" vm="7931">
        <f ca="1"/>
        <v>156.16</v>
      </c>
      <c r="AV57" vm="3331">
        <f ca="1"/>
        <v>809.89</v>
      </c>
      <c r="AW57" vm="4452">
        <f ca="1"/>
        <v>221.29</v>
      </c>
    </row>
    <row r="58" spans="1:49">
      <c r="A58" vm="11947">
        <f ca="1"/>
        <v>45444</v>
      </c>
      <c r="B58" vm="11948">
        <f ca="1"/>
        <v>197.88</v>
      </c>
      <c r="C58" vm="1595">
        <f ca="1"/>
        <v>210.62</v>
      </c>
      <c r="D58" vm="922">
        <f ca="1"/>
        <v>183.42</v>
      </c>
      <c r="E58" vm="5613">
        <f ca="1"/>
        <v>446.95</v>
      </c>
      <c r="F58" vm="1368">
        <f ca="1"/>
        <v>193.25</v>
      </c>
      <c r="G58" vm="1157">
        <f ca="1"/>
        <v>182.15</v>
      </c>
      <c r="H58" vm="5372">
        <f ca="1"/>
        <v>504.22</v>
      </c>
      <c r="I58" vm="2264">
        <f ca="1"/>
        <v>406.8</v>
      </c>
      <c r="J58" vm="6543">
        <f ca="1"/>
        <v>123.54</v>
      </c>
      <c r="K58" vm="643">
        <f ca="1"/>
        <v>146.16</v>
      </c>
      <c r="L58" vm="9788">
        <f ca="1"/>
        <v>262.47000000000003</v>
      </c>
      <c r="M58" vm="8902">
        <f ca="1"/>
        <v>164.92</v>
      </c>
      <c r="N58" vm="9436">
        <f ca="1"/>
        <v>509.26</v>
      </c>
      <c r="O58" vm="8714">
        <f ca="1"/>
        <v>344.24</v>
      </c>
      <c r="P58" vm="4885">
        <f ca="1"/>
        <v>441.16</v>
      </c>
      <c r="Q58" vm="7128">
        <f ca="1"/>
        <v>27.98</v>
      </c>
      <c r="R58" vm="8280">
        <f ca="1"/>
        <v>63.65</v>
      </c>
      <c r="S58" vm="8994">
        <f ca="1"/>
        <v>99.29</v>
      </c>
      <c r="T58" vm="6091">
        <f ca="1"/>
        <v>674.88</v>
      </c>
      <c r="U58" vm="3776">
        <f ca="1"/>
        <v>30.97</v>
      </c>
      <c r="V58" vm="2124">
        <f ca="1"/>
        <v>47.51</v>
      </c>
      <c r="W58" vm="3594">
        <f ca="1"/>
        <v>115.12</v>
      </c>
      <c r="X58" vm="2710">
        <f ca="1"/>
        <v>156.41999999999999</v>
      </c>
      <c r="Y58" vm="9983">
        <f ca="1"/>
        <v>67.709999999999994</v>
      </c>
      <c r="Z58" vm="1808">
        <f ca="1"/>
        <v>19.11</v>
      </c>
      <c r="AA58" vm="9613">
        <f ca="1"/>
        <v>41.24</v>
      </c>
      <c r="AB58" vm="6316">
        <f ca="1"/>
        <v>75.37</v>
      </c>
      <c r="AC58" vm="5130">
        <f ca="1"/>
        <v>254.84</v>
      </c>
      <c r="AD58" vm="7728">
        <f ca="1"/>
        <v>77.849999999999994</v>
      </c>
      <c r="AE58" vm="8122">
        <f ca="1"/>
        <v>182.01</v>
      </c>
      <c r="AF58" vm="4017">
        <f ca="1"/>
        <v>172.95</v>
      </c>
      <c r="AG58" vm="6747">
        <f ca="1"/>
        <v>141.19999999999999</v>
      </c>
      <c r="AH58" vm="7539">
        <f ca="1"/>
        <v>257.10000000000002</v>
      </c>
      <c r="AI58" vm="434">
        <f ca="1"/>
        <v>555.54</v>
      </c>
      <c r="AJ58" vm="681">
        <f ca="1"/>
        <v>162.21</v>
      </c>
      <c r="AK58" vm="6921">
        <f ca="1"/>
        <v>58.03</v>
      </c>
      <c r="AL58" vm="2509">
        <f ca="1"/>
        <v>64.489999999999995</v>
      </c>
      <c r="AM58" vm="7320">
        <f ca="1"/>
        <v>112.31</v>
      </c>
      <c r="AN58" vm="3080">
        <f ca="1"/>
        <v>63.46</v>
      </c>
      <c r="AO58" vm="2035">
        <f ca="1"/>
        <v>39.770000000000003</v>
      </c>
      <c r="AP58" vm="4413">
        <f ca="1"/>
        <v>202.26</v>
      </c>
      <c r="AQ58" vm="8472">
        <f ca="1"/>
        <v>452.32</v>
      </c>
      <c r="AR58" vm="5851">
        <f ca="1"/>
        <v>97.19</v>
      </c>
      <c r="AS58" vm="8230">
        <f ca="1"/>
        <v>59.39</v>
      </c>
      <c r="AT58" vm="2015">
        <f ca="1"/>
        <v>39.700000000000003</v>
      </c>
      <c r="AU58" vm="7945">
        <f ca="1"/>
        <v>148.04</v>
      </c>
      <c r="AV58" vm="3350">
        <f ca="1"/>
        <v>849.99</v>
      </c>
      <c r="AW58" vm="4642">
        <f ca="1"/>
        <v>220.46</v>
      </c>
    </row>
    <row r="59" spans="1:49">
      <c r="A59" vm="185">
        <f ca="1"/>
        <v>45474</v>
      </c>
      <c r="B59" vm="4610">
        <f ca="1"/>
        <v>232.07</v>
      </c>
      <c r="C59" vm="1617">
        <f ca="1"/>
        <v>222.08</v>
      </c>
      <c r="D59" vm="944">
        <f ca="1"/>
        <v>173.15</v>
      </c>
      <c r="E59" vm="5634">
        <f ca="1"/>
        <v>418.35</v>
      </c>
      <c r="F59" vm="1388">
        <f ca="1"/>
        <v>186.98</v>
      </c>
      <c r="G59" vm="589">
        <f ca="1"/>
        <v>171.54</v>
      </c>
      <c r="H59" vm="5394">
        <f ca="1"/>
        <v>474.83</v>
      </c>
      <c r="I59" vm="2286">
        <f ca="1"/>
        <v>438.5</v>
      </c>
      <c r="J59" vm="6561">
        <f ca="1"/>
        <v>117.02</v>
      </c>
      <c r="K59" vm="4151">
        <f ca="1"/>
        <v>157.85</v>
      </c>
      <c r="L59" vm="9808">
        <f ca="1"/>
        <v>265.67</v>
      </c>
      <c r="M59" vm="2787">
        <f ca="1"/>
        <v>160.76</v>
      </c>
      <c r="N59" vm="9456">
        <f ca="1"/>
        <v>576.16</v>
      </c>
      <c r="O59" vm="8736">
        <f ca="1"/>
        <v>368.16</v>
      </c>
      <c r="P59" vm="4907">
        <f ca="1"/>
        <v>463.71</v>
      </c>
      <c r="Q59" vm="3808">
        <f ca="1"/>
        <v>30.54</v>
      </c>
      <c r="R59" vm="2555">
        <f ca="1"/>
        <v>66.739999999999995</v>
      </c>
      <c r="S59" vm="9085">
        <f ca="1"/>
        <v>93.69</v>
      </c>
      <c r="T59" vm="6111">
        <f ca="1"/>
        <v>628.35</v>
      </c>
      <c r="U59" vm="1909">
        <f ca="1"/>
        <v>30.74</v>
      </c>
      <c r="V59" vm="2928">
        <f ca="1"/>
        <v>48.45</v>
      </c>
      <c r="W59" vm="3616">
        <f ca="1"/>
        <v>118.59</v>
      </c>
      <c r="X59" vm="2727">
        <f ca="1"/>
        <v>160.47</v>
      </c>
      <c r="Y59" vm="2556">
        <f ca="1"/>
        <v>68.64</v>
      </c>
      <c r="Z59" vm="1827">
        <f ca="1"/>
        <v>19.25</v>
      </c>
      <c r="AA59" vm="9588">
        <f ca="1"/>
        <v>40.520000000000003</v>
      </c>
      <c r="AB59" vm="6329">
        <f ca="1"/>
        <v>74.86</v>
      </c>
      <c r="AC59" vm="5151">
        <f ca="1"/>
        <v>265.39999999999998</v>
      </c>
      <c r="AD59" vm="7767">
        <f ca="1"/>
        <v>77.95</v>
      </c>
      <c r="AE59" vm="1161">
        <f ca="1"/>
        <v>190.6</v>
      </c>
      <c r="AF59" vm="4035">
        <f ca="1"/>
        <v>192.14</v>
      </c>
      <c r="AG59" vm="6765">
        <f ca="1"/>
        <v>139.44999999999999</v>
      </c>
      <c r="AH59" vm="7558">
        <f ca="1"/>
        <v>258.8</v>
      </c>
      <c r="AI59" vm="456">
        <f ca="1"/>
        <v>551.65</v>
      </c>
      <c r="AJ59" vm="703">
        <f ca="1"/>
        <v>144.47999999999999</v>
      </c>
      <c r="AK59" vm="2513">
        <f ca="1"/>
        <v>65.78</v>
      </c>
      <c r="AL59" vm="2529">
        <f ca="1"/>
        <v>61.88</v>
      </c>
      <c r="AM59" vm="7337">
        <f ca="1"/>
        <v>126.05</v>
      </c>
      <c r="AN59" vm="2541">
        <f ca="1"/>
        <v>64.88</v>
      </c>
      <c r="AO59" vm="2057">
        <f ca="1"/>
        <v>40.31</v>
      </c>
      <c r="AP59" vm="4433">
        <f ca="1"/>
        <v>212.8</v>
      </c>
      <c r="AQ59" vm="8491">
        <f ca="1"/>
        <v>509.03</v>
      </c>
      <c r="AR59" vm="5872">
        <f ca="1"/>
        <v>103.21</v>
      </c>
      <c r="AS59" vm="10144">
        <f ca="1"/>
        <v>59.34</v>
      </c>
      <c r="AT59" vm="9250">
        <f ca="1"/>
        <v>44.88</v>
      </c>
      <c r="AU59" vm="7957">
        <f ca="1"/>
        <v>150.41</v>
      </c>
      <c r="AV59" vm="3372">
        <f ca="1"/>
        <v>822</v>
      </c>
      <c r="AW59" vm="4662">
        <f ca="1"/>
        <v>245.51</v>
      </c>
    </row>
    <row r="60" spans="1:49">
      <c r="A60" vm="207">
        <f ca="1"/>
        <v>45505</v>
      </c>
      <c r="B60" vm="11949">
        <f ca="1"/>
        <v>214.11</v>
      </c>
      <c r="C60" vm="1639">
        <f ca="1"/>
        <v>229</v>
      </c>
      <c r="D60" vm="965">
        <f ca="1"/>
        <v>165.11</v>
      </c>
      <c r="E60" vm="5655">
        <f ca="1"/>
        <v>417.14</v>
      </c>
      <c r="F60" vm="1406">
        <f ca="1"/>
        <v>178.5</v>
      </c>
      <c r="G60" vm="1194">
        <f ca="1"/>
        <v>163.38</v>
      </c>
      <c r="H60" vm="5416">
        <f ca="1"/>
        <v>521.30999999999995</v>
      </c>
      <c r="I60" vm="2307">
        <f ca="1"/>
        <v>475.92</v>
      </c>
      <c r="J60" vm="6580">
        <f ca="1"/>
        <v>119.37</v>
      </c>
      <c r="K60" vm="1211">
        <f ca="1"/>
        <v>165.86</v>
      </c>
      <c r="L60" vm="9826">
        <f ca="1"/>
        <v>276.37</v>
      </c>
      <c r="M60" vm="589">
        <f ca="1"/>
        <v>171.54</v>
      </c>
      <c r="N60" vm="9478">
        <f ca="1"/>
        <v>590.20000000000005</v>
      </c>
      <c r="O60" vm="8757">
        <f ca="1"/>
        <v>368.5</v>
      </c>
      <c r="P60" vm="4928">
        <f ca="1"/>
        <v>483.34</v>
      </c>
      <c r="Q60" vm="7155">
        <f ca="1"/>
        <v>29.01</v>
      </c>
      <c r="R60" vm="8310">
        <f ca="1"/>
        <v>72.47</v>
      </c>
      <c r="S60" vm="8975">
        <f ca="1"/>
        <v>90.38</v>
      </c>
      <c r="T60" vm="6133">
        <f ca="1"/>
        <v>701.35</v>
      </c>
      <c r="U60" vm="1886">
        <f ca="1"/>
        <v>22.04</v>
      </c>
      <c r="V60" vm="2947">
        <f ca="1"/>
        <v>50.54</v>
      </c>
      <c r="W60" vm="3637">
        <f ca="1"/>
        <v>117.94</v>
      </c>
      <c r="X60" vm="773">
        <f ca="1"/>
        <v>147.94999999999999</v>
      </c>
      <c r="Y60" vm="10018">
        <f ca="1"/>
        <v>77.23</v>
      </c>
      <c r="Z60" vm="1844">
        <f ca="1"/>
        <v>19.899999999999999</v>
      </c>
      <c r="AA60" vm="9169">
        <f ca="1"/>
        <v>41.78</v>
      </c>
      <c r="AB60" vm="6353">
        <f ca="1"/>
        <v>83.32</v>
      </c>
      <c r="AC60" vm="5173">
        <f ca="1"/>
        <v>288.66000000000003</v>
      </c>
      <c r="AD60" vm="7784">
        <f ca="1"/>
        <v>94.57</v>
      </c>
      <c r="AE60" vm="8157">
        <f ca="1"/>
        <v>173.74</v>
      </c>
      <c r="AF60" vm="4056">
        <f ca="1"/>
        <v>202.13</v>
      </c>
      <c r="AG60" vm="6782">
        <f ca="1"/>
        <v>141.29</v>
      </c>
      <c r="AH60" vm="7579">
        <f ca="1"/>
        <v>252.9</v>
      </c>
      <c r="AI60" vm="478">
        <f ca="1"/>
        <v>574.41</v>
      </c>
      <c r="AJ60" vm="715">
        <f ca="1"/>
        <v>148.56</v>
      </c>
      <c r="AK60" vm="6953">
        <f ca="1"/>
        <v>72.430000000000007</v>
      </c>
      <c r="AL60" vm="2487">
        <f ca="1"/>
        <v>66.08</v>
      </c>
      <c r="AM60" vm="7353">
        <f ca="1"/>
        <v>127.82</v>
      </c>
      <c r="AN60" vm="3165">
        <f ca="1"/>
        <v>62.64</v>
      </c>
      <c r="AO60" vm="2070">
        <f ca="1"/>
        <v>40.75</v>
      </c>
      <c r="AP60" vm="4454">
        <f ca="1"/>
        <v>224.8</v>
      </c>
      <c r="AQ60" vm="8512">
        <f ca="1"/>
        <v>510.25</v>
      </c>
      <c r="AR60" vm="5893">
        <f ca="1"/>
        <v>103.61</v>
      </c>
      <c r="AS60" vm="10171">
        <f ca="1"/>
        <v>58.47</v>
      </c>
      <c r="AT60" vm="9264">
        <f ca="1"/>
        <v>47.23</v>
      </c>
      <c r="AU60" vm="647">
        <f ca="1"/>
        <v>153.62</v>
      </c>
      <c r="AV60" vm="3394">
        <f ca="1"/>
        <v>892.38</v>
      </c>
      <c r="AW60" vm="4684">
        <f ca="1"/>
        <v>248.5</v>
      </c>
    </row>
    <row r="61" spans="1:49">
      <c r="A61" vm="11950">
        <f ca="1"/>
        <v>45536</v>
      </c>
      <c r="B61" vm="11951">
        <f ca="1"/>
        <v>261.63</v>
      </c>
      <c r="C61" vm="1658">
        <f ca="1"/>
        <v>233</v>
      </c>
      <c r="D61" vm="983">
        <f ca="1"/>
        <v>167.19</v>
      </c>
      <c r="E61" vm="5673">
        <f ca="1"/>
        <v>430.3</v>
      </c>
      <c r="F61" vm="1425">
        <f ca="1"/>
        <v>186.33</v>
      </c>
      <c r="G61" vm="1189">
        <f ca="1"/>
        <v>165.85</v>
      </c>
      <c r="H61" vm="5435">
        <f ca="1"/>
        <v>572.44000000000005</v>
      </c>
      <c r="I61" vm="2327">
        <f ca="1"/>
        <v>460.26</v>
      </c>
      <c r="J61" vm="6596">
        <f ca="1"/>
        <v>121.44</v>
      </c>
      <c r="K61" vm="4265">
        <f ca="1"/>
        <v>162.06</v>
      </c>
      <c r="L61" vm="9841">
        <f ca="1"/>
        <v>274.95</v>
      </c>
      <c r="M61" vm="8939">
        <f ca="1"/>
        <v>173.2</v>
      </c>
      <c r="N61" vm="302">
        <f ca="1"/>
        <v>584.67999999999995</v>
      </c>
      <c r="O61" vm="8775">
        <f ca="1"/>
        <v>405.2</v>
      </c>
      <c r="P61" vm="4947">
        <f ca="1"/>
        <v>493.8</v>
      </c>
      <c r="Q61" vm="7168">
        <f ca="1"/>
        <v>28.94</v>
      </c>
      <c r="R61" vm="3212">
        <f ca="1"/>
        <v>71.86</v>
      </c>
      <c r="S61" vm="9110">
        <f ca="1"/>
        <v>96.19</v>
      </c>
      <c r="T61" vm="6153">
        <f ca="1"/>
        <v>709.27</v>
      </c>
      <c r="U61" vm="3861">
        <f ca="1"/>
        <v>23.46</v>
      </c>
      <c r="V61" vm="2964">
        <f ca="1"/>
        <v>53.22</v>
      </c>
      <c r="W61" vm="3651">
        <f ca="1"/>
        <v>117.22</v>
      </c>
      <c r="X61" vm="2628">
        <f ca="1"/>
        <v>147.27000000000001</v>
      </c>
      <c r="Y61" vm="10035">
        <f ca="1"/>
        <v>80.75</v>
      </c>
      <c r="Z61" vm="1863">
        <f ca="1"/>
        <v>22</v>
      </c>
      <c r="AA61" vm="9642">
        <f ca="1"/>
        <v>44.91</v>
      </c>
      <c r="AB61" vm="6372">
        <f ca="1"/>
        <v>88.4</v>
      </c>
      <c r="AC61" vm="5192">
        <f ca="1"/>
        <v>304.51</v>
      </c>
      <c r="AD61" vm="7802">
        <f ca="1"/>
        <v>97.49</v>
      </c>
      <c r="AE61" vm="8169">
        <f ca="1"/>
        <v>152.04</v>
      </c>
      <c r="AF61" vm="4076">
        <f ca="1"/>
        <v>221.08</v>
      </c>
      <c r="AG61" vm="6792">
        <f ca="1"/>
        <v>170.4</v>
      </c>
      <c r="AH61" vm="7595">
        <f ca="1"/>
        <v>273.70999999999998</v>
      </c>
      <c r="AI61" vm="498">
        <f ca="1"/>
        <v>517.78</v>
      </c>
      <c r="AJ61" vm="744">
        <f ca="1"/>
        <v>164.08</v>
      </c>
      <c r="AK61" vm="6969">
        <f ca="1"/>
        <v>78.03</v>
      </c>
      <c r="AL61" vm="2563">
        <f ca="1"/>
        <v>67.13</v>
      </c>
      <c r="AM61" vm="7370">
        <f ca="1"/>
        <v>126.28</v>
      </c>
      <c r="AN61" vm="3178">
        <f ca="1"/>
        <v>62.6</v>
      </c>
      <c r="AO61" vm="2021">
        <f ca="1"/>
        <v>39.68</v>
      </c>
      <c r="AP61" vm="4105">
        <f ca="1"/>
        <v>210.86</v>
      </c>
      <c r="AQ61" vm="8529">
        <f ca="1"/>
        <v>495.11</v>
      </c>
      <c r="AR61" vm="5911">
        <f ca="1"/>
        <v>104.24</v>
      </c>
      <c r="AS61" vm="10186">
        <f ca="1"/>
        <v>56.49</v>
      </c>
      <c r="AT61" vm="9261">
        <f ca="1"/>
        <v>45.73</v>
      </c>
      <c r="AU61" vm="7985">
        <f ca="1"/>
        <v>155.86000000000001</v>
      </c>
      <c r="AV61" vm="3414">
        <f ca="1"/>
        <v>886.52</v>
      </c>
      <c r="AW61" vm="4700">
        <f ca="1"/>
        <v>270.85000000000002</v>
      </c>
    </row>
    <row r="62" spans="1:49">
      <c r="A62" vm="249">
        <f ca="1"/>
        <v>45566</v>
      </c>
      <c r="B62" vm="11952">
        <f ca="1"/>
        <v>249.85</v>
      </c>
      <c r="C62" vm="1681">
        <f ca="1"/>
        <v>225.91</v>
      </c>
      <c r="D62" vm="1004">
        <f ca="1"/>
        <v>172.69</v>
      </c>
      <c r="E62" vm="5695">
        <f ca="1"/>
        <v>406.35</v>
      </c>
      <c r="F62" vm="1446">
        <f ca="1"/>
        <v>186.4</v>
      </c>
      <c r="G62" vm="1226">
        <f ca="1"/>
        <v>171.11</v>
      </c>
      <c r="H62" vm="5457">
        <f ca="1"/>
        <v>567.58000000000004</v>
      </c>
      <c r="I62" vm="2350">
        <f ca="1"/>
        <v>450.92</v>
      </c>
      <c r="J62" vm="5939">
        <f ca="1"/>
        <v>132.76</v>
      </c>
      <c r="K62" vm="4283">
        <f ca="1"/>
        <v>159.86000000000001</v>
      </c>
      <c r="L62" vm="9862">
        <f ca="1"/>
        <v>289.85000000000002</v>
      </c>
      <c r="M62" vm="8897">
        <f ca="1"/>
        <v>165.18</v>
      </c>
      <c r="N62" vm="9517">
        <f ca="1"/>
        <v>564.5</v>
      </c>
      <c r="O62" vm="8796">
        <f ca="1"/>
        <v>393.75</v>
      </c>
      <c r="P62" vm="4969">
        <f ca="1"/>
        <v>499.59</v>
      </c>
      <c r="Q62" vm="7109">
        <f ca="1"/>
        <v>28.3</v>
      </c>
      <c r="R62" vm="6938">
        <f ca="1"/>
        <v>65.31</v>
      </c>
      <c r="S62" vm="9125">
        <f ca="1"/>
        <v>96.2</v>
      </c>
      <c r="T62" vm="6176">
        <f ca="1"/>
        <v>756.03</v>
      </c>
      <c r="U62" vm="3839">
        <f ca="1"/>
        <v>21.52</v>
      </c>
      <c r="V62" vm="2987">
        <f ca="1"/>
        <v>54.77</v>
      </c>
      <c r="W62" vm="3673">
        <f ca="1"/>
        <v>116.78</v>
      </c>
      <c r="X62" vm="2777">
        <f ca="1"/>
        <v>148.82</v>
      </c>
      <c r="Y62" vm="10053">
        <f ca="1"/>
        <v>81.95</v>
      </c>
      <c r="Z62" vm="1882">
        <f ca="1"/>
        <v>22.54</v>
      </c>
      <c r="AA62" vm="9566">
        <f ca="1"/>
        <v>42.13</v>
      </c>
      <c r="AB62" vm="6389">
        <f ca="1"/>
        <v>77.13</v>
      </c>
      <c r="AC62" vm="5214">
        <f ca="1"/>
        <v>292.11</v>
      </c>
      <c r="AD62" vm="7823">
        <f ca="1"/>
        <v>97.7</v>
      </c>
      <c r="AE62" vm="4304">
        <f ca="1"/>
        <v>149.31</v>
      </c>
      <c r="AF62" vm="4097">
        <f ca="1"/>
        <v>206.72</v>
      </c>
      <c r="AG62" vm="6811">
        <f ca="1"/>
        <v>167.84</v>
      </c>
      <c r="AH62" vm="7616">
        <f ca="1"/>
        <v>291.37</v>
      </c>
      <c r="AI62" vm="521">
        <f ca="1"/>
        <v>478.08</v>
      </c>
      <c r="AJ62" vm="767">
        <f ca="1"/>
        <v>144.07</v>
      </c>
      <c r="AK62" vm="6990">
        <f ca="1"/>
        <v>79.3</v>
      </c>
      <c r="AL62" vm="2581">
        <f ca="1"/>
        <v>72.319999999999993</v>
      </c>
      <c r="AM62" vm="7389">
        <f ca="1"/>
        <v>112.94</v>
      </c>
      <c r="AN62" vm="2547">
        <f ca="1"/>
        <v>64.17</v>
      </c>
      <c r="AO62" vm="2105">
        <f ca="1"/>
        <v>41.82</v>
      </c>
      <c r="AP62" vm="4493">
        <f ca="1"/>
        <v>221.92</v>
      </c>
      <c r="AQ62" vm="8552">
        <f ca="1"/>
        <v>517.79</v>
      </c>
      <c r="AR62" vm="5930">
        <f ca="1"/>
        <v>116.25</v>
      </c>
      <c r="AS62" vm="9971">
        <f ca="1"/>
        <v>64.92</v>
      </c>
      <c r="AT62" vm="2842">
        <f ca="1"/>
        <v>48.31</v>
      </c>
      <c r="AU62" vm="7996">
        <f ca="1"/>
        <v>150.04</v>
      </c>
      <c r="AV62" vm="3437">
        <f ca="1"/>
        <v>874.18</v>
      </c>
      <c r="AW62" vm="4723">
        <f ca="1"/>
        <v>261.83</v>
      </c>
    </row>
    <row r="63" spans="1:49">
      <c r="A63" vm="272">
        <f ca="1"/>
        <v>45597</v>
      </c>
      <c r="B63" vm="11953">
        <f ca="1"/>
        <v>345.16</v>
      </c>
      <c r="C63" vm="1699">
        <f ca="1"/>
        <v>237.33</v>
      </c>
      <c r="D63" vm="1023">
        <f ca="1"/>
        <v>170.49</v>
      </c>
      <c r="E63" vm="5715">
        <f ca="1"/>
        <v>423.46</v>
      </c>
      <c r="F63" vm="1466">
        <f ca="1"/>
        <v>207.89</v>
      </c>
      <c r="G63" vm="1243">
        <f ca="1"/>
        <v>168.95</v>
      </c>
      <c r="H63" vm="5476">
        <f ca="1"/>
        <v>574.32000000000005</v>
      </c>
      <c r="I63" vm="2369">
        <f ca="1"/>
        <v>483.02</v>
      </c>
      <c r="J63" vm="6627">
        <f ca="1"/>
        <v>138.25</v>
      </c>
      <c r="K63" vm="4299">
        <f ca="1"/>
        <v>155.01</v>
      </c>
      <c r="L63" vm="9881">
        <f ca="1"/>
        <v>315.08</v>
      </c>
      <c r="M63" vm="8964">
        <f ca="1"/>
        <v>179.26</v>
      </c>
      <c r="N63" vm="9536">
        <f ca="1"/>
        <v>610.20000000000005</v>
      </c>
      <c r="O63" vm="8814">
        <f ca="1"/>
        <v>429.13</v>
      </c>
      <c r="P63" vm="4989">
        <f ca="1"/>
        <v>532.94000000000005</v>
      </c>
      <c r="Q63" vm="7196">
        <f ca="1"/>
        <v>26.21</v>
      </c>
      <c r="R63" vm="2490">
        <f ca="1"/>
        <v>64.08</v>
      </c>
      <c r="S63" vm="9142">
        <f ca="1"/>
        <v>117.47</v>
      </c>
      <c r="T63" vm="6196">
        <f ca="1"/>
        <v>886.81</v>
      </c>
      <c r="U63" vm="3894">
        <f ca="1"/>
        <v>24.05</v>
      </c>
      <c r="V63" vm="3007">
        <f ca="1"/>
        <v>59.21</v>
      </c>
      <c r="W63" vm="3554">
        <f ca="1"/>
        <v>117.96</v>
      </c>
      <c r="X63" vm="1391">
        <f ca="1"/>
        <v>161.93</v>
      </c>
      <c r="Y63" vm="6297">
        <f ca="1"/>
        <v>92.5</v>
      </c>
      <c r="Z63" vm="1901">
        <f ca="1"/>
        <v>23.16</v>
      </c>
      <c r="AA63" vm="9663">
        <f ca="1"/>
        <v>44.34</v>
      </c>
      <c r="AB63" vm="6407">
        <f ca="1"/>
        <v>78.77</v>
      </c>
      <c r="AC63" vm="5233">
        <f ca="1"/>
        <v>296.01</v>
      </c>
      <c r="AD63" vm="6645">
        <f ca="1"/>
        <v>102.46</v>
      </c>
      <c r="AE63" vm="2647">
        <f ca="1"/>
        <v>155.44</v>
      </c>
      <c r="AF63" vm="4117">
        <f ca="1"/>
        <v>227.41</v>
      </c>
      <c r="AG63" vm="6830">
        <f ca="1"/>
        <v>184.84</v>
      </c>
      <c r="AH63" vm="7636">
        <f ca="1"/>
        <v>329.99</v>
      </c>
      <c r="AI63" vm="541">
        <f ca="1"/>
        <v>515.92999999999995</v>
      </c>
      <c r="AJ63" vm="786">
        <f ca="1"/>
        <v>137.17500000000001</v>
      </c>
      <c r="AK63" vm="7004">
        <f ca="1"/>
        <v>86.77</v>
      </c>
      <c r="AL63" vm="2601">
        <f ca="1"/>
        <v>88.55</v>
      </c>
      <c r="AM63" vm="3673">
        <f ca="1"/>
        <v>116.78</v>
      </c>
      <c r="AN63" vm="3208">
        <f ca="1"/>
        <v>70.87</v>
      </c>
      <c r="AO63" vm="2124">
        <f ca="1"/>
        <v>47.51</v>
      </c>
      <c r="AP63" vm="4513">
        <f ca="1"/>
        <v>249.72</v>
      </c>
      <c r="AQ63" vm="8572">
        <f ca="1"/>
        <v>608.57000000000005</v>
      </c>
      <c r="AR63" vm="5949">
        <f ca="1"/>
        <v>131.61000000000001</v>
      </c>
      <c r="AS63" vm="10213">
        <f ca="1"/>
        <v>76.17</v>
      </c>
      <c r="AT63" vm="9306">
        <f ca="1"/>
        <v>53.29</v>
      </c>
      <c r="AU63" vm="5938">
        <f ca="1"/>
        <v>132.31</v>
      </c>
      <c r="AV63" vm="3457">
        <f ca="1"/>
        <v>971.88</v>
      </c>
      <c r="AW63" vm="4743">
        <f ca="1"/>
        <v>272.43</v>
      </c>
    </row>
    <row r="64" spans="1:49">
      <c r="A64" vm="11954">
        <f ca="1"/>
        <v>45627</v>
      </c>
      <c r="B64" vm="11955">
        <f ca="1"/>
        <v>400.99</v>
      </c>
      <c r="C64" vm="1706">
        <f ca="1"/>
        <v>247.77</v>
      </c>
      <c r="D64" vm="1028">
        <f ca="1"/>
        <v>186.53</v>
      </c>
      <c r="E64" vm="5722">
        <f ca="1"/>
        <v>443.33</v>
      </c>
      <c r="F64" vm="1473">
        <f ca="1"/>
        <v>225.04</v>
      </c>
      <c r="G64" vm="1249">
        <f ca="1"/>
        <v>185.17</v>
      </c>
      <c r="H64" vm="5483">
        <f ca="1"/>
        <v>619.32000000000005</v>
      </c>
      <c r="I64" vm="2376">
        <f ca="1"/>
        <v>462.49</v>
      </c>
      <c r="J64" vm="6633">
        <f ca="1"/>
        <v>135.07</v>
      </c>
      <c r="K64" vm="4306">
        <f ca="1"/>
        <v>149.22999999999999</v>
      </c>
      <c r="L64" vm="9887">
        <f ca="1"/>
        <v>312.38</v>
      </c>
      <c r="M64" vm="1536">
        <f ca="1"/>
        <v>172.28</v>
      </c>
      <c r="N64" vm="9543">
        <f ca="1"/>
        <v>565.19000000000005</v>
      </c>
      <c r="O64" vm="8821">
        <f ca="1"/>
        <v>422.59</v>
      </c>
      <c r="P64" vm="4996">
        <f ca="1"/>
        <v>529.01</v>
      </c>
      <c r="Q64" vm="7203">
        <f ca="1"/>
        <v>25.57</v>
      </c>
      <c r="R64" vm="8266">
        <f ca="1"/>
        <v>62.91</v>
      </c>
      <c r="S64" vm="3631">
        <f ca="1"/>
        <v>114.73</v>
      </c>
      <c r="T64" vm="6203">
        <f ca="1"/>
        <v>913.35</v>
      </c>
      <c r="U64" vm="3902">
        <f ca="1"/>
        <v>20.16</v>
      </c>
      <c r="V64" vm="3014">
        <f ca="1"/>
        <v>58.72</v>
      </c>
      <c r="W64" vm="3577">
        <f ca="1"/>
        <v>112.67</v>
      </c>
      <c r="X64" vm="2798">
        <f ca="1"/>
        <v>157</v>
      </c>
      <c r="Y64" vm="10075">
        <f ca="1"/>
        <v>94.55</v>
      </c>
      <c r="Z64" vm="1908">
        <f ca="1"/>
        <v>23.51</v>
      </c>
      <c r="AA64" vm="2050">
        <f ca="1"/>
        <v>42.3</v>
      </c>
      <c r="AB64" vm="6413">
        <f ca="1"/>
        <v>76.739999999999995</v>
      </c>
      <c r="AC64" vm="5240">
        <f ca="1"/>
        <v>300.70999999999998</v>
      </c>
      <c r="AD64" vm="7844">
        <f ca="1"/>
        <v>98.16</v>
      </c>
      <c r="AE64" vm="4275">
        <f ca="1"/>
        <v>164.1</v>
      </c>
      <c r="AF64" vm="4123">
        <f ca="1"/>
        <v>231.72</v>
      </c>
      <c r="AG64" vm="6834">
        <f ca="1"/>
        <v>177.74</v>
      </c>
      <c r="AH64" vm="7643">
        <f ca="1"/>
        <v>348.82</v>
      </c>
      <c r="AI64" vm="546">
        <f ca="1"/>
        <v>552.96</v>
      </c>
      <c r="AJ64" vm="11956">
        <f ca="1"/>
        <v>13.25</v>
      </c>
      <c r="AK64" vm="7012">
        <f ca="1"/>
        <v>88.76</v>
      </c>
      <c r="AL64" vm="2608">
        <f ca="1"/>
        <v>94.04</v>
      </c>
      <c r="AM64" vm="7406">
        <f ca="1"/>
        <v>113.15</v>
      </c>
      <c r="AN64" vm="3213">
        <f ca="1"/>
        <v>72.5</v>
      </c>
      <c r="AO64" vm="2129">
        <f ca="1"/>
        <v>45.75</v>
      </c>
      <c r="AP64" vm="4520">
        <f ca="1"/>
        <v>242.86</v>
      </c>
      <c r="AQ64" vm="8579">
        <f ca="1"/>
        <v>585.03</v>
      </c>
      <c r="AR64" vm="5956">
        <f ca="1"/>
        <v>126.79</v>
      </c>
      <c r="AS64" vm="8309">
        <f ca="1"/>
        <v>72.05</v>
      </c>
      <c r="AT64" vm="2821">
        <f ca="1"/>
        <v>51.57</v>
      </c>
      <c r="AU64" vm="8017">
        <f ca="1"/>
        <v>135.05000000000001</v>
      </c>
      <c r="AV64" vm="3464">
        <f ca="1"/>
        <v>993.4</v>
      </c>
      <c r="AW64" vm="4717">
        <f ca="1"/>
        <v>270.11</v>
      </c>
    </row>
  </sheetData>
  <sheetProtection algorithmName="SHA-512" hashValue="ynAjXPDDOmZ6xqjysc8z5efmkjjXDlWjb1khAwiqjU1mJIZh8DAeA/4HedOiD1OFwxCq4tQc4L8y6hQA7f/ITQ==" saltValue="kEVF9reOu4+a7sH8J4lfl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1C1F6-947A-4BA7-BB0F-09C8FBA05A15}">
  <sheetPr codeName="Sheet3"/>
  <dimension ref="A1:AW64"/>
  <sheetViews>
    <sheetView workbookViewId="0">
      <selection activeCell="B63" sqref="B63"/>
    </sheetView>
  </sheetViews>
  <sheetFormatPr baseColWidth="10" defaultColWidth="8.6640625" defaultRowHeight="15"/>
  <cols>
    <col min="2" max="16" width="9" bestFit="1" customWidth="1"/>
    <col min="17" max="17" width="9.1640625" bestFit="1" customWidth="1"/>
    <col min="18" max="20" width="9" bestFit="1" customWidth="1"/>
    <col min="21" max="21" width="9.1640625" bestFit="1" customWidth="1"/>
    <col min="22" max="25" width="9" bestFit="1" customWidth="1"/>
    <col min="26" max="27" width="9.1640625" bestFit="1" customWidth="1"/>
    <col min="28" max="30" width="9" bestFit="1" customWidth="1"/>
    <col min="31" max="31" width="9.1640625" bestFit="1" customWidth="1"/>
    <col min="32" max="49" width="9" bestFit="1" customWidth="1"/>
  </cols>
  <sheetData>
    <row r="1" spans="1:49">
      <c r="B1" t="s">
        <v>0</v>
      </c>
      <c r="C1" t="s">
        <v>1</v>
      </c>
      <c r="D1" t="s">
        <v>4</v>
      </c>
      <c r="E1" t="s">
        <v>6</v>
      </c>
      <c r="F1" t="s">
        <v>8</v>
      </c>
      <c r="G1" s="1" t="s">
        <v>11</v>
      </c>
      <c r="H1" s="1" t="s">
        <v>12</v>
      </c>
      <c r="I1" s="1" t="s">
        <v>13</v>
      </c>
      <c r="J1" s="1" t="s">
        <v>15</v>
      </c>
      <c r="K1" s="1" t="s">
        <v>17</v>
      </c>
      <c r="L1" s="1" t="s">
        <v>18</v>
      </c>
      <c r="M1" s="1" t="s">
        <v>19</v>
      </c>
      <c r="N1" s="1" t="s">
        <v>20</v>
      </c>
      <c r="O1" s="1" t="s">
        <v>21</v>
      </c>
      <c r="P1" s="1" t="s">
        <v>23</v>
      </c>
      <c r="Q1" s="1" t="s">
        <v>24</v>
      </c>
      <c r="R1" s="1" t="s">
        <v>25</v>
      </c>
      <c r="S1" s="1" t="s">
        <v>26</v>
      </c>
      <c r="T1" s="1" t="s">
        <v>27</v>
      </c>
      <c r="U1" s="1" t="s">
        <v>28</v>
      </c>
      <c r="V1" s="1" t="s">
        <v>30</v>
      </c>
      <c r="W1" s="1" t="s">
        <v>31</v>
      </c>
      <c r="X1" s="1" t="s">
        <v>32</v>
      </c>
      <c r="Y1" s="1" t="s">
        <v>33</v>
      </c>
      <c r="Z1" s="1" t="s">
        <v>34</v>
      </c>
      <c r="AA1" s="1" t="s">
        <v>35</v>
      </c>
      <c r="AB1" s="1" t="s">
        <v>36</v>
      </c>
      <c r="AC1" s="1" t="s">
        <v>37</v>
      </c>
      <c r="AD1" s="1" t="s">
        <v>38</v>
      </c>
      <c r="AE1" s="1" t="s">
        <v>39</v>
      </c>
      <c r="AF1" s="1" t="s">
        <v>40</v>
      </c>
      <c r="AG1" s="1" t="s">
        <v>41</v>
      </c>
      <c r="AH1" s="1" t="s">
        <v>42</v>
      </c>
      <c r="AI1" s="1" t="s">
        <v>43</v>
      </c>
      <c r="AJ1" s="1" t="s">
        <v>44</v>
      </c>
      <c r="AK1" s="1" t="s">
        <v>45</v>
      </c>
      <c r="AL1" s="1" t="s">
        <v>46</v>
      </c>
      <c r="AM1" s="1" t="s">
        <v>48</v>
      </c>
      <c r="AN1" s="1" t="s">
        <v>50</v>
      </c>
      <c r="AO1" s="1" t="s">
        <v>51</v>
      </c>
      <c r="AP1" s="1" t="s">
        <v>52</v>
      </c>
      <c r="AQ1" s="1" t="s">
        <v>53</v>
      </c>
      <c r="AR1" s="1" t="s">
        <v>10</v>
      </c>
      <c r="AS1" s="1" t="s">
        <v>54</v>
      </c>
      <c r="AT1" s="1" t="s">
        <v>55</v>
      </c>
      <c r="AU1" s="1" t="s">
        <v>56</v>
      </c>
      <c r="AV1" s="1" t="s">
        <v>57</v>
      </c>
      <c r="AW1" s="1" t="s">
        <v>3</v>
      </c>
    </row>
    <row r="2" spans="1:49">
      <c r="A2" vm="10256">
        <f ca="1">DATA!A6</f>
        <v>43862</v>
      </c>
      <c r="B2">
        <f ca="1">(DATA!B6/DATA!B5)-1</f>
        <v>2.6776018021300141E-2</v>
      </c>
      <c r="C2">
        <f ca="1">(DATA!C6/DATA!C5)-1</f>
        <v>-0.11679751865852472</v>
      </c>
      <c r="D2">
        <f ca="1">(DATA!D6/DATA!D5)-1</f>
        <v>-6.6167908912796447E-2</v>
      </c>
      <c r="E2">
        <f ca="1">(DATA!E6/DATA!E5)-1</f>
        <v>-4.8287610879398479E-2</v>
      </c>
      <c r="F2">
        <f ca="1">(DATA!F6/DATA!F5)-1</f>
        <v>-6.2213748058465135E-2</v>
      </c>
      <c r="G2">
        <f ca="1">(DATA!G6/DATA!G5)-1</f>
        <v>-6.5278688982258082E-2</v>
      </c>
      <c r="H2">
        <f ca="1">(DATA!H6/DATA!H5)-1</f>
        <v>-4.6753504036451843E-2</v>
      </c>
      <c r="I2">
        <f ca="1">(DATA!I6/DATA!I5)-1</f>
        <v>-8.0604197299826263E-2</v>
      </c>
      <c r="J2">
        <f ca="1">(DATA!J6/DATA!J5)-1</f>
        <v>0.14228192461257372</v>
      </c>
      <c r="K2">
        <f ca="1">(DATA!K6/DATA!K5)-1</f>
        <v>-9.6661516759589006E-2</v>
      </c>
      <c r="L2">
        <f ca="1">(DATA!L6/DATA!L5)-1</f>
        <v>-8.6495451575614446E-2</v>
      </c>
      <c r="M2">
        <f ca="1">(DATA!M6/DATA!M5)-1</f>
        <v>-9.1397849462365621E-2</v>
      </c>
      <c r="N2">
        <f ca="1">(DATA!N6/DATA!N5)-1</f>
        <v>-6.419526518627261E-2</v>
      </c>
      <c r="O2">
        <f ca="1">(DATA!O6/DATA!O5)-1</f>
        <v>-4.4980271810609374E-2</v>
      </c>
      <c r="P2">
        <f ca="1">(DATA!P6/DATA!P5)-1</f>
        <v>-8.1312907514084931E-2</v>
      </c>
      <c r="Q2">
        <f ca="1">(DATA!Q6/DATA!Q5)-1</f>
        <v>-0.10257862935779294</v>
      </c>
      <c r="R2">
        <f ca="1">(DATA!R6/DATA!R5)-1</f>
        <v>-8.4075342465753322E-2</v>
      </c>
      <c r="S2">
        <f ca="1">(DATA!S6/DATA!S5)-1</f>
        <v>-0.14937459330489478</v>
      </c>
      <c r="T2">
        <f ca="1">(DATA!T6/DATA!T5)-1</f>
        <v>6.9373206989481018E-2</v>
      </c>
      <c r="U2">
        <f ca="1">(DATA!U6/DATA!U5)-1</f>
        <v>-0.13155013295792273</v>
      </c>
      <c r="V2">
        <f ca="1">(DATA!V6/DATA!V5)-1</f>
        <v>-0.13139003698063956</v>
      </c>
      <c r="W2">
        <f ca="1">(DATA!W6/DATA!W5)-1</f>
        <v>-0.17192530585962651</v>
      </c>
      <c r="X2">
        <f ca="1">(DATA!X6/DATA!X5)-1</f>
        <v>-0.12880343475826017</v>
      </c>
      <c r="Y2">
        <f ca="1">(DATA!Y6/DATA!Y5)-1</f>
        <v>-5.9481696931582895E-2</v>
      </c>
      <c r="Z2">
        <f ca="1">(DATA!Z6/DATA!Z5)-1</f>
        <v>-6.3798183027747424E-2</v>
      </c>
      <c r="AA2">
        <f ca="1">(DATA!AA6/DATA!AA5)-1</f>
        <v>-8.8829071332436116E-2</v>
      </c>
      <c r="AB2">
        <f ca="1">(DATA!AB6/DATA!AB5)-1</f>
        <v>-7.1858774662513003E-2</v>
      </c>
      <c r="AC2">
        <f ca="1">(DATA!AC6/DATA!AC5)-1</f>
        <v>-9.2536336869654678E-2</v>
      </c>
      <c r="AD2">
        <f ca="1">(DATA!AD6/DATA!AD5)-1</f>
        <v>-7.544500766238349E-2</v>
      </c>
      <c r="AE2">
        <f ca="1">(DATA!AE6/DATA!AE5)-1</f>
        <v>-0.13560813146070938</v>
      </c>
      <c r="AF2">
        <f ca="1">(DATA!AF6/DATA!AF5)-1</f>
        <v>-9.4482710638001732E-2</v>
      </c>
      <c r="AG2">
        <f ca="1">(DATA!AG6/DATA!AG5)-1</f>
        <v>-5.7006673021925636E-2</v>
      </c>
      <c r="AH2">
        <f ca="1">(DATA!AH6/DATA!AH5)-1</f>
        <v>-6.5328286983709072E-2</v>
      </c>
      <c r="AI2">
        <f ca="1">(DATA!AI6/DATA!AI5)-1</f>
        <v>-1.7144159024890304E-2</v>
      </c>
      <c r="AJ2">
        <f ca="1">(DATA!AJ6/DATA!AJ5)-1</f>
        <v>-3.2340425531914962E-2</v>
      </c>
      <c r="AK2">
        <f ca="1">(DATA!AK6/DATA!AK5)-1</f>
        <v>-5.1804372640266938E-2</v>
      </c>
      <c r="AL2">
        <f ca="1">(DATA!AL6/DATA!AL5)-1</f>
        <v>0.11567813629669299</v>
      </c>
      <c r="AM2">
        <f ca="1">(DATA!AM6/DATA!AM5)-1</f>
        <v>-9.259259259259256E-2</v>
      </c>
      <c r="AN2">
        <f ca="1">(DATA!AN6/DATA!AN5)-1</f>
        <v>-0.14715764010213672</v>
      </c>
      <c r="AO2">
        <f ca="1">(DATA!AO6/DATA!AO5)-1</f>
        <v>-0.13189156259518731</v>
      </c>
      <c r="AP2">
        <f ca="1">(DATA!AP6/DATA!AP5)-1</f>
        <v>-0.12277122997884571</v>
      </c>
      <c r="AQ2">
        <f ca="1">(DATA!AQ6/DATA!AQ5)-1</f>
        <v>-0.15554153522607772</v>
      </c>
      <c r="AR2">
        <f ca="1">(DATA!AR6/DATA!AR5)-1</f>
        <v>-0.13834672789896663</v>
      </c>
      <c r="AS2">
        <f ca="1">(DATA!AS6/DATA!AS5)-1</f>
        <v>-0.12974009373668505</v>
      </c>
      <c r="AT2">
        <f ca="1">(DATA!AT6/DATA!AT5)-1</f>
        <v>-0.12739571589627963</v>
      </c>
      <c r="AU2">
        <f ca="1">(DATA!AU6/DATA!AU5)-1</f>
        <v>-6.9893444103305002E-2</v>
      </c>
      <c r="AV2">
        <f ca="1">(DATA!AV6/DATA!AV5)-1</f>
        <v>-7.979837653836086E-2</v>
      </c>
      <c r="AW2">
        <f ca="1">(DATA!AW6/DATA!AW5)-1</f>
        <v>-8.3189951823812835E-2</v>
      </c>
    </row>
    <row r="3" spans="1:49">
      <c r="A3" vm="10290">
        <f ca="1">DATA!A7</f>
        <v>43891</v>
      </c>
      <c r="B3">
        <f ca="1">(DATA!B7/DATA!B6)-1</f>
        <v>-0.21555638391995013</v>
      </c>
      <c r="C3">
        <f ca="1">(DATA!C7/DATA!C6)-1</f>
        <v>-6.9761486684225993E-2</v>
      </c>
      <c r="D3">
        <f ca="1">(DATA!D7/DATA!D6)-1</f>
        <v>-0.13179724190453423</v>
      </c>
      <c r="E3">
        <f ca="1">(DATA!E7/DATA!E6)-1</f>
        <v>-2.6541571507931461E-2</v>
      </c>
      <c r="F3">
        <f ca="1">(DATA!F7/DATA!F6)-1</f>
        <v>3.5020570670205808E-2</v>
      </c>
      <c r="G3">
        <f ca="1">(DATA!G7/DATA!G6)-1</f>
        <v>-0.13238753033414241</v>
      </c>
      <c r="H3">
        <f ca="1">(DATA!H7/DATA!H6)-1</f>
        <v>-0.13337143450927413</v>
      </c>
      <c r="I3">
        <f ca="1">(DATA!I7/DATA!I6)-1</f>
        <v>-0.11393816031792181</v>
      </c>
      <c r="J3">
        <f ca="1">(DATA!J7/DATA!J6)-1</f>
        <v>-2.3963979975710203E-2</v>
      </c>
      <c r="K3">
        <f ca="1">(DATA!K7/DATA!K6)-1</f>
        <v>-2.4910767400356915E-2</v>
      </c>
      <c r="L3">
        <f ca="1">(DATA!L7/DATA!L6)-1</f>
        <v>-0.11355633802816889</v>
      </c>
      <c r="M3">
        <f ca="1">(DATA!M7/DATA!M6)-1</f>
        <v>-2.8526009008213449E-2</v>
      </c>
      <c r="N3">
        <f ca="1">(DATA!N7/DATA!N6)-1</f>
        <v>-2.1885786005647945E-2</v>
      </c>
      <c r="O3">
        <f ca="1">(DATA!O7/DATA!O6)-1</f>
        <v>-0.14290304810870358</v>
      </c>
      <c r="P3">
        <f ca="1">(DATA!P7/DATA!P6)-1</f>
        <v>-0.16775193798449617</v>
      </c>
      <c r="Q3">
        <f ca="1">(DATA!Q7/DATA!Q6)-1</f>
        <v>-2.3339278104827832E-2</v>
      </c>
      <c r="R3">
        <f ca="1">(DATA!R7/DATA!R6)-1</f>
        <v>-0.17274256870443072</v>
      </c>
      <c r="S3">
        <f ca="1">(DATA!S7/DATA!S6)-1</f>
        <v>-0.17892052698682537</v>
      </c>
      <c r="T3">
        <f ca="1">(DATA!T7/DATA!T6)-1</f>
        <v>1.7532449936319638E-2</v>
      </c>
      <c r="U3">
        <f ca="1">(DATA!U7/DATA!U6)-1</f>
        <v>-2.5216138328530313E-2</v>
      </c>
      <c r="V3">
        <f ca="1">(DATA!V7/DATA!V6)-1</f>
        <v>-1.5527172551965895E-2</v>
      </c>
      <c r="W3">
        <f ca="1">(DATA!W7/DATA!W6)-1</f>
        <v>-0.26185847589424571</v>
      </c>
      <c r="X3">
        <f ca="1">(DATA!X7/DATA!X6)-1</f>
        <v>-0.22369830726376694</v>
      </c>
      <c r="Y3">
        <f ca="1">(DATA!Y7/DATA!Y6)-1</f>
        <v>5.5163959546429497E-2</v>
      </c>
      <c r="Z3">
        <f ca="1">(DATA!Z7/DATA!Z6)-1</f>
        <v>-0.17234391331483523</v>
      </c>
      <c r="AA3">
        <f ca="1">(DATA!AA7/DATA!AA6)-1</f>
        <v>-7.9394387001476829E-3</v>
      </c>
      <c r="AB3">
        <f ca="1">(DATA!AB7/DATA!AB6)-1</f>
        <v>-7.4289550234951873E-2</v>
      </c>
      <c r="AC3">
        <f ca="1">(DATA!AC7/DATA!AC6)-1</f>
        <v>-0.14842663645259302</v>
      </c>
      <c r="AD3">
        <f ca="1">(DATA!AD7/DATA!AD6)-1</f>
        <v>-0.16180033150580153</v>
      </c>
      <c r="AE3">
        <f ca="1">(DATA!AE7/DATA!AE6)-1</f>
        <v>-0.45788957144414966</v>
      </c>
      <c r="AF3">
        <f ca="1">(DATA!AF7/DATA!AF6)-1</f>
        <v>-0.14767575873991545</v>
      </c>
      <c r="AG3">
        <f ca="1">(DATA!AG7/DATA!AG6)-1</f>
        <v>-2.28467448443187E-2</v>
      </c>
      <c r="AH3">
        <f ca="1">(DATA!AH7/DATA!AH6)-1</f>
        <v>-0.15504694835680755</v>
      </c>
      <c r="AI3">
        <f ca="1">(DATA!AI7/DATA!AI6)-1</f>
        <v>-7.7885952712100082E-2</v>
      </c>
      <c r="AJ3">
        <f ca="1">(DATA!AJ7/DATA!AJ6)-1</f>
        <v>0</v>
      </c>
      <c r="AK3">
        <f ca="1">(DATA!AK7/DATA!AK6)-1</f>
        <v>-0.11343642929900921</v>
      </c>
      <c r="AL3">
        <f ca="1">(DATA!AL7/DATA!AL6)-1</f>
        <v>-0.37141485659426376</v>
      </c>
      <c r="AM3">
        <f ca="1">(DATA!AM7/DATA!AM6)-1</f>
        <v>-4.6392975794969149E-2</v>
      </c>
      <c r="AN3">
        <f ca="1">(DATA!AN7/DATA!AN6)-1</f>
        <v>-0.33627481878348575</v>
      </c>
      <c r="AO3">
        <f ca="1">(DATA!AO7/DATA!AO6)-1</f>
        <v>-0.25508771929824559</v>
      </c>
      <c r="AP3">
        <f ca="1">(DATA!AP7/DATA!AP6)-1</f>
        <v>-0.22461458961329772</v>
      </c>
      <c r="AQ3">
        <f ca="1">(DATA!AQ7/DATA!AQ6)-1</f>
        <v>-0.23001444438910201</v>
      </c>
      <c r="AR3">
        <f ca="1">(DATA!AR7/DATA!AR6)-1</f>
        <v>-0.24494781256939824</v>
      </c>
      <c r="AS3">
        <f ca="1">(DATA!AS7/DATA!AS6)-1</f>
        <v>-0.29742962056303557</v>
      </c>
      <c r="AT3">
        <f ca="1">(DATA!AT7/DATA!AT6)-1</f>
        <v>-0.2581826012058569</v>
      </c>
      <c r="AU3">
        <f ca="1">(DATA!AU7/DATA!AU6)-1</f>
        <v>-9.7378640776698999E-2</v>
      </c>
      <c r="AV3">
        <f ca="1">(DATA!AV7/DATA!AV6)-1</f>
        <v>1.4192217400583296E-2</v>
      </c>
      <c r="AW3">
        <f ca="1">(DATA!AW7/DATA!AW6)-1</f>
        <v>-0.19254949798254661</v>
      </c>
    </row>
    <row r="4" spans="1:49">
      <c r="A4" vm="10322">
        <f ca="1">DATA!A8</f>
        <v>43922</v>
      </c>
      <c r="B4">
        <f ca="1">(DATA!B8/DATA!B7)-1</f>
        <v>0.49213637534709309</v>
      </c>
      <c r="C4">
        <f ca="1">(DATA!C8/DATA!C7)-1</f>
        <v>0.15537378583507033</v>
      </c>
      <c r="D4">
        <f ca="1">(DATA!D8/DATA!D7)-1</f>
        <v>0.15982834684944236</v>
      </c>
      <c r="E4">
        <f ca="1">(DATA!E8/DATA!E7)-1</f>
        <v>0.13632616828355837</v>
      </c>
      <c r="F4">
        <f ca="1">(DATA!F8/DATA!F7)-1</f>
        <v>0.26890014976509446</v>
      </c>
      <c r="G4">
        <f ca="1">(DATA!G8/DATA!G7)-1</f>
        <v>0.15899995696888847</v>
      </c>
      <c r="H4">
        <f ca="1">(DATA!H8/DATA!H7)-1</f>
        <v>0.22727817745803347</v>
      </c>
      <c r="I4">
        <f ca="1">(DATA!I8/DATA!I7)-1</f>
        <v>2.4777115353060264E-2</v>
      </c>
      <c r="J4">
        <f ca="1">(DATA!J8/DATA!J7)-1</f>
        <v>0.10880121396054632</v>
      </c>
      <c r="K4">
        <f ca="1">(DATA!K8/DATA!K7)-1</f>
        <v>0.14420803782505898</v>
      </c>
      <c r="L4">
        <f ca="1">(DATA!L8/DATA!L7)-1</f>
        <v>0.10923535253227401</v>
      </c>
      <c r="M4">
        <f ca="1">(DATA!M8/DATA!M7)-1</f>
        <v>7.1545454545454579E-2</v>
      </c>
      <c r="N4">
        <f ca="1">(DATA!N8/DATA!N7)-1</f>
        <v>0.17278851551848606</v>
      </c>
      <c r="O4">
        <f ca="1">(DATA!O8/DATA!O7)-1</f>
        <v>0.1773873922125222</v>
      </c>
      <c r="P4">
        <f ca="1">(DATA!P8/DATA!P7)-1</f>
        <v>0.1383093227355523</v>
      </c>
      <c r="Q4">
        <f ca="1">(DATA!Q8/DATA!Q7)-1</f>
        <v>0.17524587037952766</v>
      </c>
      <c r="R4">
        <f ca="1">(DATA!R8/DATA!R7)-1</f>
        <v>3.7062146892655301E-2</v>
      </c>
      <c r="S4">
        <f ca="1">(DATA!S8/DATA!S7)-1</f>
        <v>0.11956521739130443</v>
      </c>
      <c r="T4">
        <f ca="1">(DATA!T8/DATA!T7)-1</f>
        <v>0.11810918774966717</v>
      </c>
      <c r="U4">
        <f ca="1">(DATA!U8/DATA!U7)-1</f>
        <v>0.10827790096082768</v>
      </c>
      <c r="V4">
        <f ca="1">(DATA!V8/DATA!V7)-1</f>
        <v>7.8097176291020087E-2</v>
      </c>
      <c r="W4">
        <f ca="1">(DATA!W8/DATA!W7)-1</f>
        <v>0.22386094284961811</v>
      </c>
      <c r="X4">
        <f ca="1">(DATA!X8/DATA!X7)-1</f>
        <v>0.26966602263317707</v>
      </c>
      <c r="Y4">
        <f ca="1">(DATA!Y8/DATA!Y7)-1</f>
        <v>6.9793784490270294E-2</v>
      </c>
      <c r="Z4">
        <f ca="1">(DATA!Z8/DATA!Z7)-1</f>
        <v>4.5281304653962406E-2</v>
      </c>
      <c r="AA4">
        <f ca="1">(DATA!AA8/DATA!AA7)-1</f>
        <v>6.9235064209938635E-2</v>
      </c>
      <c r="AB4">
        <f ca="1">(DATA!AB8/DATA!AB7)-1</f>
        <v>5.3662073966642687E-2</v>
      </c>
      <c r="AC4">
        <f ca="1">(DATA!AC8/DATA!AC7)-1</f>
        <v>0.13432113698215908</v>
      </c>
      <c r="AD4">
        <f ca="1">(DATA!AD8/DATA!AD7)-1</f>
        <v>0.16717371463340447</v>
      </c>
      <c r="AE4">
        <f ca="1">(DATA!AE8/DATA!AE7)-1</f>
        <v>-5.4445487461445508E-2</v>
      </c>
      <c r="AF4">
        <f ca="1">(DATA!AF8/DATA!AF7)-1</f>
        <v>0.13188497250518338</v>
      </c>
      <c r="AG4">
        <f ca="1">(DATA!AG8/DATA!AG7)-1</f>
        <v>9.6006621146285998E-2</v>
      </c>
      <c r="AH4">
        <f ca="1">(DATA!AH8/DATA!AH7)-1</f>
        <v>0.12480900125017369</v>
      </c>
      <c r="AI4">
        <f ca="1">(DATA!AI8/DATA!AI7)-1</f>
        <v>0.11123680241327283</v>
      </c>
      <c r="AJ4">
        <f ca="1">(DATA!AJ8/DATA!AJ7)-1</f>
        <v>0.1519349164467898</v>
      </c>
      <c r="AK4">
        <f ca="1">(DATA!AK8/DATA!AK7)-1</f>
        <v>0.28472947566325479</v>
      </c>
      <c r="AL4">
        <f ca="1">(DATA!AL8/DATA!AL7)-1</f>
        <v>0.24360442917143943</v>
      </c>
      <c r="AM4">
        <f ca="1">(DATA!AM8/DATA!AM7)-1</f>
        <v>0.11024013935548083</v>
      </c>
      <c r="AN4">
        <f ca="1">(DATA!AN8/DATA!AN7)-1</f>
        <v>0.15289648622981966</v>
      </c>
      <c r="AO4">
        <f ca="1">(DATA!AO8/DATA!AO7)-1</f>
        <v>0.13283089967027784</v>
      </c>
      <c r="AP4">
        <f ca="1">(DATA!AP8/DATA!AP7)-1</f>
        <v>6.36454515161613E-2</v>
      </c>
      <c r="AQ4">
        <f ca="1">(DATA!AQ8/DATA!AQ7)-1</f>
        <v>0.18649330487094895</v>
      </c>
      <c r="AR4">
        <f ca="1">(DATA!AR8/DATA!AR7)-1</f>
        <v>0.15970588235294114</v>
      </c>
      <c r="AS4">
        <f ca="1">(DATA!AS8/DATA!AS7)-1</f>
        <v>1.2195121951219523E-2</v>
      </c>
      <c r="AT4">
        <f ca="1">(DATA!AT8/DATA!AT7)-1</f>
        <v>5.9506531204644331E-2</v>
      </c>
      <c r="AU4">
        <f ca="1">(DATA!AU8/DATA!AU7)-1</f>
        <v>0.18038076798967406</v>
      </c>
      <c r="AV4">
        <f ca="1">(DATA!AV8/DATA!AV7)-1</f>
        <v>6.2673166625749621E-2</v>
      </c>
      <c r="AW4">
        <f ca="1">(DATA!AW8/DATA!AW7)-1</f>
        <v>0.21731551423590934</v>
      </c>
    </row>
    <row r="5" spans="1:49">
      <c r="A5" vm="10356">
        <f ca="1">DATA!A9</f>
        <v>43952</v>
      </c>
      <c r="B5">
        <f ca="1">(DATA!B9/DATA!B8)-1</f>
        <v>6.7938869789428535E-2</v>
      </c>
      <c r="C5">
        <f ca="1">(DATA!C9/DATA!C8)-1</f>
        <v>8.2164737916950337E-2</v>
      </c>
      <c r="D5">
        <f ca="1">(DATA!D9/DATA!D8)-1</f>
        <v>5.9510921952159679E-2</v>
      </c>
      <c r="E5">
        <f ca="1">(DATA!E9/DATA!E8)-1</f>
        <v>2.2543384855755688E-2</v>
      </c>
      <c r="F5">
        <f ca="1">(DATA!F9/DATA!F8)-1</f>
        <v>-1.2784963621665368E-2</v>
      </c>
      <c r="G5">
        <f ca="1">(DATA!G9/DATA!G8)-1</f>
        <v>6.4468701269770667E-2</v>
      </c>
      <c r="H5">
        <f ca="1">(DATA!H9/DATA!H8)-1</f>
        <v>9.9555468711836292E-2</v>
      </c>
      <c r="I5">
        <f ca="1">(DATA!I9/DATA!I8)-1</f>
        <v>-9.5004269854824797E-3</v>
      </c>
      <c r="J5">
        <f ca="1">(DATA!J9/DATA!J8)-1</f>
        <v>0.21465717804844675</v>
      </c>
      <c r="K5">
        <f ca="1">(DATA!K9/DATA!K8)-1</f>
        <v>-8.5977072780590857E-3</v>
      </c>
      <c r="L5">
        <f ca="1">(DATA!L9/DATA!L8)-1</f>
        <v>9.2435094001790619E-2</v>
      </c>
      <c r="M5">
        <f ca="1">(DATA!M9/DATA!M8)-1</f>
        <v>-1.6543649783659964E-2</v>
      </c>
      <c r="N5">
        <f ca="1">(DATA!N9/DATA!N8)-1</f>
        <v>4.2329127773788722E-2</v>
      </c>
      <c r="O5">
        <f ca="1">(DATA!O9/DATA!O8)-1</f>
        <v>0.13032798071236851</v>
      </c>
      <c r="P5">
        <f ca="1">(DATA!P9/DATA!P8)-1</f>
        <v>9.4264828890424202E-2</v>
      </c>
      <c r="Q5">
        <f ca="1">(DATA!Q9/DATA!Q8)-1</f>
        <v>-4.4330288146873231E-3</v>
      </c>
      <c r="R5">
        <f ca="1">(DATA!R9/DATA!R8)-1</f>
        <v>1.7215079538025702E-2</v>
      </c>
      <c r="S5">
        <f ca="1">(DATA!S9/DATA!S8)-1</f>
        <v>8.46047156726768E-2</v>
      </c>
      <c r="T5">
        <f ca="1">(DATA!T9/DATA!T8)-1</f>
        <v>-2.8581636298674606E-4</v>
      </c>
      <c r="U5">
        <f ca="1">(DATA!U9/DATA!U8)-1</f>
        <v>4.9183061020340091E-2</v>
      </c>
      <c r="V5">
        <f ca="1">(DATA!V9/DATA!V8)-1</f>
        <v>0.1283624351109014</v>
      </c>
      <c r="W5">
        <f ca="1">(DATA!W9/DATA!W8)-1</f>
        <v>-2.1519259737465046E-2</v>
      </c>
      <c r="X5">
        <f ca="1">(DATA!X9/DATA!X8)-1</f>
        <v>-3.260869565217317E-3</v>
      </c>
      <c r="Y5">
        <f ca="1">(DATA!Y9/DATA!Y8)-1</f>
        <v>2.0648479747656934E-2</v>
      </c>
      <c r="Z5">
        <f ca="1">(DATA!Z9/DATA!Z8)-1</f>
        <v>1.2802962151732045E-2</v>
      </c>
      <c r="AA5">
        <f ca="1">(DATA!AA9/DATA!AA8)-1</f>
        <v>-1.2184508268059391E-3</v>
      </c>
      <c r="AB5">
        <f ca="1">(DATA!AB9/DATA!AB8)-1</f>
        <v>0.13076393668272535</v>
      </c>
      <c r="AC5">
        <f ca="1">(DATA!AC9/DATA!AC8)-1</f>
        <v>-6.6112177436553621E-3</v>
      </c>
      <c r="AD5">
        <f ca="1">(DATA!AD9/DATA!AD8)-1</f>
        <v>1.6421217255310649E-2</v>
      </c>
      <c r="AE5">
        <f ca="1">(DATA!AE9/DATA!AE8)-1</f>
        <v>3.4250460927527815E-2</v>
      </c>
      <c r="AF5">
        <f ca="1">(DATA!AF9/DATA!AF8)-1</f>
        <v>-5.2564510990761315E-3</v>
      </c>
      <c r="AG5">
        <f ca="1">(DATA!AG9/DATA!AG8)-1</f>
        <v>1.5102888427411809E-2</v>
      </c>
      <c r="AH5">
        <f ca="1">(DATA!AH9/DATA!AH8)-1</f>
        <v>7.9283729546156145E-2</v>
      </c>
      <c r="AI5">
        <f ca="1">(DATA!AI9/DATA!AI8)-1</f>
        <v>9.320212645628323E-2</v>
      </c>
      <c r="AJ5">
        <f ca="1">(DATA!AJ9/DATA!AJ8)-1</f>
        <v>2.6913533117006949E-2</v>
      </c>
      <c r="AK5">
        <f ca="1">(DATA!AK9/DATA!AK8)-1</f>
        <v>0.2602439024390244</v>
      </c>
      <c r="AL5">
        <f ca="1">(DATA!AL9/DATA!AL8)-1</f>
        <v>0.24470371507522248</v>
      </c>
      <c r="AM5">
        <f ca="1">(DATA!AM9/DATA!AM8)-1</f>
        <v>2.5439874481676616E-2</v>
      </c>
      <c r="AN5">
        <f ca="1">(DATA!AN9/DATA!AN8)-1</f>
        <v>-1.3385502471169763E-2</v>
      </c>
      <c r="AO5">
        <f ca="1">(DATA!AO9/DATA!AO8)-1</f>
        <v>2.9106029106029663E-3</v>
      </c>
      <c r="AP5">
        <f ca="1">(DATA!AP9/DATA!AP8)-1</f>
        <v>1.6186299081035971E-2</v>
      </c>
      <c r="AQ5">
        <f ca="1">(DATA!AQ9/DATA!AQ8)-1</f>
        <v>7.1257223857812857E-2</v>
      </c>
      <c r="AR5">
        <f ca="1">(DATA!AR9/DATA!AR8)-1</f>
        <v>0.12097387775805224</v>
      </c>
      <c r="AS5">
        <f ca="1">(DATA!AS9/DATA!AS8)-1</f>
        <v>-8.8812392426850351E-2</v>
      </c>
      <c r="AT5">
        <f ca="1">(DATA!AT9/DATA!AT8)-1</f>
        <v>-2.5753424657534163E-2</v>
      </c>
      <c r="AU5">
        <f ca="1">(DATA!AU9/DATA!AU8)-1</f>
        <v>0.11472571532713682</v>
      </c>
      <c r="AV5">
        <f ca="1">(DATA!AV9/DATA!AV8)-1</f>
        <v>1.8052805280528217E-2</v>
      </c>
      <c r="AW5">
        <f ca="1">(DATA!AW9/DATA!AW8)-1</f>
        <v>0.24439140811455839</v>
      </c>
    </row>
    <row r="6" spans="1:49">
      <c r="A6" vm="10395">
        <f ca="1">DATA!A10</f>
        <v>43983</v>
      </c>
      <c r="B6">
        <f ca="1">(DATA!B10/DATA!B9)-1</f>
        <v>0.2931856192548068</v>
      </c>
      <c r="C6">
        <f ca="1">(DATA!C10/DATA!C9)-1</f>
        <v>0.14738629930175517</v>
      </c>
      <c r="D6">
        <f ca="1">(DATA!D10/DATA!D9)-1</f>
        <v>-1.0714385689891692E-2</v>
      </c>
      <c r="E6">
        <f ca="1">(DATA!E10/DATA!E9)-1</f>
        <v>0.11055934515688937</v>
      </c>
      <c r="F6">
        <f ca="1">(DATA!F10/DATA!F9)-1</f>
        <v>0.12956677325712329</v>
      </c>
      <c r="G6">
        <f ca="1">(DATA!G10/DATA!G9)-1</f>
        <v>-1.0791617835816725E-2</v>
      </c>
      <c r="H6">
        <f ca="1">(DATA!H10/DATA!H9)-1</f>
        <v>8.7964814074370512E-3</v>
      </c>
      <c r="I6">
        <f ca="1">(DATA!I10/DATA!I9)-1</f>
        <v>-3.8096777670007631E-2</v>
      </c>
      <c r="J6">
        <f ca="1">(DATA!J10/DATA!J9)-1</f>
        <v>7.0114359754379851E-2</v>
      </c>
      <c r="K6">
        <f ca="1">(DATA!K10/DATA!K9)-1</f>
        <v>-5.4588235294117715E-2</v>
      </c>
      <c r="L6">
        <f ca="1">(DATA!L10/DATA!L9)-1</f>
        <v>-1.0602335586969991E-2</v>
      </c>
      <c r="M6">
        <f ca="1">(DATA!M10/DATA!M9)-1</f>
        <v>3.1487232574189061E-2</v>
      </c>
      <c r="N6">
        <f ca="1">(DATA!N10/DATA!N9)-1</f>
        <v>-3.2474987698868363E-2</v>
      </c>
      <c r="O6">
        <f ca="1">(DATA!O10/DATA!O9)-1</f>
        <v>8.1696716033483607E-3</v>
      </c>
      <c r="P6">
        <f ca="1">(DATA!P10/DATA!P9)-1</f>
        <v>-1.724882847552256E-2</v>
      </c>
      <c r="Q6">
        <f ca="1">(DATA!Q10/DATA!Q9)-1</f>
        <v>-0.14375369452685183</v>
      </c>
      <c r="R6">
        <f ca="1">(DATA!R10/DATA!R9)-1</f>
        <v>-4.2844901456726703E-2</v>
      </c>
      <c r="S6">
        <f ca="1">(DATA!S10/DATA!S9)-1</f>
        <v>-4.9360613810741638E-2</v>
      </c>
      <c r="T6">
        <f ca="1">(DATA!T10/DATA!T9)-1</f>
        <v>8.4125509255950304E-2</v>
      </c>
      <c r="U6">
        <f ca="1">(DATA!U10/DATA!U9)-1</f>
        <v>-4.9261083743842415E-2</v>
      </c>
      <c r="V6">
        <f ca="1">(DATA!V10/DATA!V9)-1</f>
        <v>-2.4675867837724796E-2</v>
      </c>
      <c r="W6">
        <f ca="1">(DATA!W10/DATA!W9)-1</f>
        <v>-1.6494391906751726E-2</v>
      </c>
      <c r="X6">
        <f ca="1">(DATA!X10/DATA!X9)-1</f>
        <v>-2.6935659760087272E-2</v>
      </c>
      <c r="Y6">
        <f ca="1">(DATA!Y10/DATA!Y9)-1</f>
        <v>-3.449818513332803E-2</v>
      </c>
      <c r="Z6">
        <f ca="1">(DATA!Z10/DATA!Z9)-1</f>
        <v>-2.0416307300181513E-2</v>
      </c>
      <c r="AA6">
        <f ca="1">(DATA!AA10/DATA!AA9)-1</f>
        <v>-3.921226908330433E-2</v>
      </c>
      <c r="AB6">
        <f ca="1">(DATA!AB10/DATA!AB9)-1</f>
        <v>-5.3763440860215006E-3</v>
      </c>
      <c r="AC6">
        <f ca="1">(DATA!AC10/DATA!AC9)-1</f>
        <v>-9.9291541434091135E-3</v>
      </c>
      <c r="AD6">
        <f ca="1">(DATA!AD10/DATA!AD9)-1</f>
        <v>-5.6417489421720646E-2</v>
      </c>
      <c r="AE6">
        <f ca="1">(DATA!AE10/DATA!AE9)-1</f>
        <v>0.25677065478231076</v>
      </c>
      <c r="AF6">
        <f ca="1">(DATA!AF10/DATA!AF9)-1</f>
        <v>-3.3066453162530096E-2</v>
      </c>
      <c r="AG6">
        <f ca="1">(DATA!AG10/DATA!AG9)-1</f>
        <v>2.7896596615212932E-2</v>
      </c>
      <c r="AH6">
        <f ca="1">(DATA!AH10/DATA!AH9)-1</f>
        <v>7.1743234738829598E-2</v>
      </c>
      <c r="AI6">
        <f ca="1">(DATA!AI10/DATA!AI9)-1</f>
        <v>0.12599586135540597</v>
      </c>
      <c r="AJ6">
        <f ca="1">(DATA!AJ10/DATA!AJ9)-1</f>
        <v>-2.2118959107806702E-2</v>
      </c>
      <c r="AK6">
        <f ca="1">(DATA!AK10/DATA!AK9)-1</f>
        <v>0.12399200051609571</v>
      </c>
      <c r="AL6">
        <f ca="1">(DATA!AL10/DATA!AL9)-1</f>
        <v>0.29427725703009378</v>
      </c>
      <c r="AM6">
        <f ca="1">(DATA!AM10/DATA!AM9)-1</f>
        <v>2.0000000000000018E-2</v>
      </c>
      <c r="AN6">
        <f ca="1">(DATA!AN10/DATA!AN9)-1</f>
        <v>6.6583176789814402E-2</v>
      </c>
      <c r="AO6">
        <f ca="1">(DATA!AO10/DATA!AO9)-1</f>
        <v>-1.5339966832504159E-2</v>
      </c>
      <c r="AP6">
        <f ca="1">(DATA!AP10/DATA!AP9)-1</f>
        <v>-3.3398417428835647E-2</v>
      </c>
      <c r="AQ6">
        <f ca="1">(DATA!AQ10/DATA!AQ9)-1</f>
        <v>5.7509288004478076E-3</v>
      </c>
      <c r="AR6">
        <f ca="1">(DATA!AR10/DATA!AR9)-1</f>
        <v>9.2760180995475006E-2</v>
      </c>
      <c r="AS6">
        <f ca="1">(DATA!AS10/DATA!AS9)-1</f>
        <v>-3.2867397053267799E-2</v>
      </c>
      <c r="AT6">
        <f ca="1">(DATA!AT10/DATA!AT9)-1</f>
        <v>3.5433070866141669E-2</v>
      </c>
      <c r="AU6">
        <f ca="1">(DATA!AU10/DATA!AU9)-1</f>
        <v>-1.9619063189732611E-2</v>
      </c>
      <c r="AV6">
        <f ca="1">(DATA!AV10/DATA!AV9)-1</f>
        <v>-1.7051901319415363E-2</v>
      </c>
      <c r="AW6">
        <f ca="1">(DATA!AW10/DATA!AW9)-1</f>
        <v>3.6593785960874703E-2</v>
      </c>
    </row>
    <row r="7" spans="1:49">
      <c r="A7" vm="10436">
        <f ca="1">DATA!A11</f>
        <v>44013</v>
      </c>
      <c r="B7">
        <f ca="1">(DATA!B11/DATA!B10)-1</f>
        <v>0.32501048806305621</v>
      </c>
      <c r="C7">
        <f ca="1">(DATA!C11/DATA!C10)-1</f>
        <v>0.16513157894736841</v>
      </c>
      <c r="D7">
        <f ca="1">(DATA!D11/DATA!D10)-1</f>
        <v>4.9058792736327517E-2</v>
      </c>
      <c r="E7">
        <f ca="1">(DATA!E11/DATA!E10)-1</f>
        <v>7.3706451771411441E-3</v>
      </c>
      <c r="F7">
        <f ca="1">(DATA!F11/DATA!F10)-1</f>
        <v>0.14711362104087988</v>
      </c>
      <c r="G7">
        <f ca="1">(DATA!G11/DATA!G10)-1</f>
        <v>4.9293043263636482E-2</v>
      </c>
      <c r="H7">
        <f ca="1">(DATA!H11/DATA!H10)-1</f>
        <v>0.11714449288765572</v>
      </c>
      <c r="I7">
        <f ca="1">(DATA!I11/DATA!I10)-1</f>
        <v>9.6745280376449472E-2</v>
      </c>
      <c r="J7">
        <f ca="1">(DATA!J11/DATA!J10)-1</f>
        <v>0.11760618248436483</v>
      </c>
      <c r="K7">
        <f ca="1">(DATA!K11/DATA!K10)-1</f>
        <v>3.6478702979449551E-2</v>
      </c>
      <c r="L7">
        <f ca="1">(DATA!L11/DATA!L10)-1</f>
        <v>-1.4339700781694775E-2</v>
      </c>
      <c r="M7">
        <f ca="1">(DATA!M11/DATA!M10)-1</f>
        <v>9.659613615455398E-2</v>
      </c>
      <c r="N7">
        <f ca="1">(DATA!N11/DATA!N10)-1</f>
        <v>2.6546872351245865E-2</v>
      </c>
      <c r="O7">
        <f ca="1">(DATA!O11/DATA!O10)-1</f>
        <v>5.9798012055407135E-2</v>
      </c>
      <c r="P7">
        <f ca="1">(DATA!P11/DATA!P10)-1</f>
        <v>4.3388569496110918E-2</v>
      </c>
      <c r="Q7">
        <f ca="1">(DATA!Q11/DATA!Q10)-1</f>
        <v>0.1767565649396734</v>
      </c>
      <c r="R7">
        <f ca="1">(DATA!R11/DATA!R10)-1</f>
        <v>5.7296329453894401E-2</v>
      </c>
      <c r="S7">
        <f ca="1">(DATA!S11/DATA!S10)-1</f>
        <v>4.8695184288404469E-2</v>
      </c>
      <c r="T7">
        <f ca="1">(DATA!T11/DATA!T10)-1</f>
        <v>7.4367088607594889E-2</v>
      </c>
      <c r="U7">
        <f ca="1">(DATA!U11/DATA!U10)-1</f>
        <v>-0.20223967909075713</v>
      </c>
      <c r="V7">
        <f ca="1">(DATA!V11/DATA!V10)-1</f>
        <v>9.8627787307032921E-3</v>
      </c>
      <c r="W7">
        <f ca="1">(DATA!W11/DATA!W10)-1</f>
        <v>-5.903398926654746E-2</v>
      </c>
      <c r="X7">
        <f ca="1">(DATA!X11/DATA!X10)-1</f>
        <v>-5.9284993836153821E-2</v>
      </c>
      <c r="Y7">
        <f ca="1">(DATA!Y11/DATA!Y10)-1</f>
        <v>8.0312976659495217E-2</v>
      </c>
      <c r="Z7">
        <f ca="1">(DATA!Z11/DATA!Z10)-1</f>
        <v>-2.1503256808196536E-2</v>
      </c>
      <c r="AA7">
        <f ca="1">(DATA!AA11/DATA!AA10)-1</f>
        <v>4.2626519136586216E-2</v>
      </c>
      <c r="AB7">
        <f ca="1">(DATA!AB11/DATA!AB10)-1</f>
        <v>-4.4875063742988441E-3</v>
      </c>
      <c r="AC7">
        <f ca="1">(DATA!AC11/DATA!AC10)-1</f>
        <v>5.3179378760774165E-2</v>
      </c>
      <c r="AD7">
        <f ca="1">(DATA!AD11/DATA!AD10)-1</f>
        <v>3.9951080309824638E-2</v>
      </c>
      <c r="AE7">
        <f ca="1">(DATA!AE11/DATA!AE10)-1</f>
        <v>-0.138025095471904</v>
      </c>
      <c r="AF7">
        <f ca="1">(DATA!AF11/DATA!AF10)-1</f>
        <v>1.79680384201375E-2</v>
      </c>
      <c r="AG7">
        <f ca="1">(DATA!AG11/DATA!AG10)-1</f>
        <v>3.2567396417586547E-3</v>
      </c>
      <c r="AH7">
        <f ca="1">(DATA!AH11/DATA!AH10)-1</f>
        <v>4.0143063043826199E-2</v>
      </c>
      <c r="AI7">
        <f ca="1">(DATA!AI11/DATA!AI10)-1</f>
        <v>2.0697893455238869E-2</v>
      </c>
      <c r="AJ7">
        <f ca="1">(DATA!AJ11/DATA!AJ10)-1</f>
        <v>0.47177342710511327</v>
      </c>
      <c r="AK7">
        <f ca="1">(DATA!AK11/DATA!AK10)-1</f>
        <v>0.12535154680594629</v>
      </c>
      <c r="AL7">
        <f ca="1">(DATA!AL11/DATA!AL10)-1</f>
        <v>0.23737373737373724</v>
      </c>
      <c r="AM7">
        <f ca="1">(DATA!AM11/DATA!AM10)-1</f>
        <v>0.12954034072645459</v>
      </c>
      <c r="AN7">
        <f ca="1">(DATA!AN11/DATA!AN10)-1</f>
        <v>-2.1330724070450113E-2</v>
      </c>
      <c r="AO7">
        <f ca="1">(DATA!AO11/DATA!AO10)-1</f>
        <v>4.7578947368420943E-2</v>
      </c>
      <c r="AP7">
        <f ca="1">(DATA!AP11/DATA!AP10)-1</f>
        <v>2.7429300446523586E-2</v>
      </c>
      <c r="AQ7">
        <f ca="1">(DATA!AQ11/DATA!AQ10)-1</f>
        <v>1.7204736362717021E-3</v>
      </c>
      <c r="AR7">
        <f ca="1">(DATA!AR11/DATA!AR10)-1</f>
        <v>1.200828157349898E-2</v>
      </c>
      <c r="AS7">
        <f ca="1">(DATA!AS11/DATA!AS10)-1</f>
        <v>-5.2343750000000022E-2</v>
      </c>
      <c r="AT7">
        <f ca="1">(DATA!AT11/DATA!AT10)-1</f>
        <v>5.4318305268874489E-4</v>
      </c>
      <c r="AU7">
        <f ca="1">(DATA!AU11/DATA!AU10)-1</f>
        <v>4.9612273826398656E-2</v>
      </c>
      <c r="AV7">
        <f ca="1">(DATA!AV11/DATA!AV10)-1</f>
        <v>7.3612347877708428E-2</v>
      </c>
      <c r="AW7">
        <f ca="1">(DATA!AW11/DATA!AW10)-1</f>
        <v>0.10205743043220838</v>
      </c>
    </row>
    <row r="8" spans="1:49">
      <c r="A8" vm="10477">
        <f ca="1">DATA!A12</f>
        <v>44044</v>
      </c>
      <c r="B8">
        <f ca="1">(DATA!B12/DATA!B11)-1</f>
        <v>0.74145287944392613</v>
      </c>
      <c r="C8">
        <f ca="1">(DATA!C12/DATA!C11)-1</f>
        <v>0.21437982307547521</v>
      </c>
      <c r="D8">
        <f ca="1">(DATA!D12/DATA!D11)-1</f>
        <v>0.10197173221125322</v>
      </c>
      <c r="E8">
        <f ca="1">(DATA!E12/DATA!E11)-1</f>
        <v>0.1000926784059315</v>
      </c>
      <c r="F8">
        <f ca="1">(DATA!F12/DATA!F11)-1</f>
        <v>9.0460962877763285E-2</v>
      </c>
      <c r="G8">
        <f ca="1">(DATA!G12/DATA!G11)-1</f>
        <v>9.5151046742162126E-2</v>
      </c>
      <c r="H8">
        <f ca="1">(DATA!H12/DATA!H11)-1</f>
        <v>0.15583238065202831</v>
      </c>
      <c r="I8">
        <f ca="1">(DATA!I12/DATA!I11)-1</f>
        <v>0.11369904995403002</v>
      </c>
      <c r="J8">
        <f ca="1">(DATA!J12/DATA!J11)-1</f>
        <v>0.25998605720315027</v>
      </c>
      <c r="K8">
        <f ca="1">(DATA!K12/DATA!K11)-1</f>
        <v>5.2483534577387525E-2</v>
      </c>
      <c r="L8">
        <f ca="1">(DATA!L12/DATA!L11)-1</f>
        <v>0.11339285714285707</v>
      </c>
      <c r="M8">
        <f ca="1">(DATA!M12/DATA!M11)-1</f>
        <v>5.498779743746196E-2</v>
      </c>
      <c r="N8">
        <f ca="1">(DATA!N12/DATA!N11)-1</f>
        <v>3.2267653081445413E-2</v>
      </c>
      <c r="O8">
        <f ca="1">(DATA!O12/DATA!O11)-1</f>
        <v>7.3637425138423307E-2</v>
      </c>
      <c r="P8">
        <f ca="1">(DATA!P12/DATA!P11)-1</f>
        <v>0.1609567951252715</v>
      </c>
      <c r="Q8">
        <f ca="1">(DATA!Q12/DATA!Q11)-1</f>
        <v>-1.7931798306334623E-2</v>
      </c>
      <c r="R8">
        <f ca="1">(DATA!R12/DATA!R11)-1</f>
        <v>4.8475867908551962E-2</v>
      </c>
      <c r="S8">
        <f ca="1">(DATA!S12/DATA!S11)-1</f>
        <v>0.12767231058662576</v>
      </c>
      <c r="T8">
        <f ca="1">(DATA!T12/DATA!T11)-1</f>
        <v>8.3210603829160457E-2</v>
      </c>
      <c r="U8">
        <f ca="1">(DATA!U12/DATA!U11)-1</f>
        <v>6.7462811648858256E-2</v>
      </c>
      <c r="V8">
        <f ca="1">(DATA!V12/DATA!V11)-1</f>
        <v>-0.10360934182590242</v>
      </c>
      <c r="W8">
        <f ca="1">(DATA!W12/DATA!W11)-1</f>
        <v>-5.0855513307984768E-2</v>
      </c>
      <c r="X8">
        <f ca="1">(DATA!X12/DATA!X11)-1</f>
        <v>-1.1913271384311752E-4</v>
      </c>
      <c r="Y8">
        <f ca="1">(DATA!Y12/DATA!Y11)-1</f>
        <v>7.3030099993276476E-2</v>
      </c>
      <c r="Z8">
        <f ca="1">(DATA!Z12/DATA!Z11)-1</f>
        <v>7.7759174866371961E-3</v>
      </c>
      <c r="AA8">
        <f ca="1">(DATA!AA12/DATA!AA11)-1</f>
        <v>3.1141266527487943E-2</v>
      </c>
      <c r="AB8">
        <f ca="1">(DATA!AB12/DATA!AB11)-1</f>
        <v>0.14629648601577716</v>
      </c>
      <c r="AC8">
        <f ca="1">(DATA!AC12/DATA!AC11)-1</f>
        <v>9.9032324480131884E-2</v>
      </c>
      <c r="AD8">
        <f ca="1">(DATA!AD12/DATA!AD11)-1</f>
        <v>0.10375016333464004</v>
      </c>
      <c r="AE8">
        <f ca="1">(DATA!AE12/DATA!AE11)-1</f>
        <v>8.7468354430379813E-2</v>
      </c>
      <c r="AF8">
        <f ca="1">(DATA!AF12/DATA!AF11)-1</f>
        <v>3.0095981779729719E-3</v>
      </c>
      <c r="AG8">
        <f ca="1">(DATA!AG12/DATA!AG11)-1</f>
        <v>3.1920649233543763E-2</v>
      </c>
      <c r="AH8">
        <f ca="1">(DATA!AH12/DATA!AH11)-1</f>
        <v>0.39928149858865791</v>
      </c>
      <c r="AI8">
        <f ca="1">(DATA!AI12/DATA!AI11)-1</f>
        <v>0.15545102628736052</v>
      </c>
      <c r="AJ8">
        <f ca="1">(DATA!AJ12/DATA!AJ11)-1</f>
        <v>0.17293038873821498</v>
      </c>
      <c r="AK8">
        <f ca="1">(DATA!AK12/DATA!AK11)-1</f>
        <v>4.1158769827102537E-2</v>
      </c>
      <c r="AL8">
        <f ca="1">(DATA!AL12/DATA!AL11)-1</f>
        <v>0.22880246438197926</v>
      </c>
      <c r="AM8">
        <f ca="1">(DATA!AM12/DATA!AM11)-1</f>
        <v>-3.3769683172073628E-2</v>
      </c>
      <c r="AN8">
        <f ca="1">(DATA!AN12/DATA!AN11)-1</f>
        <v>2.2195560887822374E-2</v>
      </c>
      <c r="AO8">
        <f ca="1">(DATA!AO12/DATA!AO11)-1</f>
        <v>3.4565916398713759E-2</v>
      </c>
      <c r="AP8">
        <f ca="1">(DATA!AP12/DATA!AP11)-1</f>
        <v>3.6734271523178874E-2</v>
      </c>
      <c r="AQ8">
        <f ca="1">(DATA!AQ12/DATA!AQ11)-1</f>
        <v>3.4906041624570561E-2</v>
      </c>
      <c r="AR8">
        <f ca="1">(DATA!AR12/DATA!AR11)-1</f>
        <v>6.9148936170212671E-2</v>
      </c>
      <c r="AS8">
        <f ca="1">(DATA!AS12/DATA!AS11)-1</f>
        <v>-4.5342126957956808E-3</v>
      </c>
      <c r="AT8">
        <f ca="1">(DATA!AT12/DATA!AT11)-1</f>
        <v>-1.1943539630836164E-2</v>
      </c>
      <c r="AU8">
        <f ca="1">(DATA!AU12/DATA!AU11)-1</f>
        <v>0.20122338735303469</v>
      </c>
      <c r="AV8">
        <f ca="1">(DATA!AV12/DATA!AV11)-1</f>
        <v>6.7981445642490979E-2</v>
      </c>
      <c r="AW8">
        <f ca="1">(DATA!AW12/DATA!AW11)-1</f>
        <v>0.10597004902289964</v>
      </c>
    </row>
    <row r="9" spans="1:49">
      <c r="A9" vm="10515">
        <f ca="1">DATA!A13</f>
        <v>44075</v>
      </c>
      <c r="B9">
        <f ca="1">(DATA!B13/DATA!B12)-1</f>
        <v>-0.1390873242828331</v>
      </c>
      <c r="C9">
        <f ca="1">(DATA!C13/DATA!C12)-1</f>
        <v>-0.1025263484190948</v>
      </c>
      <c r="D9">
        <f ca="1">(DATA!D13/DATA!D12)-1</f>
        <v>-0.1007110599811526</v>
      </c>
      <c r="E9">
        <f ca="1">(DATA!E13/DATA!E12)-1</f>
        <v>-6.7396798652063938E-2</v>
      </c>
      <c r="F9">
        <f ca="1">(DATA!F13/DATA!F12)-1</f>
        <v>-8.7578528873125228E-2</v>
      </c>
      <c r="G9">
        <f ca="1">(DATA!G13/DATA!G12)-1</f>
        <v>-0.10059955938215315</v>
      </c>
      <c r="H9">
        <f ca="1">(DATA!H13/DATA!H12)-1</f>
        <v>-0.10675306957708053</v>
      </c>
      <c r="I9">
        <f ca="1">(DATA!I13/DATA!I12)-1</f>
        <v>-2.3390203632360995E-2</v>
      </c>
      <c r="J9">
        <f ca="1">(DATA!J13/DATA!J12)-1</f>
        <v>1.1663987438782719E-2</v>
      </c>
      <c r="K9">
        <f ca="1">(DATA!K13/DATA!K12)-1</f>
        <v>-2.9528713903917647E-2</v>
      </c>
      <c r="L9">
        <f ca="1">(DATA!L13/DATA!L12)-1</f>
        <v>-5.6700787773008243E-2</v>
      </c>
      <c r="M9">
        <f ca="1">(DATA!M13/DATA!M12)-1</f>
        <v>4.7711993060073343E-3</v>
      </c>
      <c r="N9">
        <f ca="1">(DATA!N13/DATA!N12)-1</f>
        <v>-2.495600703887435E-3</v>
      </c>
      <c r="O9">
        <f ca="1">(DATA!O13/DATA!O12)-1</f>
        <v>-2.5715689026101773E-2</v>
      </c>
      <c r="P9">
        <f ca="1">(DATA!P13/DATA!P12)-1</f>
        <v>-5.5892124291577083E-2</v>
      </c>
      <c r="Q9">
        <f ca="1">(DATA!Q13/DATA!Q12)-1</f>
        <v>-2.8841805543924348E-2</v>
      </c>
      <c r="R9">
        <f ca="1">(DATA!R13/DATA!R12)-1</f>
        <v>-3.2303654350899214E-3</v>
      </c>
      <c r="S9">
        <f ca="1">(DATA!S13/DATA!S12)-1</f>
        <v>-5.9073329794494644E-2</v>
      </c>
      <c r="T9">
        <f ca="1">(DATA!T13/DATA!T12)-1</f>
        <v>-5.5763275171840765E-2</v>
      </c>
      <c r="U9">
        <f ca="1">(DATA!U13/DATA!U12)-1</f>
        <v>1.629048086359175E-2</v>
      </c>
      <c r="V9">
        <f ca="1">(DATA!V13/DATA!V12)-1</f>
        <v>-6.7029843675982859E-2</v>
      </c>
      <c r="W9">
        <f ca="1">(DATA!W13/DATA!W12)-1</f>
        <v>-0.14046069103655479</v>
      </c>
      <c r="X9">
        <f ca="1">(DATA!X13/DATA!X12)-1</f>
        <v>-0.14214226140831654</v>
      </c>
      <c r="Y9">
        <f ca="1">(DATA!Y13/DATA!Y12)-1</f>
        <v>7.6334888263269729E-3</v>
      </c>
      <c r="Z9">
        <f ca="1">(DATA!Z13/DATA!Z12)-1</f>
        <v>-4.3608047299428354E-2</v>
      </c>
      <c r="AA9">
        <f ca="1">(DATA!AA13/DATA!AA12)-1</f>
        <v>3.7118272313143574E-3</v>
      </c>
      <c r="AB9">
        <f ca="1">(DATA!AB13/DATA!AB12)-1</f>
        <v>0.12199481633747444</v>
      </c>
      <c r="AC9">
        <f ca="1">(DATA!AC13/DATA!AC12)-1</f>
        <v>2.7959910078681149E-2</v>
      </c>
      <c r="AD9">
        <f ca="1">(DATA!AD13/DATA!AD12)-1</f>
        <v>1.716585770095902E-2</v>
      </c>
      <c r="AE9">
        <f ca="1">(DATA!AE13/DATA!AE12)-1</f>
        <v>-3.8179490164125252E-2</v>
      </c>
      <c r="AF9">
        <f ca="1">(DATA!AF13/DATA!AF12)-1</f>
        <v>-1.3299813478225619E-2</v>
      </c>
      <c r="AG9">
        <f ca="1">(DATA!AG13/DATA!AG12)-1</f>
        <v>4.3341488989863786E-2</v>
      </c>
      <c r="AH9">
        <f ca="1">(DATA!AH13/DATA!AH12)-1</f>
        <v>-7.8232165780304341E-2</v>
      </c>
      <c r="AI9">
        <f ca="1">(DATA!AI13/DATA!AI12)-1</f>
        <v>-4.4722335846042904E-2</v>
      </c>
      <c r="AJ9">
        <f ca="1">(DATA!AJ13/DATA!AJ12)-1</f>
        <v>-9.7225280775159684E-2</v>
      </c>
      <c r="AK9">
        <f ca="1">(DATA!AK13/DATA!AK12)-1</f>
        <v>-3.4829038894875985E-2</v>
      </c>
      <c r="AL9">
        <f ca="1">(DATA!AL13/DATA!AL12)-1</f>
        <v>1.8739032338932038E-2</v>
      </c>
      <c r="AM9">
        <f ca="1">(DATA!AM13/DATA!AM12)-1</f>
        <v>-1.217357156881993E-2</v>
      </c>
      <c r="AN9">
        <f ca="1">(DATA!AN13/DATA!AN12)-1</f>
        <v>-0.15669014084507038</v>
      </c>
      <c r="AO9">
        <f ca="1">(DATA!AO13/DATA!AO12)-1</f>
        <v>-6.4102564102564097E-2</v>
      </c>
      <c r="AP9">
        <f ca="1">(DATA!AP13/DATA!AP12)-1</f>
        <v>-3.9125661243637144E-2</v>
      </c>
      <c r="AQ9">
        <f ca="1">(DATA!AQ13/DATA!AQ12)-1</f>
        <v>-1.9036462146727273E-2</v>
      </c>
      <c r="AR9">
        <f ca="1">(DATA!AR13/DATA!AR12)-1</f>
        <v>-7.4818216609261357E-2</v>
      </c>
      <c r="AS9">
        <f ca="1">(DATA!AS13/DATA!AS12)-1</f>
        <v>-2.6501035196687228E-2</v>
      </c>
      <c r="AT9">
        <f ca="1">(DATA!AT13/DATA!AT12)-1</f>
        <v>-1.5109890109890056E-2</v>
      </c>
      <c r="AU9">
        <f ca="1">(DATA!AU13/DATA!AU12)-1</f>
        <v>4.1068712386746808E-2</v>
      </c>
      <c r="AV9">
        <f ca="1">(DATA!AV13/DATA!AV12)-1</f>
        <v>2.1112581257550334E-2</v>
      </c>
      <c r="AW9">
        <f ca="1">(DATA!AW13/DATA!AW12)-1</f>
        <v>7.1042564818750709E-3</v>
      </c>
    </row>
    <row r="10" spans="1:49">
      <c r="A10" vm="10550">
        <f ca="1">DATA!A14</f>
        <v>44105</v>
      </c>
      <c r="B10">
        <f ca="1">(DATA!B14/DATA!B13)-1</f>
        <v>-9.5498731135740145E-2</v>
      </c>
      <c r="C10">
        <f ca="1">(DATA!C14/DATA!C13)-1</f>
        <v>-6.0012088766082439E-2</v>
      </c>
      <c r="D10">
        <f ca="1">(DATA!D14/DATA!D13)-1</f>
        <v>0.10302803483941192</v>
      </c>
      <c r="E10">
        <f ca="1">(DATA!E14/DATA!E13)-1</f>
        <v>-3.7369847382684451E-2</v>
      </c>
      <c r="F10">
        <f ca="1">(DATA!F14/DATA!F13)-1</f>
        <v>-3.5754097683827979E-2</v>
      </c>
      <c r="G10">
        <f ca="1">(DATA!G14/DATA!G13)-1</f>
        <v>0.10269514192139728</v>
      </c>
      <c r="H10">
        <f ca="1">(DATA!H14/DATA!H13)-1</f>
        <v>4.6200840015273581E-3</v>
      </c>
      <c r="I10">
        <f ca="1">(DATA!I14/DATA!I13)-1</f>
        <v>-5.1845590307128764E-2</v>
      </c>
      <c r="J10">
        <f ca="1">(DATA!J14/DATA!J13)-1</f>
        <v>-7.3648423931118479E-2</v>
      </c>
      <c r="K10">
        <f ca="1">(DATA!K14/DATA!K13)-1</f>
        <v>-7.9056958624395324E-2</v>
      </c>
      <c r="L10">
        <f ca="1">(DATA!L14/DATA!L13)-1</f>
        <v>-9.1313697054558163E-2</v>
      </c>
      <c r="M10">
        <f ca="1">(DATA!M14/DATA!M13)-1</f>
        <v>-1.3598100582775885E-2</v>
      </c>
      <c r="N10">
        <f ca="1">(DATA!N14/DATA!N13)-1</f>
        <v>-2.126567662058565E-2</v>
      </c>
      <c r="O10">
        <f ca="1">(DATA!O14/DATA!O13)-1</f>
        <v>-3.9609664758201046E-2</v>
      </c>
      <c r="P10">
        <f ca="1">(DATA!P14/DATA!P13)-1</f>
        <v>-0.14646479581275695</v>
      </c>
      <c r="Q10">
        <f ca="1">(DATA!Q14/DATA!Q13)-1</f>
        <v>-3.3242502112688199E-2</v>
      </c>
      <c r="R10">
        <f ca="1">(DATA!R14/DATA!R13)-1</f>
        <v>-2.6534332590641974E-2</v>
      </c>
      <c r="S10">
        <f ca="1">(DATA!S14/DATA!S13)-1</f>
        <v>-2.2807865892972234E-2</v>
      </c>
      <c r="T10">
        <f ca="1">(DATA!T14/DATA!T13)-1</f>
        <v>-4.8577085374877482E-2</v>
      </c>
      <c r="U10">
        <f ca="1">(DATA!U14/DATA!U13)-1</f>
        <v>-0.14484356894553885</v>
      </c>
      <c r="V10">
        <f ca="1">(DATA!V14/DATA!V13)-1</f>
        <v>-8.8601167809088666E-2</v>
      </c>
      <c r="W10">
        <f ca="1">(DATA!W14/DATA!W13)-1</f>
        <v>-4.9810661229245601E-2</v>
      </c>
      <c r="X10">
        <f ca="1">(DATA!X14/DATA!X13)-1</f>
        <v>-3.472222222222221E-2</v>
      </c>
      <c r="Y10">
        <f ca="1">(DATA!Y14/DATA!Y13)-1</f>
        <v>-8.291841959679469E-3</v>
      </c>
      <c r="Z10">
        <f ca="1">(DATA!Z14/DATA!Z13)-1</f>
        <v>-5.2261474579892386E-2</v>
      </c>
      <c r="AA10">
        <f ca="1">(DATA!AA14/DATA!AA13)-1</f>
        <v>-4.2023869557908933E-2</v>
      </c>
      <c r="AB10">
        <f ca="1">(DATA!AB14/DATA!AB13)-1</f>
        <v>-4.3492114067229637E-2</v>
      </c>
      <c r="AC10">
        <f ca="1">(DATA!AC14/DATA!AC13)-1</f>
        <v>-2.9568545264021195E-2</v>
      </c>
      <c r="AD10">
        <f ca="1">(DATA!AD14/DATA!AD13)-1</f>
        <v>1.2104283054003684E-2</v>
      </c>
      <c r="AE10">
        <f ca="1">(DATA!AE14/DATA!AE13)-1</f>
        <v>-0.12628585259590952</v>
      </c>
      <c r="AF10">
        <f ca="1">(DATA!AF14/DATA!AF13)-1</f>
        <v>-8.22717185830526E-2</v>
      </c>
      <c r="AG10">
        <f ca="1">(DATA!AG14/DATA!AG13)-1</f>
        <v>-6.0134003350083787E-2</v>
      </c>
      <c r="AH10">
        <f ca="1">(DATA!AH14/DATA!AH13)-1</f>
        <v>-7.5799777176507988E-2</v>
      </c>
      <c r="AI10">
        <f ca="1">(DATA!AI14/DATA!AI13)-1</f>
        <v>-8.8351038884244448E-2</v>
      </c>
      <c r="AJ10">
        <f ca="1">(DATA!AJ14/DATA!AJ13)-1</f>
        <v>-8.1717282595438312E-2</v>
      </c>
      <c r="AK10">
        <f ca="1">(DATA!AK14/DATA!AK13)-1</f>
        <v>-5.5321524640917663E-2</v>
      </c>
      <c r="AL10">
        <f ca="1">(DATA!AL14/DATA!AL13)-1</f>
        <v>-4.718548139034151E-2</v>
      </c>
      <c r="AM10">
        <f ca="1">(DATA!AM14/DATA!AM13)-1</f>
        <v>-1.4112502484595502E-2</v>
      </c>
      <c r="AN10">
        <f ca="1">(DATA!AN14/DATA!AN13)-1</f>
        <v>-3.9202041289723932E-2</v>
      </c>
      <c r="AO10">
        <f ca="1">(DATA!AO14/DATA!AO13)-1</f>
        <v>-1.6189290161892966E-2</v>
      </c>
      <c r="AP10">
        <f ca="1">(DATA!AP14/DATA!AP13)-1</f>
        <v>1.83857899657216E-2</v>
      </c>
      <c r="AQ10">
        <f ca="1">(DATA!AQ14/DATA!AQ13)-1</f>
        <v>-5.936209384485247E-2</v>
      </c>
      <c r="AR10">
        <f ca="1">(DATA!AR14/DATA!AR13)-1</f>
        <v>-4.1365046535677408E-3</v>
      </c>
      <c r="AS10">
        <f ca="1">(DATA!AS14/DATA!AS13)-1</f>
        <v>-8.7622288387920078E-2</v>
      </c>
      <c r="AT10">
        <f ca="1">(DATA!AT14/DATA!AT13)-1</f>
        <v>8.6471408647140979E-2</v>
      </c>
      <c r="AU10">
        <f ca="1">(DATA!AU14/DATA!AU13)-1</f>
        <v>-3.3032651505526589E-2</v>
      </c>
      <c r="AV10">
        <f ca="1">(DATA!AV14/DATA!AV13)-1</f>
        <v>7.3802816901409329E-3</v>
      </c>
      <c r="AW10">
        <f ca="1">(DATA!AW14/DATA!AW13)-1</f>
        <v>-4.678644640057894E-2</v>
      </c>
    </row>
    <row r="11" spans="1:49">
      <c r="A11" vm="10587">
        <f ca="1">DATA!A15</f>
        <v>44136</v>
      </c>
      <c r="B11">
        <f ca="1">(DATA!B15/DATA!B14)-1</f>
        <v>0.46273543550833662</v>
      </c>
      <c r="C11">
        <f ca="1">(DATA!C15/DATA!C14)-1</f>
        <v>9.3606467021862816E-2</v>
      </c>
      <c r="D11">
        <f ca="1">(DATA!D15/DATA!D14)-1</f>
        <v>8.6199344852900373E-2</v>
      </c>
      <c r="E11">
        <f ca="1">(DATA!E15/DATA!E14)-1</f>
        <v>5.7292438385933675E-2</v>
      </c>
      <c r="F11">
        <f ca="1">(DATA!F15/DATA!F14)-1</f>
        <v>4.3439882746240999E-2</v>
      </c>
      <c r="G11">
        <f ca="1">(DATA!G15/DATA!G14)-1</f>
        <v>8.5569670381347773E-2</v>
      </c>
      <c r="H11">
        <f ca="1">(DATA!H15/DATA!H14)-1</f>
        <v>5.2677587320892449E-2</v>
      </c>
      <c r="I11">
        <f ca="1">(DATA!I15/DATA!I14)-1</f>
        <v>0.13377909856364534</v>
      </c>
      <c r="J11">
        <f ca="1">(DATA!J15/DATA!J14)-1</f>
        <v>6.9211744056167257E-2</v>
      </c>
      <c r="K11">
        <f ca="1">(DATA!K15/DATA!K14)-1</f>
        <v>5.5211144336663853E-2</v>
      </c>
      <c r="L11">
        <f ca="1">(DATA!L15/DATA!L14)-1</f>
        <v>0.15761378019921835</v>
      </c>
      <c r="M11">
        <f ca="1">(DATA!M15/DATA!M14)-1</f>
        <v>1.2910284463895083E-2</v>
      </c>
      <c r="N11">
        <f ca="1">(DATA!N15/DATA!N14)-1</f>
        <v>0.10224814839090257</v>
      </c>
      <c r="O11">
        <f ca="1">(DATA!O15/DATA!O14)-1</f>
        <v>4.0118480746878848E-2</v>
      </c>
      <c r="P11">
        <f ca="1">(DATA!P15/DATA!P14)-1</f>
        <v>0.1658467294900221</v>
      </c>
      <c r="Q11">
        <f ca="1">(DATA!Q15/DATA!Q14)-1</f>
        <v>0.13904969182328242</v>
      </c>
      <c r="R11">
        <f ca="1">(DATA!R15/DATA!R14)-1</f>
        <v>7.3657927590511818E-2</v>
      </c>
      <c r="S11">
        <f ca="1">(DATA!S15/DATA!S14)-1</f>
        <v>0.220701030927835</v>
      </c>
      <c r="T11">
        <f ca="1">(DATA!T15/DATA!T14)-1</f>
        <v>3.1445747677302682E-2</v>
      </c>
      <c r="U11">
        <f ca="1">(DATA!U15/DATA!U14)-1</f>
        <v>9.1915085817524833E-2</v>
      </c>
      <c r="V11">
        <f ca="1">(DATA!V15/DATA!V14)-1</f>
        <v>0.19832869080779947</v>
      </c>
      <c r="W11">
        <f ca="1">(DATA!W15/DATA!W14)-1</f>
        <v>0.16891477621091378</v>
      </c>
      <c r="X11">
        <f ca="1">(DATA!X15/DATA!X14)-1</f>
        <v>0.25438848920863322</v>
      </c>
      <c r="Y11">
        <f ca="1">(DATA!Y15/DATA!Y14)-1</f>
        <v>0.10119028313819611</v>
      </c>
      <c r="Z11">
        <f ca="1">(DATA!Z15/DATA!Z14)-1</f>
        <v>6.4023523646165259E-2</v>
      </c>
      <c r="AA11">
        <f ca="1">(DATA!AA15/DATA!AA14)-1</f>
        <v>6.0010528162835586E-2</v>
      </c>
      <c r="AB11">
        <f ca="1">(DATA!AB15/DATA!AB14)-1</f>
        <v>0.12175216522318455</v>
      </c>
      <c r="AC11">
        <f ca="1">(DATA!AC15/DATA!AC14)-1</f>
        <v>2.0845070422535139E-2</v>
      </c>
      <c r="AD11">
        <f ca="1">(DATA!AD15/DATA!AD14)-1</f>
        <v>0.12718491260349585</v>
      </c>
      <c r="AE11">
        <f ca="1">(DATA!AE15/DATA!AE14)-1</f>
        <v>0.45931158667497773</v>
      </c>
      <c r="AF11">
        <f ca="1">(DATA!AF15/DATA!AF14)-1</f>
        <v>0.10621529643560801</v>
      </c>
      <c r="AG11">
        <f ca="1">(DATA!AG15/DATA!AG14)-1</f>
        <v>2.8693637497772206E-2</v>
      </c>
      <c r="AH11">
        <f ca="1">(DATA!AH15/DATA!AH14)-1</f>
        <v>5.8251173203599294E-2</v>
      </c>
      <c r="AI11">
        <f ca="1">(DATA!AI15/DATA!AI14)-1</f>
        <v>7.016327443524939E-2</v>
      </c>
      <c r="AJ11">
        <f ca="1">(DATA!AJ15/DATA!AJ14)-1</f>
        <v>0.23070792933988571</v>
      </c>
      <c r="AK11">
        <f ca="1">(DATA!AK15/DATA!AK14)-1</f>
        <v>0.15037876752807189</v>
      </c>
      <c r="AL11">
        <f ca="1">(DATA!AL15/DATA!AL14)-1</f>
        <v>0.36208677685950419</v>
      </c>
      <c r="AM11">
        <f ca="1">(DATA!AM15/DATA!AM14)-1</f>
        <v>8.5685483870967527E-3</v>
      </c>
      <c r="AN11">
        <f ca="1">(DATA!AN15/DATA!AN14)-1</f>
        <v>0.32955094157411868</v>
      </c>
      <c r="AO11">
        <f ca="1">(DATA!AO15/DATA!AO14)-1</f>
        <v>0.18818565400843879</v>
      </c>
      <c r="AP11">
        <f ca="1">(DATA!AP15/DATA!AP14)-1</f>
        <v>0.20236638106895133</v>
      </c>
      <c r="AQ11">
        <f ca="1">(DATA!AQ15/DATA!AQ14)-1</f>
        <v>0.21974185357596299</v>
      </c>
      <c r="AR11">
        <f ca="1">(DATA!AR15/DATA!AR14)-1</f>
        <v>0.28411214953271036</v>
      </c>
      <c r="AS11">
        <f ca="1">(DATA!AS15/DATA!AS14)-1</f>
        <v>0.27505827505827507</v>
      </c>
      <c r="AT11">
        <f ca="1">(DATA!AT15/DATA!AT14)-1</f>
        <v>0.10937098844672644</v>
      </c>
      <c r="AU11">
        <f ca="1">(DATA!AU15/DATA!AU14)-1</f>
        <v>0.17941137826829601</v>
      </c>
      <c r="AV11">
        <f ca="1">(DATA!AV15/DATA!AV14)-1</f>
        <v>9.5492422124042298E-2</v>
      </c>
      <c r="AW11">
        <f ca="1">(DATA!AW15/DATA!AW14)-1</f>
        <v>-1.4421252371916493E-2</v>
      </c>
    </row>
    <row r="12" spans="1:49">
      <c r="A12" vm="10624">
        <f ca="1">DATA!A16</f>
        <v>44166</v>
      </c>
      <c r="B12">
        <f ca="1">(DATA!B16/DATA!B15)-1</f>
        <v>0.24325244280994363</v>
      </c>
      <c r="C12">
        <f ca="1">(DATA!C16/DATA!C15)-1</f>
        <v>0.1145737085258296</v>
      </c>
      <c r="D12">
        <f ca="1">(DATA!D16/DATA!D15)-1</f>
        <v>-5.0319751922488498E-3</v>
      </c>
      <c r="E12">
        <f ca="1">(DATA!E16/DATA!E15)-1</f>
        <v>3.9005932638856322E-2</v>
      </c>
      <c r="F12">
        <f ca="1">(DATA!F16/DATA!F15)-1</f>
        <v>2.8058357849017002E-2</v>
      </c>
      <c r="G12">
        <f ca="1">(DATA!G16/DATA!G15)-1</f>
        <v>-1.0031919744640794E-3</v>
      </c>
      <c r="H12">
        <f ca="1">(DATA!H16/DATA!H15)-1</f>
        <v>-1.3756002455139527E-2</v>
      </c>
      <c r="I12">
        <f ca="1">(DATA!I16/DATA!I15)-1</f>
        <v>1.2930846184089795E-2</v>
      </c>
      <c r="J12">
        <f ca="1">(DATA!J16/DATA!J15)-1</f>
        <v>-2.5855314703578047E-2</v>
      </c>
      <c r="K12">
        <f ca="1">(DATA!K16/DATA!K15)-1</f>
        <v>8.7779928117224237E-2</v>
      </c>
      <c r="L12">
        <f ca="1">(DATA!L16/DATA!L15)-1</f>
        <v>3.9838364630377932E-2</v>
      </c>
      <c r="M12">
        <f ca="1">(DATA!M16/DATA!M15)-1</f>
        <v>1.9442644199609838E-3</v>
      </c>
      <c r="N12">
        <f ca="1">(DATA!N16/DATA!N15)-1</f>
        <v>4.2635428435511713E-2</v>
      </c>
      <c r="O12">
        <f ca="1">(DATA!O16/DATA!O15)-1</f>
        <v>-4.2500270357954006E-2</v>
      </c>
      <c r="P12">
        <f ca="1">(DATA!P16/DATA!P15)-1</f>
        <v>6.0711420165819652E-2</v>
      </c>
      <c r="Q12">
        <f ca="1">(DATA!Q16/DATA!Q15)-1</f>
        <v>-3.9154267815191823E-2</v>
      </c>
      <c r="R12">
        <f ca="1">(DATA!R16/DATA!R15)-1</f>
        <v>6.2790697674418583E-2</v>
      </c>
      <c r="S12">
        <f ca="1">(DATA!S16/DATA!S15)-1</f>
        <v>0.22410647929193983</v>
      </c>
      <c r="T12">
        <f ca="1">(DATA!T16/DATA!T15)-1</f>
        <v>0.10195638883228053</v>
      </c>
      <c r="U12">
        <f ca="1">(DATA!U16/DATA!U15)-1</f>
        <v>3.0403309203722806E-2</v>
      </c>
      <c r="V12">
        <f ca="1">(DATA!V16/DATA!V15)-1</f>
        <v>4.021385402138522E-2</v>
      </c>
      <c r="W12">
        <f ca="1">(DATA!W16/DATA!W15)-1</f>
        <v>8.1038552321006874E-2</v>
      </c>
      <c r="X12">
        <f ca="1">(DATA!X16/DATA!X15)-1</f>
        <v>-3.131452167928428E-2</v>
      </c>
      <c r="Y12">
        <f ca="1">(DATA!Y16/DATA!Y15)-1</f>
        <v>-5.6548758578034208E-2</v>
      </c>
      <c r="Z12">
        <f ca="1">(DATA!Z16/DATA!Z15)-1</f>
        <v>3.5004651934000819E-4</v>
      </c>
      <c r="AA12">
        <f ca="1">(DATA!AA16/DATA!AA15)-1</f>
        <v>-2.747889422281069E-2</v>
      </c>
      <c r="AB12">
        <f ca="1">(DATA!AB16/DATA!AB15)-1</f>
        <v>5.025983667409073E-2</v>
      </c>
      <c r="AC12">
        <f ca="1">(DATA!AC16/DATA!AC15)-1</f>
        <v>-1.3153053715967533E-2</v>
      </c>
      <c r="AD12">
        <f ca="1">(DATA!AD16/DATA!AD15)-1</f>
        <v>9.1409916343603514E-2</v>
      </c>
      <c r="AE12">
        <f ca="1">(DATA!AE16/DATA!AE15)-1</f>
        <v>1.5898628446680219E-2</v>
      </c>
      <c r="AF12">
        <f ca="1">(DATA!AF16/DATA!AF15)-1</f>
        <v>1.9106217616580379E-2</v>
      </c>
      <c r="AG12">
        <f ca="1">(DATA!AG16/DATA!AG15)-1</f>
        <v>0.12075537075537079</v>
      </c>
      <c r="AH12">
        <f ca="1">(DATA!AH16/DATA!AH15)-1</f>
        <v>-9.4670463791700632E-2</v>
      </c>
      <c r="AI12">
        <f ca="1">(DATA!AI16/DATA!AI15)-1</f>
        <v>4.5248395928689344E-2</v>
      </c>
      <c r="AJ12">
        <f ca="1">(DATA!AJ16/DATA!AJ15)-1</f>
        <v>-1.0252536153680158E-2</v>
      </c>
      <c r="AK12">
        <f ca="1">(DATA!AK16/DATA!AK15)-1</f>
        <v>9.3779189239678651E-2</v>
      </c>
      <c r="AL12">
        <f ca="1">(DATA!AL16/DATA!AL15)-1</f>
        <v>3.1664770572620293E-2</v>
      </c>
      <c r="AM12">
        <f ca="1">(DATA!AM16/DATA!AM15)-1</f>
        <v>-3.89805097451279E-3</v>
      </c>
      <c r="AN12">
        <f ca="1">(DATA!AN16/DATA!AN15)-1</f>
        <v>0.11966587978935883</v>
      </c>
      <c r="AO12">
        <f ca="1">(DATA!AO16/DATA!AO15)-1</f>
        <v>7.6349431818181657E-2</v>
      </c>
      <c r="AP12">
        <f ca="1">(DATA!AP16/DATA!AP15)-1</f>
        <v>7.7960637936884902E-2</v>
      </c>
      <c r="AQ12">
        <f ca="1">(DATA!AQ16/DATA!AQ15)-1</f>
        <v>0.14368115187787311</v>
      </c>
      <c r="AR12">
        <f ca="1">(DATA!AR16/DATA!AR15)-1</f>
        <v>0.10836163674591637</v>
      </c>
      <c r="AS12">
        <f ca="1">(DATA!AS16/DATA!AS15)-1</f>
        <v>0.10347349177330889</v>
      </c>
      <c r="AT12">
        <f ca="1">(DATA!AT16/DATA!AT15)-1</f>
        <v>7.8222633649618123E-2</v>
      </c>
      <c r="AU12">
        <f ca="1">(DATA!AU16/DATA!AU15)-1</f>
        <v>-1.6710299114354177E-2</v>
      </c>
      <c r="AV12">
        <f ca="1">(DATA!AV16/DATA!AV15)-1</f>
        <v>-3.8262245705388387E-2</v>
      </c>
      <c r="AW12">
        <f ca="1">(DATA!AW16/DATA!AW15)-1</f>
        <v>3.0098831985624352E-2</v>
      </c>
    </row>
    <row r="13" spans="1:49">
      <c r="A13" vm="10662">
        <f ca="1">DATA!A17</f>
        <v>44197</v>
      </c>
      <c r="B13">
        <f ca="1">(DATA!B17/DATA!B16)-1</f>
        <v>0.12450589020538128</v>
      </c>
      <c r="C13">
        <f ca="1">(DATA!C17/DATA!C16)-1</f>
        <v>-5.5015449544049133E-3</v>
      </c>
      <c r="D13">
        <f ca="1">(DATA!D17/DATA!D16)-1</f>
        <v>4.7868575473205999E-2</v>
      </c>
      <c r="E13">
        <f ca="1">(DATA!E17/DATA!E16)-1</f>
        <v>4.289182627461563E-2</v>
      </c>
      <c r="F13">
        <f ca="1">(DATA!F17/DATA!F16)-1</f>
        <v>-1.5576017906433259E-2</v>
      </c>
      <c r="G13">
        <f ca="1">(DATA!G17/DATA!G16)-1</f>
        <v>4.2632828190615202E-2</v>
      </c>
      <c r="H13">
        <f ca="1">(DATA!H17/DATA!H16)-1</f>
        <v>-5.429052569922399E-2</v>
      </c>
      <c r="I13">
        <f ca="1">(DATA!I17/DATA!I16)-1</f>
        <v>-1.7251045844654311E-2</v>
      </c>
      <c r="J13">
        <f ca="1">(DATA!J17/DATA!J16)-1</f>
        <v>-4.9942550746839842E-3</v>
      </c>
      <c r="K13">
        <f ca="1">(DATA!K17/DATA!K16)-1</f>
        <v>3.6535773287584172E-2</v>
      </c>
      <c r="L13">
        <f ca="1">(DATA!L17/DATA!L16)-1</f>
        <v>-0.11649065057376673</v>
      </c>
      <c r="M13">
        <f ca="1">(DATA!M17/DATA!M16)-1</f>
        <v>-7.855397441425882E-2</v>
      </c>
      <c r="N13">
        <f ca="1">(DATA!N17/DATA!N16)-1</f>
        <v>-4.876240447131297E-2</v>
      </c>
      <c r="O13">
        <f ca="1">(DATA!O17/DATA!O16)-1</f>
        <v>1.9576839093441656E-2</v>
      </c>
      <c r="P13">
        <f ca="1">(DATA!P17/DATA!P16)-1</f>
        <v>-0.11388468650193306</v>
      </c>
      <c r="Q13">
        <f ca="1">(DATA!Q17/DATA!Q16)-1</f>
        <v>-2.4721543058951467E-2</v>
      </c>
      <c r="R13">
        <f ca="1">(DATA!R17/DATA!R16)-1</f>
        <v>-0.12199124726477029</v>
      </c>
      <c r="S13">
        <f ca="1">(DATA!S17/DATA!S16)-1</f>
        <v>-7.180704271994709E-2</v>
      </c>
      <c r="T13">
        <f ca="1">(DATA!T17/DATA!T16)-1</f>
        <v>-1.5423594030292476E-2</v>
      </c>
      <c r="U13">
        <f ca="1">(DATA!U17/DATA!U16)-1</f>
        <v>0.1142111601766358</v>
      </c>
      <c r="V13">
        <f ca="1">(DATA!V17/DATA!V16)-1</f>
        <v>-3.7988826815642529E-3</v>
      </c>
      <c r="W13">
        <f ca="1">(DATA!W17/DATA!W16)-1</f>
        <v>8.7821445900048589E-2</v>
      </c>
      <c r="X13">
        <f ca="1">(DATA!X17/DATA!X16)-1</f>
        <v>8.8809946714032417E-3</v>
      </c>
      <c r="Y13">
        <f ca="1">(DATA!Y17/DATA!Y16)-1</f>
        <v>-2.5390482731349917E-2</v>
      </c>
      <c r="Z13">
        <f ca="1">(DATA!Z17/DATA!Z16)-1</f>
        <v>-4.5213868041807936E-3</v>
      </c>
      <c r="AA13">
        <f ca="1">(DATA!AA17/DATA!AA16)-1</f>
        <v>-6.8085106382978711E-2</v>
      </c>
      <c r="AB13">
        <f ca="1">(DATA!AB17/DATA!AB16)-1</f>
        <v>-5.5700855305011676E-2</v>
      </c>
      <c r="AC13">
        <f ca="1">(DATA!AC17/DATA!AC16)-1</f>
        <v>-3.1410196663249179E-2</v>
      </c>
      <c r="AD13">
        <f ca="1">(DATA!AD17/DATA!AD16)-1</f>
        <v>-9.5064498037016332E-2</v>
      </c>
      <c r="AE13">
        <f ca="1">(DATA!AE17/DATA!AE16)-1</f>
        <v>-9.282444174530502E-2</v>
      </c>
      <c r="AF13">
        <f ca="1">(DATA!AF17/DATA!AF16)-1</f>
        <v>-5.3781379091197956E-2</v>
      </c>
      <c r="AG13">
        <f ca="1">(DATA!AG17/DATA!AG16)-1</f>
        <v>-6.5852527438553077E-2</v>
      </c>
      <c r="AH13">
        <f ca="1">(DATA!AH17/DATA!AH16)-1</f>
        <v>1.361614164382341E-2</v>
      </c>
      <c r="AI13">
        <f ca="1">(DATA!AI17/DATA!AI16)-1</f>
        <v>-8.2680156762377055E-2</v>
      </c>
      <c r="AJ13">
        <f ca="1">(DATA!AJ17/DATA!AJ16)-1</f>
        <v>-6.6186893468542118E-2</v>
      </c>
      <c r="AK13">
        <f ca="1">(DATA!AK17/DATA!AK16)-1</f>
        <v>4.6968403074298948E-4</v>
      </c>
      <c r="AL13">
        <f ca="1">(DATA!AL17/DATA!AL16)-1</f>
        <v>-7.7191692703546533E-3</v>
      </c>
      <c r="AM13">
        <f ca="1">(DATA!AM17/DATA!AM16)-1</f>
        <v>3.5520770620108388E-2</v>
      </c>
      <c r="AN13">
        <f ca="1">(DATA!AN17/DATA!AN16)-1</f>
        <v>-5.95199481024975E-2</v>
      </c>
      <c r="AO13">
        <f ca="1">(DATA!AO17/DATA!AO16)-1</f>
        <v>-2.1774991751897121E-2</v>
      </c>
      <c r="AP13">
        <f ca="1">(DATA!AP17/DATA!AP16)-1</f>
        <v>1.2591485008263126E-2</v>
      </c>
      <c r="AQ13">
        <f ca="1">(DATA!AQ17/DATA!AQ16)-1</f>
        <v>2.8288650411437022E-2</v>
      </c>
      <c r="AR13">
        <f ca="1">(DATA!AR17/DATA!AR16)-1</f>
        <v>-2.1596381146942956E-2</v>
      </c>
      <c r="AS13">
        <f ca="1">(DATA!AS17/DATA!AS16)-1</f>
        <v>-9.9403578528827197E-3</v>
      </c>
      <c r="AT13">
        <f ca="1">(DATA!AT17/DATA!AT16)-1</f>
        <v>-8.0274737068040336E-2</v>
      </c>
      <c r="AU13">
        <f ca="1">(DATA!AU17/DATA!AU16)-1</f>
        <v>2.6284484223644711E-2</v>
      </c>
      <c r="AV13">
        <f ca="1">(DATA!AV17/DATA!AV16)-1</f>
        <v>-6.4626572535697147E-2</v>
      </c>
      <c r="AW13">
        <f ca="1">(DATA!AW17/DATA!AW16)-1</f>
        <v>3.9499096629493469E-2</v>
      </c>
    </row>
    <row r="14" spans="1:49">
      <c r="A14" vm="10701">
        <f ca="1">DATA!A18</f>
        <v>44228</v>
      </c>
      <c r="B14">
        <f ca="1">(DATA!B18/DATA!B17)-1</f>
        <v>-0.14874064014844202</v>
      </c>
      <c r="C14">
        <f ca="1">(DATA!C18/DATA!C17)-1</f>
        <v>-8.1085177326462587E-2</v>
      </c>
      <c r="D14">
        <f ca="1">(DATA!D18/DATA!D17)-1</f>
        <v>0.10955799840936087</v>
      </c>
      <c r="E14">
        <f ca="1">(DATA!E18/DATA!E17)-1</f>
        <v>1.8106570098292973E-3</v>
      </c>
      <c r="F14">
        <f ca="1">(DATA!F18/DATA!F17)-1</f>
        <v>-3.5328426174287331E-2</v>
      </c>
      <c r="G14">
        <f ca="1">(DATA!G18/DATA!G17)-1</f>
        <v>0.10646506435513525</v>
      </c>
      <c r="H14">
        <f ca="1">(DATA!H18/DATA!H17)-1</f>
        <v>-2.7484225602910639E-3</v>
      </c>
      <c r="I14">
        <f ca="1">(DATA!I18/DATA!I17)-1</f>
        <v>5.5470224250669276E-2</v>
      </c>
      <c r="J14">
        <f ca="1">(DATA!J18/DATA!J17)-1</f>
        <v>5.5789927481562307E-2</v>
      </c>
      <c r="K14">
        <f ca="1">(DATA!K18/DATA!K17)-1</f>
        <v>-2.8627475019922688E-2</v>
      </c>
      <c r="L14">
        <f ca="1">(DATA!L18/DATA!L17)-1</f>
        <v>9.9042690815006384E-2</v>
      </c>
      <c r="M14">
        <f ca="1">(DATA!M18/DATA!M17)-1</f>
        <v>-3.6502612900709774E-2</v>
      </c>
      <c r="N14">
        <f ca="1">(DATA!N18/DATA!N17)-1</f>
        <v>-4.0769830325557699E-3</v>
      </c>
      <c r="O14">
        <f ca="1">(DATA!O18/DATA!O17)-1</f>
        <v>-4.6082268665534332E-2</v>
      </c>
      <c r="P14">
        <f ca="1">(DATA!P18/DATA!P17)-1</f>
        <v>0.11875177843118667</v>
      </c>
      <c r="Q14">
        <f ca="1">(DATA!Q18/DATA!Q17)-1</f>
        <v>-6.7130919220055651E-2</v>
      </c>
      <c r="R14">
        <f ca="1">(DATA!R18/DATA!R17)-1</f>
        <v>1.7445482866043749E-2</v>
      </c>
      <c r="S14">
        <f ca="1">(DATA!S18/DATA!S17)-1</f>
        <v>0.12410061247547133</v>
      </c>
      <c r="T14">
        <f ca="1">(DATA!T18/DATA!T17)-1</f>
        <v>1.2133961945190563E-2</v>
      </c>
      <c r="U14">
        <f ca="1">(DATA!U18/DATA!U17)-1</f>
        <v>9.4937849036209832E-2</v>
      </c>
      <c r="V14">
        <f ca="1">(DATA!V18/DATA!V17)-1</f>
        <v>6.5051592642439982E-3</v>
      </c>
      <c r="W14">
        <f ca="1">(DATA!W18/DATA!W17)-1</f>
        <v>0.21253345227475462</v>
      </c>
      <c r="X14">
        <f ca="1">(DATA!X18/DATA!X17)-1</f>
        <v>0.17370892018779349</v>
      </c>
      <c r="Y14">
        <f ca="1">(DATA!Y18/DATA!Y17)-1</f>
        <v>-7.5236763151432462E-2</v>
      </c>
      <c r="Z14">
        <f ca="1">(DATA!Z18/DATA!Z17)-1</f>
        <v>-2.5845482128320829E-2</v>
      </c>
      <c r="AA14">
        <f ca="1">(DATA!AA18/DATA!AA17)-1</f>
        <v>1.0045662100456543E-2</v>
      </c>
      <c r="AB14">
        <f ca="1">(DATA!AB18/DATA!AB17)-1</f>
        <v>8.9078523841603641E-3</v>
      </c>
      <c r="AC14">
        <f ca="1">(DATA!AC18/DATA!AC17)-1</f>
        <v>-8.1793687451886532E-3</v>
      </c>
      <c r="AD14">
        <f ca="1">(DATA!AD18/DATA!AD17)-1</f>
        <v>0.11589711806631553</v>
      </c>
      <c r="AE14">
        <f ca="1">(DATA!AE18/DATA!AE17)-1</f>
        <v>9.1765796384983833E-2</v>
      </c>
      <c r="AF14">
        <f ca="1">(DATA!AF18/DATA!AF17)-1</f>
        <v>-1.511208126941388E-3</v>
      </c>
      <c r="AG14">
        <f ca="1">(DATA!AG18/DATA!AG17)-1</f>
        <v>6.7516134370345871E-2</v>
      </c>
      <c r="AH14">
        <f ca="1">(DATA!AH18/DATA!AH17)-1</f>
        <v>-4.0166696222734499E-2</v>
      </c>
      <c r="AI14">
        <f ca="1">(DATA!AI18/DATA!AI17)-1</f>
        <v>1.9617673343941266E-3</v>
      </c>
      <c r="AJ14">
        <f ca="1">(DATA!AJ18/DATA!AJ17)-1</f>
        <v>-1.3194768799626333E-2</v>
      </c>
      <c r="AK14">
        <f ca="1">(DATA!AK18/DATA!AK17)-1</f>
        <v>0.1090008962485598</v>
      </c>
      <c r="AL14">
        <f ca="1">(DATA!AL18/DATA!AL17)-1</f>
        <v>6.5150953880348084E-2</v>
      </c>
      <c r="AM14">
        <f ca="1">(DATA!AM18/DATA!AM17)-1</f>
        <v>-4.0019379844961289E-2</v>
      </c>
      <c r="AN14">
        <f ca="1">(DATA!AN18/DATA!AN17)-1</f>
        <v>0.13605794102431434</v>
      </c>
      <c r="AO14">
        <f ca="1">(DATA!AO18/DATA!AO17)-1</f>
        <v>0.17065767284991584</v>
      </c>
      <c r="AP14">
        <f ca="1">(DATA!AP18/DATA!AP17)-1</f>
        <v>0.14377865858397443</v>
      </c>
      <c r="AQ14">
        <f ca="1">(DATA!AQ18/DATA!AQ17)-1</f>
        <v>0.17815392558173837</v>
      </c>
      <c r="AR14">
        <f ca="1">(DATA!AR18/DATA!AR17)-1</f>
        <v>0.1464578672632364</v>
      </c>
      <c r="AS14">
        <f ca="1">(DATA!AS18/DATA!AS17)-1</f>
        <v>0.21050870147255707</v>
      </c>
      <c r="AT14">
        <f ca="1">(DATA!AT18/DATA!AT17)-1</f>
        <v>0.16686114352392067</v>
      </c>
      <c r="AU14">
        <f ca="1">(DATA!AU18/DATA!AU17)-1</f>
        <v>1.2529668267373228E-2</v>
      </c>
      <c r="AV14">
        <f ca="1">(DATA!AV18/DATA!AV17)-1</f>
        <v>-6.0806401271174426E-2</v>
      </c>
      <c r="AW14">
        <f ca="1">(DATA!AW18/DATA!AW17)-1</f>
        <v>-4.2553191489361653E-2</v>
      </c>
    </row>
    <row r="15" spans="1:49">
      <c r="A15" vm="10740">
        <f ca="1">DATA!A19</f>
        <v>44256</v>
      </c>
      <c r="B15">
        <f ca="1">(DATA!B19/DATA!B18)-1</f>
        <v>-1.1206478466400549E-2</v>
      </c>
      <c r="C15">
        <f ca="1">(DATA!C19/DATA!C18)-1</f>
        <v>7.339600857661166E-3</v>
      </c>
      <c r="D15">
        <f ca="1">(DATA!D19/DATA!D18)-1</f>
        <v>1.5597537385976468E-2</v>
      </c>
      <c r="E15">
        <f ca="1">(DATA!E19/DATA!E18)-1</f>
        <v>1.4588174541698917E-2</v>
      </c>
      <c r="F15">
        <f ca="1">(DATA!F19/DATA!F18)-1</f>
        <v>3.7181572166211652E-4</v>
      </c>
      <c r="G15">
        <f ca="1">(DATA!G19/DATA!G18)-1</f>
        <v>2.008496916282132E-2</v>
      </c>
      <c r="H15">
        <f ca="1">(DATA!H19/DATA!H18)-1</f>
        <v>0.14327303780762346</v>
      </c>
      <c r="I15">
        <f ca="1">(DATA!I19/DATA!I18)-1</f>
        <v>6.2201155877094516E-2</v>
      </c>
      <c r="J15">
        <f ca="1">(DATA!J19/DATA!J18)-1</f>
        <v>-2.6701666119800183E-2</v>
      </c>
      <c r="K15">
        <f ca="1">(DATA!K19/DATA!K18)-1</f>
        <v>3.7170263788968816E-2</v>
      </c>
      <c r="L15">
        <f ca="1">(DATA!L19/DATA!L18)-1</f>
        <v>-3.1074909364847692E-3</v>
      </c>
      <c r="M15">
        <f ca="1">(DATA!M19/DATA!M18)-1</f>
        <v>9.6332874605359109E-2</v>
      </c>
      <c r="N15">
        <f ca="1">(DATA!N19/DATA!N18)-1</f>
        <v>0.1199506351213051</v>
      </c>
      <c r="O15">
        <f ca="1">(DATA!O19/DATA!O18)-1</f>
        <v>0.18158241077649628</v>
      </c>
      <c r="P15">
        <f ca="1">(DATA!P19/DATA!P18)-1</f>
        <v>6.217323724742041E-3</v>
      </c>
      <c r="Q15">
        <f ca="1">(DATA!Q19/DATA!Q18)-1</f>
        <v>8.1815467303672618E-2</v>
      </c>
      <c r="R15">
        <f ca="1">(DATA!R19/DATA!R18)-1</f>
        <v>7.5933864053888467E-2</v>
      </c>
      <c r="S15">
        <f ca="1">(DATA!S19/DATA!S18)-1</f>
        <v>-2.3910283537875499E-2</v>
      </c>
      <c r="T15">
        <f ca="1">(DATA!T19/DATA!T18)-1</f>
        <v>-3.1901271225758698E-2</v>
      </c>
      <c r="U15">
        <f ca="1">(DATA!U19/DATA!U18)-1</f>
        <v>5.2977953274103262E-2</v>
      </c>
      <c r="V15">
        <f ca="1">(DATA!V19/DATA!V18)-1</f>
        <v>0.15244038332961907</v>
      </c>
      <c r="W15">
        <f ca="1">(DATA!W19/DATA!W18)-1</f>
        <v>2.6853043958065204E-2</v>
      </c>
      <c r="X15">
        <f ca="1">(DATA!X19/DATA!X18)-1</f>
        <v>4.7900000000000054E-2</v>
      </c>
      <c r="Y15">
        <f ca="1">(DATA!Y19/DATA!Y18)-1</f>
        <v>4.5490022213909409E-2</v>
      </c>
      <c r="Z15">
        <f ca="1">(DATA!Z19/DATA!Z18)-1</f>
        <v>8.5333776469471045E-2</v>
      </c>
      <c r="AA15">
        <f ca="1">(DATA!AA19/DATA!AA18)-1</f>
        <v>5.1537070524412254E-2</v>
      </c>
      <c r="AB15">
        <f ca="1">(DATA!AB19/DATA!AB18)-1</f>
        <v>-1.4022852055201152E-2</v>
      </c>
      <c r="AC15">
        <f ca="1">(DATA!AC19/DATA!AC18)-1</f>
        <v>8.7319297564761866E-2</v>
      </c>
      <c r="AD15">
        <f ca="1">(DATA!AD19/DATA!AD18)-1</f>
        <v>1.1478293066740752E-2</v>
      </c>
      <c r="AE15">
        <f ca="1">(DATA!AE19/DATA!AE18)-1</f>
        <v>0.20145276166218573</v>
      </c>
      <c r="AF15">
        <f ca="1">(DATA!AF19/DATA!AF18)-1</f>
        <v>0.12049104515261067</v>
      </c>
      <c r="AG15">
        <f ca="1">(DATA!AG19/DATA!AG18)-1</f>
        <v>8.7738335141838375E-2</v>
      </c>
      <c r="AH15">
        <f ca="1">(DATA!AH19/DATA!AH18)-1</f>
        <v>-2.1385681293302539E-2</v>
      </c>
      <c r="AI15">
        <f ca="1">(DATA!AI19/DATA!AI18)-1</f>
        <v>3.415493723758356E-2</v>
      </c>
      <c r="AJ15">
        <f ca="1">(DATA!AJ19/DATA!AJ18)-1</f>
        <v>-7.1115844278783591E-2</v>
      </c>
      <c r="AK15">
        <f ca="1">(DATA!AK19/DATA!AK18)-1</f>
        <v>-6.5460842793919616E-2</v>
      </c>
      <c r="AL15">
        <f ca="1">(DATA!AL19/DATA!AL18)-1</f>
        <v>-1.2954831978437498E-2</v>
      </c>
      <c r="AM15">
        <f ca="1">(DATA!AM19/DATA!AM18)-1</f>
        <v>6.9950540022206686E-2</v>
      </c>
      <c r="AN15">
        <f ca="1">(DATA!AN19/DATA!AN18)-1</f>
        <v>0.10428051001821492</v>
      </c>
      <c r="AO15">
        <f ca="1">(DATA!AO19/DATA!AO18)-1</f>
        <v>0.1146643618553731</v>
      </c>
      <c r="AP15">
        <f ca="1">(DATA!AP19/DATA!AP18)-1</f>
        <v>3.4382007202554909E-2</v>
      </c>
      <c r="AQ15">
        <f ca="1">(DATA!AQ19/DATA!AQ18)-1</f>
        <v>2.3538249655690402E-2</v>
      </c>
      <c r="AR15">
        <f ca="1">(DATA!AR19/DATA!AR18)-1</f>
        <v>1.0277091192923082E-2</v>
      </c>
      <c r="AS15">
        <f ca="1">(DATA!AS19/DATA!AS18)-1</f>
        <v>8.017694221730709E-2</v>
      </c>
      <c r="AT15">
        <f ca="1">(DATA!AT19/DATA!AT18)-1</f>
        <v>0.10620000000000007</v>
      </c>
      <c r="AU15">
        <f ca="1">(DATA!AU19/DATA!AU18)-1</f>
        <v>7.9753597906672358E-2</v>
      </c>
      <c r="AV15">
        <f ca="1">(DATA!AV19/DATA!AV18)-1</f>
        <v>6.4894259818731204E-2</v>
      </c>
      <c r="AW15">
        <f ca="1">(DATA!AW19/DATA!AW18)-1</f>
        <v>0.19048513302034431</v>
      </c>
    </row>
    <row r="16" spans="1:49">
      <c r="A16" vm="10777">
        <f ca="1">DATA!A20</f>
        <v>44287</v>
      </c>
      <c r="B16">
        <f ca="1">(DATA!B20/DATA!B19)-1</f>
        <v>6.2147105812897951E-2</v>
      </c>
      <c r="C16">
        <f ca="1">(DATA!C20/DATA!C19)-1</f>
        <v>7.6217765042980057E-2</v>
      </c>
      <c r="D16">
        <f ca="1">(DATA!D20/DATA!D19)-1</f>
        <v>0.16508027051720231</v>
      </c>
      <c r="E16">
        <f ca="1">(DATA!E20/DATA!E19)-1</f>
        <v>6.9601730500063574E-2</v>
      </c>
      <c r="F16">
        <f ca="1">(DATA!F20/DATA!F19)-1</f>
        <v>0.12066268486916942</v>
      </c>
      <c r="G16">
        <f ca="1">(DATA!G20/DATA!G19)-1</f>
        <v>0.14107984407423912</v>
      </c>
      <c r="H16">
        <f ca="1">(DATA!H20/DATA!H19)-1</f>
        <v>0.10372457814144576</v>
      </c>
      <c r="I16">
        <f ca="1">(DATA!I20/DATA!I19)-1</f>
        <v>7.6251614670998613E-2</v>
      </c>
      <c r="J16">
        <f ca="1">(DATA!J20/DATA!J19)-1</f>
        <v>0.12445030453316153</v>
      </c>
      <c r="K16">
        <f ca="1">(DATA!K20/DATA!K19)-1</f>
        <v>-9.8570124733800002E-3</v>
      </c>
      <c r="L16">
        <f ca="1">(DATA!L20/DATA!L19)-1</f>
        <v>0.10310300854862331</v>
      </c>
      <c r="M16">
        <f ca="1">(DATA!M20/DATA!M19)-1</f>
        <v>-1.4841615594772373E-2</v>
      </c>
      <c r="N16">
        <f ca="1">(DATA!N20/DATA!N19)-1</f>
        <v>7.1841320181686319E-2</v>
      </c>
      <c r="O16">
        <f ca="1">(DATA!O20/DATA!O19)-1</f>
        <v>6.0343980343980475E-2</v>
      </c>
      <c r="P16">
        <f ca="1">(DATA!P20/DATA!P19)-1</f>
        <v>7.3051537705378422E-2</v>
      </c>
      <c r="Q16">
        <f ca="1">(DATA!Q20/DATA!Q19)-1</f>
        <v>6.6795473364614999E-2</v>
      </c>
      <c r="R16">
        <f ca="1">(DATA!R20/DATA!R19)-1</f>
        <v>2.409409979131083E-2</v>
      </c>
      <c r="S16">
        <f ca="1">(DATA!S20/DATA!S19)-1</f>
        <v>8.1292000867114744E-3</v>
      </c>
      <c r="T16">
        <f ca="1">(DATA!T20/DATA!T19)-1</f>
        <v>-1.5699881148640737E-2</v>
      </c>
      <c r="U16">
        <f ca="1">(DATA!U20/DATA!U19)-1</f>
        <v>-0.10109374999999998</v>
      </c>
      <c r="V16">
        <f ca="1">(DATA!V20/DATA!V19)-1</f>
        <v>-1.5470895378070115E-2</v>
      </c>
      <c r="W16">
        <f ca="1">(DATA!W20/DATA!W19)-1</f>
        <v>2.5255239118753492E-2</v>
      </c>
      <c r="X16">
        <f ca="1">(DATA!X20/DATA!X19)-1</f>
        <v>-1.641377994083415E-2</v>
      </c>
      <c r="Y16">
        <f ca="1">(DATA!Y20/DATA!Y19)-1</f>
        <v>3.0037856533896345E-2</v>
      </c>
      <c r="Z16">
        <f ca="1">(DATA!Z20/DATA!Z19)-1</f>
        <v>3.7660820760040625E-2</v>
      </c>
      <c r="AA16">
        <f ca="1">(DATA!AA20/DATA!AA19)-1</f>
        <v>-6.1908856405846757E-3</v>
      </c>
      <c r="AB16">
        <f ca="1">(DATA!AB20/DATA!AB19)-1</f>
        <v>-2.0317555873277104E-3</v>
      </c>
      <c r="AC16">
        <f ca="1">(DATA!AC20/DATA!AC19)-1</f>
        <v>5.3270277505130803E-2</v>
      </c>
      <c r="AD16">
        <f ca="1">(DATA!AD20/DATA!AD19)-1</f>
        <v>4.7771574997712118E-2</v>
      </c>
      <c r="AE16">
        <f ca="1">(DATA!AE20/DATA!AE19)-1</f>
        <v>-8.0127198492462304E-2</v>
      </c>
      <c r="AF16">
        <f ca="1">(DATA!AF20/DATA!AF19)-1</f>
        <v>6.468557706738709E-2</v>
      </c>
      <c r="AG16">
        <f ca="1">(DATA!AG20/DATA!AG19)-1</f>
        <v>8.0091207068547776E-2</v>
      </c>
      <c r="AH16">
        <f ca="1">(DATA!AH20/DATA!AH19)-1</f>
        <v>8.708170104309243E-2</v>
      </c>
      <c r="AI16">
        <f ca="1">(DATA!AI20/DATA!AI19)-1</f>
        <v>6.9356501251656599E-2</v>
      </c>
      <c r="AJ16">
        <f ca="1">(DATA!AJ20/DATA!AJ19)-1</f>
        <v>3.974522292993643E-2</v>
      </c>
      <c r="AK16">
        <f ca="1">(DATA!AK20/DATA!AK19)-1</f>
        <v>8.0093888980398598E-2</v>
      </c>
      <c r="AL16">
        <f ca="1">(DATA!AL20/DATA!AL19)-1</f>
        <v>7.8264699405417248E-2</v>
      </c>
      <c r="AM16">
        <f ca="1">(DATA!AM20/DATA!AM19)-1</f>
        <v>9.9339622641509528E-2</v>
      </c>
      <c r="AN16">
        <f ca="1">(DATA!AN20/DATA!AN19)-1</f>
        <v>-2.0756013745704571E-2</v>
      </c>
      <c r="AO16">
        <f ca="1">(DATA!AO20/DATA!AO19)-1</f>
        <v>4.7557508400103421E-2</v>
      </c>
      <c r="AP16">
        <f ca="1">(DATA!AP20/DATA!AP19)-1</f>
        <v>1.0379031728305899E-2</v>
      </c>
      <c r="AQ16">
        <f ca="1">(DATA!AQ20/DATA!AQ19)-1</f>
        <v>6.5596330275229375E-2</v>
      </c>
      <c r="AR16">
        <f ca="1">(DATA!AR20/DATA!AR19)-1</f>
        <v>6.2966778264228696E-2</v>
      </c>
      <c r="AS16">
        <f ca="1">(DATA!AS20/DATA!AS19)-1</f>
        <v>0.15305861274635268</v>
      </c>
      <c r="AT16">
        <f ca="1">(DATA!AT20/DATA!AT19)-1</f>
        <v>7.3042849394322928E-2</v>
      </c>
      <c r="AU16">
        <f ca="1">(DATA!AU20/DATA!AU19)-1</f>
        <v>4.6397738173373115E-2</v>
      </c>
      <c r="AV16">
        <f ca="1">(DATA!AV20/DATA!AV19)-1</f>
        <v>5.5634362233317969E-2</v>
      </c>
      <c r="AW16">
        <f ca="1">(DATA!AW20/DATA!AW19)-1</f>
        <v>3.1917131138921029E-2</v>
      </c>
    </row>
    <row r="17" spans="1:49">
      <c r="A17" vm="10811">
        <f ca="1">DATA!A21</f>
        <v>44317</v>
      </c>
      <c r="B17">
        <f ca="1">(DATA!B21/DATA!B20)-1</f>
        <v>-0.11871314661515509</v>
      </c>
      <c r="C17">
        <f ca="1">(DATA!C21/DATA!C20)-1</f>
        <v>-5.210710482275982E-2</v>
      </c>
      <c r="D17">
        <f ca="1">(DATA!D21/DATA!D20)-1</f>
        <v>5.9748062337150465E-4</v>
      </c>
      <c r="E17">
        <f ca="1">(DATA!E21/DATA!E20)-1</f>
        <v>-9.9135538107700816E-3</v>
      </c>
      <c r="F17">
        <f ca="1">(DATA!F21/DATA!F20)-1</f>
        <v>-7.0470263192806137E-2</v>
      </c>
      <c r="G17">
        <f ca="1">(DATA!G21/DATA!G20)-1</f>
        <v>1.4234119396643319E-3</v>
      </c>
      <c r="H17">
        <f ca="1">(DATA!H21/DATA!H20)-1</f>
        <v>1.1228005414052111E-2</v>
      </c>
      <c r="I17">
        <f ca="1">(DATA!I21/DATA!I20)-1</f>
        <v>5.270049099836327E-2</v>
      </c>
      <c r="J17">
        <f ca="1">(DATA!J21/DATA!J20)-1</f>
        <v>8.2281221892801293E-2</v>
      </c>
      <c r="K17">
        <f ca="1">(DATA!K21/DATA!K20)-1</f>
        <v>4.0066367602777708E-2</v>
      </c>
      <c r="L17">
        <f ca="1">(DATA!L21/DATA!L20)-1</f>
        <v>-2.6802534680595902E-2</v>
      </c>
      <c r="M17">
        <f ca="1">(DATA!M21/DATA!M20)-1</f>
        <v>1.0718033278369177E-2</v>
      </c>
      <c r="N17">
        <f ca="1">(DATA!N21/DATA!N20)-1</f>
        <v>3.28986960882649E-2</v>
      </c>
      <c r="O17">
        <f ca="1">(DATA!O21/DATA!O20)-1</f>
        <v>-1.4706336700960776E-2</v>
      </c>
      <c r="P17">
        <f ca="1">(DATA!P21/DATA!P20)-1</f>
        <v>-5.6221535884416141E-2</v>
      </c>
      <c r="Q17">
        <f ca="1">(DATA!Q21/DATA!Q20)-1</f>
        <v>2.0698576972832949E-3</v>
      </c>
      <c r="R17">
        <f ca="1">(DATA!R21/DATA!R20)-1</f>
        <v>2.4268247499073858E-2</v>
      </c>
      <c r="S17">
        <f ca="1">(DATA!S21/DATA!S20)-1</f>
        <v>-3.9619395763896392E-2</v>
      </c>
      <c r="T17">
        <f ca="1">(DATA!T21/DATA!T20)-1</f>
        <v>-2.076070656513529E-2</v>
      </c>
      <c r="U17">
        <f ca="1">(DATA!U21/DATA!U20)-1</f>
        <v>-7.1267164957413698E-3</v>
      </c>
      <c r="V17">
        <f ca="1">(DATA!V21/DATA!V20)-1</f>
        <v>3.9088587703790978E-2</v>
      </c>
      <c r="W17">
        <f ca="1">(DATA!W21/DATA!W20)-1</f>
        <v>1.9741439552760198E-2</v>
      </c>
      <c r="X17">
        <f ca="1">(DATA!X21/DATA!X20)-1</f>
        <v>6.9855438051811269E-3</v>
      </c>
      <c r="Y17">
        <f ca="1">(DATA!Y21/DATA!Y20)-1</f>
        <v>1.5153464476093559E-2</v>
      </c>
      <c r="Z17">
        <f ca="1">(DATA!Z21/DATA!Z20)-1</f>
        <v>-6.303909747809866E-2</v>
      </c>
      <c r="AA17">
        <f ca="1">(DATA!AA21/DATA!AA20)-1</f>
        <v>-2.2495241391244147E-2</v>
      </c>
      <c r="AB17">
        <f ca="1">(DATA!AB21/DATA!AB20)-1</f>
        <v>2.8954908761876119E-2</v>
      </c>
      <c r="AC17">
        <f ca="1">(DATA!AC21/DATA!AC20)-1</f>
        <v>-9.2765164351068519E-3</v>
      </c>
      <c r="AD17">
        <f ca="1">(DATA!AD21/DATA!AD20)-1</f>
        <v>-5.3279762424666144E-3</v>
      </c>
      <c r="AE17">
        <f ca="1">(DATA!AE21/DATA!AE20)-1</f>
        <v>5.4244377107251163E-2</v>
      </c>
      <c r="AF17">
        <f ca="1">(DATA!AF21/DATA!AF20)-1</f>
        <v>1.3109670143783614E-2</v>
      </c>
      <c r="AG17">
        <f ca="1">(DATA!AG21/DATA!AG20)-1</f>
        <v>3.8923340810133045E-2</v>
      </c>
      <c r="AH17">
        <f ca="1">(DATA!AH21/DATA!AH20)-1</f>
        <v>3.3779089961792241E-2</v>
      </c>
      <c r="AI17">
        <f ca="1">(DATA!AI21/DATA!AI20)-1</f>
        <v>-7.3966243065664017E-3</v>
      </c>
      <c r="AJ17">
        <f ca="1">(DATA!AJ21/DATA!AJ20)-1</f>
        <v>-1.8867924528301994E-2</v>
      </c>
      <c r="AK17">
        <f ca="1">(DATA!AK21/DATA!AK20)-1</f>
        <v>-8.6545426817645765E-3</v>
      </c>
      <c r="AL17">
        <f ca="1">(DATA!AL21/DATA!AL20)-1</f>
        <v>-9.108732946654674E-2</v>
      </c>
      <c r="AM17">
        <f ca="1">(DATA!AM21/DATA!AM20)-1</f>
        <v>1.1241740324380078E-2</v>
      </c>
      <c r="AN17">
        <f ca="1">(DATA!AN21/DATA!AN20)-1</f>
        <v>0.10485682201010671</v>
      </c>
      <c r="AO17">
        <f ca="1">(DATA!AO21/DATA!AO20)-1</f>
        <v>4.5891931902294569E-2</v>
      </c>
      <c r="AP17">
        <f ca="1">(DATA!AP21/DATA!AP20)-1</f>
        <v>6.7810935569859065E-2</v>
      </c>
      <c r="AQ17">
        <f ca="1">(DATA!AQ21/DATA!AQ20)-1</f>
        <v>6.7642416415554685E-2</v>
      </c>
      <c r="AR17">
        <f ca="1">(DATA!AR21/DATA!AR20)-1</f>
        <v>0.10175651120533025</v>
      </c>
      <c r="AS17">
        <f ca="1">(DATA!AS21/DATA!AS20)-1</f>
        <v>3.7069922308545999E-2</v>
      </c>
      <c r="AT17">
        <f ca="1">(DATA!AT21/DATA!AT20)-1</f>
        <v>2.4094355518112787E-2</v>
      </c>
      <c r="AU17">
        <f ca="1">(DATA!AU21/DATA!AU20)-1</f>
        <v>9.4856701727298987E-2</v>
      </c>
      <c r="AV17">
        <f ca="1">(DATA!AV21/DATA!AV20)-1</f>
        <v>1.660888494719015E-2</v>
      </c>
      <c r="AW17">
        <f ca="1">(DATA!AW21/DATA!AW20)-1</f>
        <v>-7.2356687898088579E-3</v>
      </c>
    </row>
    <row r="18" spans="1:49">
      <c r="A18" vm="10847">
        <f ca="1">DATA!A22</f>
        <v>44348</v>
      </c>
      <c r="B18">
        <f ca="1">(DATA!B22/DATA!B21)-1</f>
        <v>8.7137232095644723E-2</v>
      </c>
      <c r="C18">
        <f ca="1">(DATA!C22/DATA!C21)-1</f>
        <v>9.9109220768798689E-2</v>
      </c>
      <c r="D18">
        <f ca="1">(DATA!D22/DATA!D21)-1</f>
        <v>3.9294066911045089E-2</v>
      </c>
      <c r="E18">
        <f ca="1">(DATA!E22/DATA!E21)-1</f>
        <v>8.4988785645626175E-2</v>
      </c>
      <c r="F18">
        <f ca="1">(DATA!F22/DATA!F21)-1</f>
        <v>6.7355037278123087E-2</v>
      </c>
      <c r="G18">
        <f ca="1">(DATA!G22/DATA!G21)-1</f>
        <v>3.603962916604786E-2</v>
      </c>
      <c r="H18">
        <f ca="1">(DATA!H22/DATA!H21)-1</f>
        <v>5.7737352842758272E-2</v>
      </c>
      <c r="I18">
        <f ca="1">(DATA!I22/DATA!I21)-1</f>
        <v>-3.9800995024875552E-2</v>
      </c>
      <c r="J18">
        <f ca="1">(DATA!J22/DATA!J21)-1</f>
        <v>0.23133983809904901</v>
      </c>
      <c r="K18">
        <f ca="1">(DATA!K22/DATA!K21)-1</f>
        <v>-2.6646971935007313E-2</v>
      </c>
      <c r="L18">
        <f ca="1">(DATA!L22/DATA!L21)-1</f>
        <v>2.8684557853057457E-2</v>
      </c>
      <c r="M18">
        <f ca="1">(DATA!M22/DATA!M21)-1</f>
        <v>5.9325176121616252E-4</v>
      </c>
      <c r="N18">
        <f ca="1">(DATA!N22/DATA!N21)-1</f>
        <v>-2.7869489221208021E-2</v>
      </c>
      <c r="O18">
        <f ca="1">(DATA!O22/DATA!O21)-1</f>
        <v>-6.2713618262377757E-5</v>
      </c>
      <c r="P18">
        <f ca="1">(DATA!P22/DATA!P21)-1</f>
        <v>1.2507626601586219E-2</v>
      </c>
      <c r="Q18">
        <f ca="1">(DATA!Q22/DATA!Q21)-1</f>
        <v>1.1102504518461176E-2</v>
      </c>
      <c r="R18">
        <f ca="1">(DATA!R22/DATA!R21)-1</f>
        <v>-2.1342014830891709E-2</v>
      </c>
      <c r="S18">
        <f ca="1">(DATA!S22/DATA!S21)-1</f>
        <v>-1.6120906801007528E-2</v>
      </c>
      <c r="T18">
        <f ca="1">(DATA!T22/DATA!T21)-1</f>
        <v>5.0516099520693691E-2</v>
      </c>
      <c r="U18">
        <f ca="1">(DATA!U22/DATA!U21)-1</f>
        <v>-1.7156862745097978E-2</v>
      </c>
      <c r="V18">
        <f ca="1">(DATA!V22/DATA!V21)-1</f>
        <v>1.890359168241984E-3</v>
      </c>
      <c r="W18">
        <f ca="1">(DATA!W22/DATA!W21)-1</f>
        <v>8.0692136371423695E-2</v>
      </c>
      <c r="X18">
        <f ca="1">(DATA!X22/DATA!X21)-1</f>
        <v>9.1530976009248644E-3</v>
      </c>
      <c r="Y18">
        <f ca="1">(DATA!Y22/DATA!Y21)-1</f>
        <v>-7.1119428678851904E-3</v>
      </c>
      <c r="Z18">
        <f ca="1">(DATA!Z22/DATA!Z21)-1</f>
        <v>-2.2083338957655574E-2</v>
      </c>
      <c r="AA18">
        <f ca="1">(DATA!AA22/DATA!AA21)-1</f>
        <v>-8.1430341653390137E-3</v>
      </c>
      <c r="AB18">
        <f ca="1">(DATA!AB22/DATA!AB21)-1</f>
        <v>0.13212663051443641</v>
      </c>
      <c r="AC18">
        <f ca="1">(DATA!AC22/DATA!AC21)-1</f>
        <v>-1.2398990978665037E-2</v>
      </c>
      <c r="AD18">
        <f ca="1">(DATA!AD22/DATA!AD21)-1</f>
        <v>-1.8177028451000998E-2</v>
      </c>
      <c r="AE18">
        <f ca="1">(DATA!AE22/DATA!AE21)-1</f>
        <v>-3.0199983806979191E-2</v>
      </c>
      <c r="AF18">
        <f ca="1">(DATA!AF22/DATA!AF21)-1</f>
        <v>1.9827466258522275E-2</v>
      </c>
      <c r="AG18">
        <f ca="1">(DATA!AG22/DATA!AG21)-1</f>
        <v>-1.1430022860045574E-2</v>
      </c>
      <c r="AH18">
        <f ca="1">(DATA!AH22/DATA!AH21)-1</f>
        <v>2.5913481730365451E-2</v>
      </c>
      <c r="AI18">
        <f ca="1">(DATA!AI22/DATA!AI21)-1</f>
        <v>0.16064846010543432</v>
      </c>
      <c r="AJ18">
        <f ca="1">(DATA!AJ22/DATA!AJ21)-1</f>
        <v>0.1729520479520481</v>
      </c>
      <c r="AK18">
        <f ca="1">(DATA!AK22/DATA!AK21)-1</f>
        <v>0.12099069302361376</v>
      </c>
      <c r="AL18">
        <f ca="1">(DATA!AL22/DATA!AL21)-1</f>
        <v>9.5631853316555882E-2</v>
      </c>
      <c r="AM18">
        <f ca="1">(DATA!AM22/DATA!AM21)-1</f>
        <v>1.4341479972844517E-2</v>
      </c>
      <c r="AN18">
        <f ca="1">(DATA!AN22/DATA!AN21)-1</f>
        <v>-0.10113073307076603</v>
      </c>
      <c r="AO18">
        <f ca="1">(DATA!AO22/DATA!AO21)-1</f>
        <v>-2.7364944562396909E-2</v>
      </c>
      <c r="AP18">
        <f ca="1">(DATA!AP22/DATA!AP21)-1</f>
        <v>-5.2971261568436567E-2</v>
      </c>
      <c r="AQ18">
        <f ca="1">(DATA!AQ22/DATA!AQ21)-1</f>
        <v>2.0187086715767855E-2</v>
      </c>
      <c r="AR18">
        <f ca="1">(DATA!AR22/DATA!AR21)-1</f>
        <v>8.1363386476085431E-3</v>
      </c>
      <c r="AS18">
        <f ca="1">(DATA!AS22/DATA!AS21)-1</f>
        <v>-3.0607876712328785E-2</v>
      </c>
      <c r="AT18">
        <f ca="1">(DATA!AT22/DATA!AT21)-1</f>
        <v>-6.2685093780848966E-2</v>
      </c>
      <c r="AU18">
        <f ca="1">(DATA!AU22/DATA!AU21)-1</f>
        <v>6.5309360126917015E-2</v>
      </c>
      <c r="AV18">
        <f ca="1">(DATA!AV22/DATA!AV21)-1</f>
        <v>4.5998889681973187E-2</v>
      </c>
      <c r="AW18">
        <f ca="1">(DATA!AW22/DATA!AW21)-1</f>
        <v>-4.4141046040138132E-3</v>
      </c>
    </row>
    <row r="19" spans="1:49">
      <c r="A19" vm="10884">
        <f ca="1">DATA!A23</f>
        <v>44378</v>
      </c>
      <c r="B19">
        <f ca="1">(DATA!B23/DATA!B22)-1</f>
        <v>1.1034390221941415E-2</v>
      </c>
      <c r="C19">
        <f ca="1">(DATA!C23/DATA!C22)-1</f>
        <v>6.4982476635514042E-2</v>
      </c>
      <c r="D19">
        <f ca="1">(DATA!D23/DATA!D22)-1</f>
        <v>7.904018640875865E-2</v>
      </c>
      <c r="E19">
        <f ca="1">(DATA!E23/DATA!E22)-1</f>
        <v>5.1716500553710132E-2</v>
      </c>
      <c r="F19">
        <f ca="1">(DATA!F23/DATA!F22)-1</f>
        <v>-3.2722315241151545E-2</v>
      </c>
      <c r="G19">
        <f ca="1">(DATA!G23/DATA!G22)-1</f>
        <v>0.10350603450747187</v>
      </c>
      <c r="H19">
        <f ca="1">(DATA!H23/DATA!H22)-1</f>
        <v>2.4704495125248194E-2</v>
      </c>
      <c r="I19">
        <f ca="1">(DATA!I23/DATA!I22)-1</f>
        <v>1.3313183649972249E-3</v>
      </c>
      <c r="J19">
        <f ca="1">(DATA!J23/DATA!J22)-1</f>
        <v>-2.5171853518310305E-2</v>
      </c>
      <c r="K19">
        <f ca="1">(DATA!K23/DATA!K22)-1</f>
        <v>4.5283476994051108E-2</v>
      </c>
      <c r="L19">
        <f ca="1">(DATA!L23/DATA!L22)-1</f>
        <v>5.3759302027200473E-2</v>
      </c>
      <c r="M19">
        <f ca="1">(DATA!M23/DATA!M22)-1</f>
        <v>5.410212702882955E-2</v>
      </c>
      <c r="N19">
        <f ca="1">(DATA!N23/DATA!N22)-1</f>
        <v>2.941764059534524E-2</v>
      </c>
      <c r="O19">
        <f ca="1">(DATA!O23/DATA!O22)-1</f>
        <v>2.9163661450656964E-2</v>
      </c>
      <c r="P19">
        <f ca="1">(DATA!P23/DATA!P22)-1</f>
        <v>5.7109205949217978E-2</v>
      </c>
      <c r="Q19">
        <f ca="1">(DATA!Q23/DATA!Q22)-1</f>
        <v>9.3207354443309631E-2</v>
      </c>
      <c r="R19">
        <f ca="1">(DATA!R23/DATA!R22)-1</f>
        <v>5.3964147107743443E-2</v>
      </c>
      <c r="S19">
        <f ca="1">(DATA!S23/DATA!S22)-1</f>
        <v>1.4223132502702018E-3</v>
      </c>
      <c r="T19">
        <f ca="1">(DATA!T23/DATA!T22)-1</f>
        <v>-2.0143503530792639E-2</v>
      </c>
      <c r="U19">
        <f ca="1">(DATA!U23/DATA!U22)-1</f>
        <v>-4.3106519415746392E-2</v>
      </c>
      <c r="V19">
        <f ca="1">(DATA!V23/DATA!V22)-1</f>
        <v>4.471698113207534E-2</v>
      </c>
      <c r="W19">
        <f ca="1">(DATA!W23/DATA!W22)-1</f>
        <v>-8.7349397590361422E-2</v>
      </c>
      <c r="X19">
        <f ca="1">(DATA!X23/DATA!X22)-1</f>
        <v>-2.7974030933740623E-2</v>
      </c>
      <c r="Y19">
        <f ca="1">(DATA!Y23/DATA!Y22)-1</f>
        <v>1.0849632601656722E-2</v>
      </c>
      <c r="Z19">
        <f ca="1">(DATA!Z23/DATA!Z22)-1</f>
        <v>-2.5365669615949216E-2</v>
      </c>
      <c r="AA19">
        <f ca="1">(DATA!AA23/DATA!AA22)-1</f>
        <v>-4.461895413171546E-3</v>
      </c>
      <c r="AB19">
        <f ca="1">(DATA!AB23/DATA!AB22)-1</f>
        <v>8.427729950158569E-2</v>
      </c>
      <c r="AC19">
        <f ca="1">(DATA!AC23/DATA!AC22)-1</f>
        <v>5.0738127191653382E-2</v>
      </c>
      <c r="AD19">
        <f ca="1">(DATA!AD23/DATA!AD22)-1</f>
        <v>8.6038815848314076E-2</v>
      </c>
      <c r="AE19">
        <f ca="1">(DATA!AE23/DATA!AE22)-1</f>
        <v>-5.4600100183670119E-2</v>
      </c>
      <c r="AF19">
        <f ca="1">(DATA!AF23/DATA!AF22)-1</f>
        <v>-3.8406439729858799E-2</v>
      </c>
      <c r="AG19">
        <f ca="1">(DATA!AG23/DATA!AG22)-1</f>
        <v>0.11947584789311394</v>
      </c>
      <c r="AH19">
        <f ca="1">(DATA!AH23/DATA!AH22)-1</f>
        <v>-9.5795635976583249E-3</v>
      </c>
      <c r="AI19">
        <f ca="1">(DATA!AI23/DATA!AI22)-1</f>
        <v>6.1454135646472174E-2</v>
      </c>
      <c r="AJ19">
        <f ca="1">(DATA!AJ23/DATA!AJ22)-1</f>
        <v>0.13052272969232392</v>
      </c>
      <c r="AK19">
        <f ca="1">(DATA!AK23/DATA!AK22)-1</f>
        <v>-5.4720735556470612E-2</v>
      </c>
      <c r="AL19">
        <f ca="1">(DATA!AL23/DATA!AL22)-1</f>
        <v>1.419196062346173E-2</v>
      </c>
      <c r="AM19">
        <f ca="1">(DATA!AM23/DATA!AM22)-1</f>
        <v>7.1195515770099416E-2</v>
      </c>
      <c r="AN19">
        <f ca="1">(DATA!AN23/DATA!AN22)-1</f>
        <v>-4.4240282685512278E-2</v>
      </c>
      <c r="AO19">
        <f ca="1">(DATA!AO23/DATA!AO22)-1</f>
        <v>-6.9609507640067902E-2</v>
      </c>
      <c r="AP19">
        <f ca="1">(DATA!AP23/DATA!AP22)-1</f>
        <v>-2.417384595602412E-2</v>
      </c>
      <c r="AQ19">
        <f ca="1">(DATA!AQ23/DATA!AQ22)-1</f>
        <v>-1.2251995889652978E-2</v>
      </c>
      <c r="AR19">
        <f ca="1">(DATA!AR23/DATA!AR22)-1</f>
        <v>4.6788090304286323E-2</v>
      </c>
      <c r="AS19">
        <f ca="1">(DATA!AS23/DATA!AS22)-1</f>
        <v>1.4351954073746898E-2</v>
      </c>
      <c r="AT19">
        <f ca="1">(DATA!AT23/DATA!AT22)-1</f>
        <v>-2.5100930314200465E-2</v>
      </c>
      <c r="AU19">
        <f ca="1">(DATA!AU23/DATA!AU22)-1</f>
        <v>7.9879209067593271E-2</v>
      </c>
      <c r="AV19">
        <f ca="1">(DATA!AV23/DATA!AV22)-1</f>
        <v>8.6056562286754179E-2</v>
      </c>
      <c r="AW19">
        <f ca="1">(DATA!AW23/DATA!AW22)-1</f>
        <v>-6.5989586018456725E-3</v>
      </c>
    </row>
    <row r="20" spans="1:49">
      <c r="A20" vm="10927">
        <f ca="1">DATA!A24</f>
        <v>44409</v>
      </c>
      <c r="B20">
        <f ca="1">(DATA!B24/DATA!B23)-1</f>
        <v>7.060503509056848E-2</v>
      </c>
      <c r="C20">
        <f ca="1">(DATA!C24/DATA!C23)-1</f>
        <v>4.0929658576717376E-2</v>
      </c>
      <c r="D20">
        <f ca="1">(DATA!D24/DATA!D23)-1</f>
        <v>7.5735277804482859E-2</v>
      </c>
      <c r="E20">
        <f ca="1">(DATA!E24/DATA!E23)-1</f>
        <v>5.9562668912990002E-2</v>
      </c>
      <c r="F20">
        <f ca="1">(DATA!F24/DATA!F23)-1</f>
        <v>4.3034147836722658E-2</v>
      </c>
      <c r="G20">
        <f ca="1">(DATA!G24/DATA!G23)-1</f>
        <v>7.4009196409021261E-2</v>
      </c>
      <c r="H20">
        <f ca="1">(DATA!H24/DATA!H23)-1</f>
        <v>6.4776873421274139E-2</v>
      </c>
      <c r="I20">
        <f ca="1">(DATA!I24/DATA!I23)-1</f>
        <v>2.6878436163713992E-2</v>
      </c>
      <c r="J20">
        <f ca="1">(DATA!J24/DATA!J23)-1</f>
        <v>0.14800759013282749</v>
      </c>
      <c r="K20">
        <f ca="1">(DATA!K24/DATA!K23)-1</f>
        <v>5.4006968641115982E-3</v>
      </c>
      <c r="L20">
        <f ca="1">(DATA!L24/DATA!L23)-1</f>
        <v>-7.0173302487925637E-2</v>
      </c>
      <c r="M20">
        <f ca="1">(DATA!M24/DATA!M23)-1</f>
        <v>1.1249384799267848E-3</v>
      </c>
      <c r="N20">
        <f ca="1">(DATA!N24/DATA!N23)-1</f>
        <v>9.8248508078209174E-3</v>
      </c>
      <c r="O20">
        <f ca="1">(DATA!O24/DATA!O23)-1</f>
        <v>-6.1245010512203102E-3</v>
      </c>
      <c r="P20">
        <f ca="1">(DATA!P24/DATA!P23)-1</f>
        <v>-0.10289164118774929</v>
      </c>
      <c r="Q20">
        <f ca="1">(DATA!Q24/DATA!Q23)-1</f>
        <v>7.6150432142022773E-2</v>
      </c>
      <c r="R20">
        <f ca="1">(DATA!R24/DATA!R23)-1</f>
        <v>-1.2624934245134112E-2</v>
      </c>
      <c r="S20">
        <f ca="1">(DATA!S24/DATA!S23)-1</f>
        <v>2.9996591296443498E-2</v>
      </c>
      <c r="T20">
        <f ca="1">(DATA!T24/DATA!T23)-1</f>
        <v>9.9735301505110341E-2</v>
      </c>
      <c r="U20">
        <f ca="1">(DATA!U24/DATA!U23)-1</f>
        <v>6.3291139240506666E-3</v>
      </c>
      <c r="V20">
        <f ca="1">(DATA!V24/DATA!V23)-1</f>
        <v>6.5920173379086178E-2</v>
      </c>
      <c r="W20">
        <f ca="1">(DATA!W24/DATA!W23)-1</f>
        <v>-5.2978982108737194E-2</v>
      </c>
      <c r="X20">
        <f ca="1">(DATA!X24/DATA!X23)-1</f>
        <v>-4.9503977998232029E-2</v>
      </c>
      <c r="Y20">
        <f ca="1">(DATA!Y24/DATA!Y23)-1</f>
        <v>3.8934089847252107E-2</v>
      </c>
      <c r="Z20">
        <f ca="1">(DATA!Z24/DATA!Z23)-1</f>
        <v>-2.2461619804747257E-2</v>
      </c>
      <c r="AA20">
        <f ca="1">(DATA!AA24/DATA!AA23)-1</f>
        <v>-1.3983506633201914E-2</v>
      </c>
      <c r="AB20">
        <f ca="1">(DATA!AB24/DATA!AB23)-1</f>
        <v>-1.6536326189481088E-2</v>
      </c>
      <c r="AC20">
        <f ca="1">(DATA!AC24/DATA!AC23)-1</f>
        <v>-2.1630752750195659E-2</v>
      </c>
      <c r="AD20">
        <f ca="1">(DATA!AD24/DATA!AD23)-1</f>
        <v>-3.2446677097916599E-2</v>
      </c>
      <c r="AE20">
        <f ca="1">(DATA!AE24/DATA!AE23)-1</f>
        <v>-3.0819498410455615E-2</v>
      </c>
      <c r="AF20">
        <f ca="1">(DATA!AF24/DATA!AF23)-1</f>
        <v>-4.398410896708338E-3</v>
      </c>
      <c r="AG20">
        <f ca="1">(DATA!AG24/DATA!AG23)-1</f>
        <v>2.2836814321780974E-2</v>
      </c>
      <c r="AH20">
        <f ca="1">(DATA!AH24/DATA!AH23)-1</f>
        <v>9.6474186748232826E-2</v>
      </c>
      <c r="AI20">
        <f ca="1">(DATA!AI24/DATA!AI23)-1</f>
        <v>6.7676913919855863E-2</v>
      </c>
      <c r="AJ20">
        <f ca="1">(DATA!AJ24/DATA!AJ23)-1</f>
        <v>4.2659384122798683E-2</v>
      </c>
      <c r="AK20">
        <f ca="1">(DATA!AK24/DATA!AK23)-1</f>
        <v>4.7653613036693132E-2</v>
      </c>
      <c r="AL20">
        <f ca="1">(DATA!AL24/DATA!AL23)-1</f>
        <v>8.4162420124565207E-2</v>
      </c>
      <c r="AM20">
        <f ca="1">(DATA!AM24/DATA!AM23)-1</f>
        <v>5.170259293970636E-2</v>
      </c>
      <c r="AN20">
        <f ca="1">(DATA!AN24/DATA!AN23)-1</f>
        <v>6.344276841171248E-2</v>
      </c>
      <c r="AO20">
        <f ca="1">(DATA!AO24/DATA!AO23)-1</f>
        <v>8.8373305526590284E-2</v>
      </c>
      <c r="AP20">
        <f ca="1">(DATA!AP24/DATA!AP23)-1</f>
        <v>5.3827908815390568E-2</v>
      </c>
      <c r="AQ20">
        <f ca="1">(DATA!AQ24/DATA!AQ23)-1</f>
        <v>0.10304630815194193</v>
      </c>
      <c r="AR20">
        <f ca="1">(DATA!AR24/DATA!AR23)-1</f>
        <v>8.8039174828089317E-2</v>
      </c>
      <c r="AS20">
        <f ca="1">(DATA!AS24/DATA!AS23)-1</f>
        <v>-5.2242054854156894E-3</v>
      </c>
      <c r="AT20">
        <f ca="1">(DATA!AT24/DATA!AT23)-1</f>
        <v>3.3309326611451251E-2</v>
      </c>
      <c r="AU20">
        <f ca="1">(DATA!AU24/DATA!AU23)-1</f>
        <v>-5.3897720743152688E-2</v>
      </c>
      <c r="AV20">
        <f ca="1">(DATA!AV24/DATA!AV23)-1</f>
        <v>5.9969282323373285E-2</v>
      </c>
      <c r="AW20">
        <f ca="1">(DATA!AW24/DATA!AW23)-1</f>
        <v>5.8124448596190703E-2</v>
      </c>
    </row>
    <row r="21" spans="1:49">
      <c r="A21" vm="10969">
        <f ca="1">DATA!A25</f>
        <v>44440</v>
      </c>
      <c r="B21">
        <f ca="1">(DATA!B25/DATA!B24)-1</f>
        <v>5.4042305927926915E-2</v>
      </c>
      <c r="C21">
        <f ca="1">(DATA!C25/DATA!C24)-1</f>
        <v>-6.8036619903839912E-2</v>
      </c>
      <c r="D21">
        <f ca="1">(DATA!D25/DATA!D24)-1</f>
        <v>-8.3846640359681479E-2</v>
      </c>
      <c r="E21">
        <f ca="1">(DATA!E25/DATA!E24)-1</f>
        <v>-6.6118987677222685E-2</v>
      </c>
      <c r="F21">
        <f ca="1">(DATA!F25/DATA!F24)-1</f>
        <v>-5.3518075135631893E-2</v>
      </c>
      <c r="G21">
        <f ca="1">(DATA!G25/DATA!G24)-1</f>
        <v>-7.6169249641493519E-2</v>
      </c>
      <c r="H21">
        <f ca="1">(DATA!H25/DATA!H24)-1</f>
        <v>-0.10540882492487746</v>
      </c>
      <c r="I21">
        <f ca="1">(DATA!I25/DATA!I24)-1</f>
        <v>-4.4896245232179721E-2</v>
      </c>
      <c r="J21">
        <f ca="1">(DATA!J25/DATA!J24)-1</f>
        <v>-7.4558856377038185E-2</v>
      </c>
      <c r="K21">
        <f ca="1">(DATA!K25/DATA!K24)-1</f>
        <v>-6.7174955235949851E-2</v>
      </c>
      <c r="L21">
        <f ca="1">(DATA!L25/DATA!L24)-1</f>
        <v>-2.7717154081187245E-2</v>
      </c>
      <c r="M21">
        <f ca="1">(DATA!M25/DATA!M24)-1</f>
        <v>-1.8189479598286207E-2</v>
      </c>
      <c r="N21">
        <f ca="1">(DATA!N25/DATA!N24)-1</f>
        <v>-6.1330386527974623E-2</v>
      </c>
      <c r="O21">
        <f ca="1">(DATA!O25/DATA!O24)-1</f>
        <v>6.3768471396161708E-3</v>
      </c>
      <c r="P21">
        <f ca="1">(DATA!P25/DATA!P24)-1</f>
        <v>4.187967536031012E-3</v>
      </c>
      <c r="Q21">
        <f ca="1">(DATA!Q25/DATA!Q24)-1</f>
        <v>-6.6420664206642166E-2</v>
      </c>
      <c r="R21">
        <f ca="1">(DATA!R25/DATA!R24)-1</f>
        <v>-6.8193926478423039E-2</v>
      </c>
      <c r="S21">
        <f ca="1">(DATA!S25/DATA!S24)-1</f>
        <v>-6.6905681191395616E-2</v>
      </c>
      <c r="T21">
        <f ca="1">(DATA!T25/DATA!T24)-1</f>
        <v>7.229571847713423E-2</v>
      </c>
      <c r="U21">
        <f ca="1">(DATA!U25/DATA!U24)-1</f>
        <v>-1.4428412874583851E-2</v>
      </c>
      <c r="V21">
        <f ca="1">(DATA!V25/DATA!V24)-1</f>
        <v>-7.7770247373771695E-2</v>
      </c>
      <c r="W21">
        <f ca="1">(DATA!W25/DATA!W24)-1</f>
        <v>7.8870139398385941E-2</v>
      </c>
      <c r="X21">
        <f ca="1">(DATA!X25/DATA!X24)-1</f>
        <v>4.8362095690813289E-2</v>
      </c>
      <c r="Y21">
        <f ca="1">(DATA!Y25/DATA!Y24)-1</f>
        <v>-5.888036753892345E-2</v>
      </c>
      <c r="Z21">
        <f ca="1">(DATA!Z25/DATA!Z24)-1</f>
        <v>-1.4951465687931598E-2</v>
      </c>
      <c r="AA21">
        <f ca="1">(DATA!AA25/DATA!AA24)-1</f>
        <v>-1.8000000000000016E-2</v>
      </c>
      <c r="AB21">
        <f ca="1">(DATA!AB25/DATA!AB24)-1</f>
        <v>-0.1184290396989196</v>
      </c>
      <c r="AC21">
        <f ca="1">(DATA!AC25/DATA!AC24)-1</f>
        <v>1.5371009854291184E-2</v>
      </c>
      <c r="AD21">
        <f ca="1">(DATA!AD25/DATA!AD24)-1</f>
        <v>-6.1111583964592708E-2</v>
      </c>
      <c r="AE21">
        <f ca="1">(DATA!AE25/DATA!AE24)-1</f>
        <v>2.0045558086561055E-3</v>
      </c>
      <c r="AF21">
        <f ca="1">(DATA!AF25/DATA!AF24)-1</f>
        <v>-1.0047028644719957E-2</v>
      </c>
      <c r="AG21">
        <f ca="1">(DATA!AG25/DATA!AG24)-1</f>
        <v>-2.2439133849433412E-2</v>
      </c>
      <c r="AH21">
        <f ca="1">(DATA!AH25/DATA!AH24)-1</f>
        <v>2.2429977004561508E-2</v>
      </c>
      <c r="AI21">
        <f ca="1">(DATA!AI25/DATA!AI24)-1</f>
        <v>-0.13255989151725178</v>
      </c>
      <c r="AJ21">
        <f ca="1">(DATA!AJ25/DATA!AJ24)-1</f>
        <v>-7.0628612716762906E-2</v>
      </c>
      <c r="AK21">
        <f ca="1">(DATA!AK25/DATA!AK24)-1</f>
        <v>-9.8558858172244301E-2</v>
      </c>
      <c r="AL21">
        <f ca="1">(DATA!AL25/DATA!AL24)-1</f>
        <v>-0.10530831499235271</v>
      </c>
      <c r="AM21">
        <f ca="1">(DATA!AM25/DATA!AM24)-1</f>
        <v>-6.8542997178078102E-2</v>
      </c>
      <c r="AN21">
        <f ca="1">(DATA!AN25/DATA!AN24)-1</f>
        <v>-2.4057850090390631E-2</v>
      </c>
      <c r="AO21">
        <f ca="1">(DATA!AO25/DATA!AO24)-1</f>
        <v>1.6766467065868262E-2</v>
      </c>
      <c r="AP21">
        <f ca="1">(DATA!AP25/DATA!AP24)-1</f>
        <v>2.3382306970928468E-2</v>
      </c>
      <c r="AQ21">
        <f ca="1">(DATA!AQ25/DATA!AQ24)-1</f>
        <v>-8.5802036226451661E-2</v>
      </c>
      <c r="AR21">
        <f ca="1">(DATA!AR25/DATA!AR24)-1</f>
        <v>-6.8179641865364404E-2</v>
      </c>
      <c r="AS21">
        <f ca="1">(DATA!AS25/DATA!AS24)-1</f>
        <v>1.5536105032822656E-2</v>
      </c>
      <c r="AT21">
        <f ca="1">(DATA!AT25/DATA!AT24)-1</f>
        <v>3.572050879944233E-2</v>
      </c>
      <c r="AU21">
        <f ca="1">(DATA!AU25/DATA!AU24)-1</f>
        <v>-7.373066645072468E-2</v>
      </c>
      <c r="AV21">
        <f ca="1">(DATA!AV25/DATA!AV24)-1</f>
        <v>-1.3479988583723013E-2</v>
      </c>
      <c r="AW21">
        <f ca="1">(DATA!AW25/DATA!AW24)-1</f>
        <v>-5.0517435872282634E-3</v>
      </c>
    </row>
    <row r="22" spans="1:49">
      <c r="A22" vm="11004">
        <f ca="1">DATA!A26</f>
        <v>44470</v>
      </c>
      <c r="B22">
        <f ca="1">(DATA!B26/DATA!B25)-1</f>
        <v>0.43652982486410541</v>
      </c>
      <c r="C22">
        <f ca="1">(DATA!C26/DATA!C25)-1</f>
        <v>5.8657243816254478E-2</v>
      </c>
      <c r="D22">
        <f ca="1">(DATA!D26/DATA!D25)-1</f>
        <v>0.11259478259564548</v>
      </c>
      <c r="E22">
        <f ca="1">(DATA!E26/DATA!E25)-1</f>
        <v>0.1762911464245176</v>
      </c>
      <c r="F22">
        <f ca="1">(DATA!F26/DATA!F25)-1</f>
        <v>2.6602415800111912E-2</v>
      </c>
      <c r="G22">
        <f ca="1">(DATA!G26/DATA!G25)-1</f>
        <v>0.10749872826835039</v>
      </c>
      <c r="H22">
        <f ca="1">(DATA!H26/DATA!H25)-1</f>
        <v>-4.6613041044226367E-2</v>
      </c>
      <c r="I22">
        <f ca="1">(DATA!I26/DATA!I25)-1</f>
        <v>5.1549791162892822E-2</v>
      </c>
      <c r="J22">
        <f ca="1">(DATA!J26/DATA!J25)-1</f>
        <v>0.23416682757289053</v>
      </c>
      <c r="K22">
        <f ca="1">(DATA!K26/DATA!K25)-1</f>
        <v>8.544891640866803E-3</v>
      </c>
      <c r="L22">
        <f ca="1">(DATA!L26/DATA!L25)-1</f>
        <v>-4.9292929292929277E-2</v>
      </c>
      <c r="M22">
        <f ca="1">(DATA!M26/DATA!M25)-1</f>
        <v>2.2818311874105879E-2</v>
      </c>
      <c r="N22">
        <f ca="1">(DATA!N26/DATA!N25)-1</f>
        <v>0.17845626247632707</v>
      </c>
      <c r="O22">
        <f ca="1">(DATA!O26/DATA!O25)-1</f>
        <v>0.13245598001584113</v>
      </c>
      <c r="P22">
        <f ca="1">(DATA!P26/DATA!P25)-1</f>
        <v>-3.4974689369535295E-2</v>
      </c>
      <c r="Q22">
        <f ca="1">(DATA!Q26/DATA!Q25)-1</f>
        <v>1.6972797023947939E-2</v>
      </c>
      <c r="R22">
        <f ca="1">(DATA!R26/DATA!R25)-1</f>
        <v>7.4328187535734669E-2</v>
      </c>
      <c r="S22">
        <f ca="1">(DATA!S26/DATA!S25)-1</f>
        <v>-5.91121357214619E-4</v>
      </c>
      <c r="T22">
        <f ca="1">(DATA!T26/DATA!T25)-1</f>
        <v>0.1310253301438542</v>
      </c>
      <c r="U22">
        <f ca="1">(DATA!U26/DATA!U25)-1</f>
        <v>-8.0330330330330324E-2</v>
      </c>
      <c r="V22">
        <f ca="1">(DATA!V26/DATA!V25)-1</f>
        <v>2.8293220650376538E-2</v>
      </c>
      <c r="W22">
        <f ca="1">(DATA!W26/DATA!W25)-1</f>
        <v>9.6055763345800793E-2</v>
      </c>
      <c r="X22">
        <f ca="1">(DATA!X26/DATA!X25)-1</f>
        <v>0.12853622474125181</v>
      </c>
      <c r="Y22">
        <f ca="1">(DATA!Y26/DATA!Y25)-1</f>
        <v>7.2034782983028123E-2</v>
      </c>
      <c r="Z22">
        <f ca="1">(DATA!Z26/DATA!Z25)-1</f>
        <v>-6.4792571602263038E-2</v>
      </c>
      <c r="AA22">
        <f ca="1">(DATA!AA26/DATA!AA25)-1</f>
        <v>-1.8885391594149148E-2</v>
      </c>
      <c r="AB22">
        <f ca="1">(DATA!AB26/DATA!AB25)-1</f>
        <v>0.15189699097982512</v>
      </c>
      <c r="AC22">
        <f ca="1">(DATA!AC26/DATA!AC25)-1</f>
        <v>1.8414831404752974E-2</v>
      </c>
      <c r="AD22">
        <f ca="1">(DATA!AD26/DATA!AD25)-1</f>
        <v>-3.8437131719699091E-2</v>
      </c>
      <c r="AE22">
        <f ca="1">(DATA!AE26/DATA!AE25)-1</f>
        <v>-5.8697826680003673E-2</v>
      </c>
      <c r="AF22">
        <f ca="1">(DATA!AF26/DATA!AF25)-1</f>
        <v>-9.9546534225869232E-2</v>
      </c>
      <c r="AG22">
        <f ca="1">(DATA!AG26/DATA!AG25)-1</f>
        <v>0.10111327900837841</v>
      </c>
      <c r="AH22">
        <f ca="1">(DATA!AH26/DATA!AH25)-1</f>
        <v>0.10497013494580032</v>
      </c>
      <c r="AI22">
        <f ca="1">(DATA!AI26/DATA!AI25)-1</f>
        <v>0.12964635586743545</v>
      </c>
      <c r="AJ22">
        <f ca="1">(DATA!AJ26/DATA!AJ25)-1</f>
        <v>0.16841593780369291</v>
      </c>
      <c r="AK22">
        <f ca="1">(DATA!AK26/DATA!AK25)-1</f>
        <v>-0.10614503670112596</v>
      </c>
      <c r="AL22">
        <f ca="1">(DATA!AL26/DATA!AL25)-1</f>
        <v>6.1124082721814466E-2</v>
      </c>
      <c r="AM22">
        <f ca="1">(DATA!AM26/DATA!AM25)-1</f>
        <v>0.15570437694331507</v>
      </c>
      <c r="AN22">
        <f ca="1">(DATA!AN26/DATA!AN25)-1</f>
        <v>-1.45340552864065E-2</v>
      </c>
      <c r="AO22">
        <f ca="1">(DATA!AO26/DATA!AO25)-1</f>
        <v>0.12555948174322729</v>
      </c>
      <c r="AP22">
        <f ca="1">(DATA!AP26/DATA!AP25)-1</f>
        <v>3.7876473822469281E-2</v>
      </c>
      <c r="AQ22">
        <f ca="1">(DATA!AQ26/DATA!AQ25)-1</f>
        <v>9.3431738221834371E-2</v>
      </c>
      <c r="AR22">
        <f ca="1">(DATA!AR26/DATA!AR25)-1</f>
        <v>5.6212105641763488E-2</v>
      </c>
      <c r="AS22">
        <f ca="1">(DATA!AS26/DATA!AS25)-1</f>
        <v>0.10234863176039655</v>
      </c>
      <c r="AT22">
        <f ca="1">(DATA!AT26/DATA!AT25)-1</f>
        <v>1.5646029609690526E-2</v>
      </c>
      <c r="AU22">
        <f ca="1">(DATA!AU26/DATA!AU25)-1</f>
        <v>0.13485159767452015</v>
      </c>
      <c r="AV22">
        <f ca="1">(DATA!AV26/DATA!AV25)-1</f>
        <v>9.38911761433181E-2</v>
      </c>
      <c r="AW22">
        <f ca="1">(DATA!AW26/DATA!AW25)-1</f>
        <v>0.1526175687666369</v>
      </c>
    </row>
    <row r="23" spans="1:49">
      <c r="A23" vm="11046">
        <f ca="1">DATA!A27</f>
        <v>44501</v>
      </c>
      <c r="B23">
        <f ca="1">(DATA!B27/DATA!B26)-1</f>
        <v>2.7612396103084524E-2</v>
      </c>
      <c r="C23">
        <f ca="1">(DATA!C27/DATA!C26)-1</f>
        <v>0.10347129506008002</v>
      </c>
      <c r="D23">
        <f ca="1">(DATA!D27/DATA!D26)-1</f>
        <v>-3.924246562869893E-2</v>
      </c>
      <c r="E23">
        <f ca="1">(DATA!E27/DATA!E26)-1</f>
        <v>-3.105964658344007E-3</v>
      </c>
      <c r="F23">
        <f ca="1">(DATA!F27/DATA!F26)-1</f>
        <v>3.9923734517840259E-2</v>
      </c>
      <c r="G23">
        <f ca="1">(DATA!G27/DATA!G26)-1</f>
        <v>-4.1531010631830512E-2</v>
      </c>
      <c r="H23">
        <f ca="1">(DATA!H27/DATA!H26)-1</f>
        <v>2.7505640201501702E-3</v>
      </c>
      <c r="I23">
        <f ca="1">(DATA!I27/DATA!I26)-1</f>
        <v>-3.5956935298421588E-2</v>
      </c>
      <c r="J23">
        <f ca="1">(DATA!J27/DATA!J26)-1</f>
        <v>0.27805374115070225</v>
      </c>
      <c r="K23">
        <f ca="1">(DATA!K27/DATA!K26)-1</f>
        <v>-4.2669449901768131E-2</v>
      </c>
      <c r="L23">
        <f ca="1">(DATA!L27/DATA!L26)-1</f>
        <v>-8.4997875053123617E-2</v>
      </c>
      <c r="M23">
        <f ca="1">(DATA!M27/DATA!M26)-1</f>
        <v>1.1119658717392955E-2</v>
      </c>
      <c r="N23">
        <f ca="1">(DATA!N27/DATA!N26)-1</f>
        <v>-3.5290029752209739E-2</v>
      </c>
      <c r="O23">
        <f ca="1">(DATA!O27/DATA!O26)-1</f>
        <v>7.7661806639048869E-2</v>
      </c>
      <c r="P23">
        <f ca="1">(DATA!P27/DATA!P26)-1</f>
        <v>-6.1397234144015211E-2</v>
      </c>
      <c r="Q23">
        <f ca="1">(DATA!Q27/DATA!Q26)-1</f>
        <v>0.22839506172839497</v>
      </c>
      <c r="R23">
        <f ca="1">(DATA!R27/DATA!R26)-1</f>
        <v>-6.9540535745964083E-2</v>
      </c>
      <c r="S23">
        <f ca="1">(DATA!S27/DATA!S26)-1</f>
        <v>-0.14295853788371671</v>
      </c>
      <c r="T23">
        <f ca="1">(DATA!T27/DATA!T26)-1</f>
        <v>-7.0127913546087939E-2</v>
      </c>
      <c r="U23">
        <f ca="1">(DATA!U27/DATA!U26)-1</f>
        <v>4.0816326530612734E-3</v>
      </c>
      <c r="V23">
        <f ca="1">(DATA!V27/DATA!V26)-1</f>
        <v>-2.0189387171699047E-2</v>
      </c>
      <c r="W23">
        <f ca="1">(DATA!W27/DATA!W26)-1</f>
        <v>-7.1816348689312748E-2</v>
      </c>
      <c r="X23">
        <f ca="1">(DATA!X27/DATA!X26)-1</f>
        <v>-1.4149707398025901E-2</v>
      </c>
      <c r="Y23">
        <f ca="1">(DATA!Y27/DATA!Y26)-1</f>
        <v>-5.8828017395424648E-2</v>
      </c>
      <c r="Z23">
        <f ca="1">(DATA!Z27/DATA!Z26)-1</f>
        <v>-9.6195179232325789E-2</v>
      </c>
      <c r="AA23">
        <f ca="1">(DATA!AA27/DATA!AA26)-1</f>
        <v>-5.1330439705604802E-2</v>
      </c>
      <c r="AB23">
        <f ca="1">(DATA!AB27/DATA!AB26)-1</f>
        <v>1.1656405045131324E-2</v>
      </c>
      <c r="AC23">
        <f ca="1">(DATA!AC27/DATA!AC26)-1</f>
        <v>-3.8688658114437446E-3</v>
      </c>
      <c r="AD23">
        <f ca="1">(DATA!AD27/DATA!AD26)-1</f>
        <v>3.3657018949750261E-2</v>
      </c>
      <c r="AE23">
        <f ca="1">(DATA!AE27/DATA!AE26)-1</f>
        <v>-4.434139979713092E-2</v>
      </c>
      <c r="AF23">
        <f ca="1">(DATA!AF27/DATA!AF26)-1</f>
        <v>-6.3948840927258166E-2</v>
      </c>
      <c r="AG23">
        <f ca="1">(DATA!AG27/DATA!AG26)-1</f>
        <v>-5.4200542005420127E-2</v>
      </c>
      <c r="AH23">
        <f ca="1">(DATA!AH27/DATA!AH26)-1</f>
        <v>-4.9150789148787122E-2</v>
      </c>
      <c r="AI23">
        <f ca="1">(DATA!AI27/DATA!AI26)-1</f>
        <v>2.9968017713266404E-2</v>
      </c>
      <c r="AJ23">
        <f ca="1">(DATA!AJ27/DATA!AJ26)-1</f>
        <v>0.31722531814023114</v>
      </c>
      <c r="AK23">
        <f ca="1">(DATA!AK27/DATA!AK26)-1</f>
        <v>-0.20508190377918234</v>
      </c>
      <c r="AL23">
        <f ca="1">(DATA!AL27/DATA!AL26)-1</f>
        <v>-0.18141453831041254</v>
      </c>
      <c r="AM23">
        <f ca="1">(DATA!AM27/DATA!AM26)-1</f>
        <v>3.9942052980132425E-2</v>
      </c>
      <c r="AN23">
        <f ca="1">(DATA!AN27/DATA!AN26)-1</f>
        <v>-7.8947368421052544E-2</v>
      </c>
      <c r="AO23">
        <f ca="1">(DATA!AO27/DATA!AO26)-1</f>
        <v>-6.9275847634993726E-2</v>
      </c>
      <c r="AP23">
        <f ca="1">(DATA!AP27/DATA!AP26)-1</f>
        <v>-6.5100947672022902E-2</v>
      </c>
      <c r="AQ23">
        <f ca="1">(DATA!AQ27/DATA!AQ26)-1</f>
        <v>-7.8287165840087103E-2</v>
      </c>
      <c r="AR23">
        <f ca="1">(DATA!AR27/DATA!AR26)-1</f>
        <v>-7.744697411947854E-2</v>
      </c>
      <c r="AS23">
        <f ca="1">(DATA!AS27/DATA!AS26)-1</f>
        <v>-6.6067240031274399E-2</v>
      </c>
      <c r="AT23">
        <f ca="1">(DATA!AT27/DATA!AT26)-1</f>
        <v>-8.3319529567665973E-2</v>
      </c>
      <c r="AU23">
        <f ca="1">(DATA!AU27/DATA!AU26)-1</f>
        <v>-6.0781141668592609E-2</v>
      </c>
      <c r="AV23">
        <f ca="1">(DATA!AV27/DATA!AV26)-1</f>
        <v>9.7326768930300567E-2</v>
      </c>
      <c r="AW23">
        <f ca="1">(DATA!AW27/DATA!AW26)-1</f>
        <v>4.6061072619964172E-2</v>
      </c>
    </row>
    <row r="24" spans="1:49">
      <c r="A24" vm="11079">
        <f ca="1">DATA!A28</f>
        <v>44531</v>
      </c>
      <c r="B24">
        <f ca="1">(DATA!B28/DATA!B27)-1</f>
        <v>-7.6854596995829638E-2</v>
      </c>
      <c r="C24">
        <f ca="1">(DATA!C28/DATA!C27)-1</f>
        <v>7.4228675136116085E-2</v>
      </c>
      <c r="D24">
        <f ca="1">(DATA!D28/DATA!D27)-1</f>
        <v>1.5636846095526957E-2</v>
      </c>
      <c r="E24">
        <f ca="1">(DATA!E28/DATA!E27)-1</f>
        <v>1.7332647690492919E-2</v>
      </c>
      <c r="F24">
        <f ca="1">(DATA!F28/DATA!F27)-1</f>
        <v>-4.9251939653328747E-2</v>
      </c>
      <c r="G24">
        <f ca="1">(DATA!G28/DATA!G27)-1</f>
        <v>2.0821367536425939E-2</v>
      </c>
      <c r="H24">
        <f ca="1">(DATA!H28/DATA!H27)-1</f>
        <v>3.6645503297787263E-2</v>
      </c>
      <c r="I24">
        <f ca="1">(DATA!I28/DATA!I27)-1</f>
        <v>8.0631753948462226E-2</v>
      </c>
      <c r="J24">
        <f ca="1">(DATA!J28/DATA!J27)-1</f>
        <v>-9.9920430897294632E-2</v>
      </c>
      <c r="K24">
        <f ca="1">(DATA!K28/DATA!K27)-1</f>
        <v>9.7094850253318654E-2</v>
      </c>
      <c r="L24">
        <f ca="1">(DATA!L28/DATA!L27)-1</f>
        <v>0.11838777932600508</v>
      </c>
      <c r="M24">
        <f ca="1">(DATA!M28/DATA!M27)-1</f>
        <v>0.13141513349010925</v>
      </c>
      <c r="N24">
        <f ca="1">(DATA!N28/DATA!N27)-1</f>
        <v>0.13038584485164995</v>
      </c>
      <c r="O24">
        <f ca="1">(DATA!O28/DATA!O27)-1</f>
        <v>3.5945183595017527E-2</v>
      </c>
      <c r="P24">
        <f ca="1">(DATA!P28/DATA!P27)-1</f>
        <v>0.14098818747618425</v>
      </c>
      <c r="Q24">
        <f ca="1">(DATA!Q28/DATA!Q27)-1</f>
        <v>9.9013586450772406E-2</v>
      </c>
      <c r="R24">
        <f ca="1">(DATA!R28/DATA!R27)-1</f>
        <v>0.128884652049571</v>
      </c>
      <c r="S24">
        <f ca="1">(DATA!S28/DATA!S27)-1</f>
        <v>6.8944099378881907E-2</v>
      </c>
      <c r="T24">
        <f ca="1">(DATA!T28/DATA!T27)-1</f>
        <v>-6.1473749805265543E-2</v>
      </c>
      <c r="U24">
        <f ca="1">(DATA!U28/DATA!U27)-1</f>
        <v>4.674796747967469E-2</v>
      </c>
      <c r="V24">
        <f ca="1">(DATA!V28/DATA!V27)-1</f>
        <v>0.1555433989788475</v>
      </c>
      <c r="W24">
        <f ca="1">(DATA!W28/DATA!W27)-1</f>
        <v>2.2560160427807396E-2</v>
      </c>
      <c r="X24">
        <f ca="1">(DATA!X28/DATA!X27)-1</f>
        <v>3.9691680694604381E-2</v>
      </c>
      <c r="Y24">
        <f ca="1">(DATA!Y28/DATA!Y27)-1</f>
        <v>2.8869660936680086E-2</v>
      </c>
      <c r="Z24">
        <f ca="1">(DATA!Z28/DATA!Z27)-1</f>
        <v>7.7525404853603153E-2</v>
      </c>
      <c r="AA24">
        <f ca="1">(DATA!AA28/DATA!AA27)-1</f>
        <v>3.3618460314302823E-2</v>
      </c>
      <c r="AB24">
        <f ca="1">(DATA!AB28/DATA!AB27)-1</f>
        <v>-1.5185535334436451E-2</v>
      </c>
      <c r="AC24">
        <f ca="1">(DATA!AC28/DATA!AC27)-1</f>
        <v>9.5952575633687642E-2</v>
      </c>
      <c r="AD24">
        <f ca="1">(DATA!AD28/DATA!AD27)-1</f>
        <v>6.6855162349507502E-2</v>
      </c>
      <c r="AE24">
        <f ca="1">(DATA!AE28/DATA!AE27)-1</f>
        <v>1.7538539297447642E-2</v>
      </c>
      <c r="AF24">
        <f ca="1">(DATA!AF28/DATA!AF27)-1</f>
        <v>0.14141759180187874</v>
      </c>
      <c r="AG24">
        <f ca="1">(DATA!AG28/DATA!AG27)-1</f>
        <v>-3.8902358386599056E-2</v>
      </c>
      <c r="AH24">
        <f ca="1">(DATA!AH28/DATA!AH27)-1</f>
        <v>-0.10819062324536777</v>
      </c>
      <c r="AI24">
        <f ca="1">(DATA!AI28/DATA!AI27)-1</f>
        <v>-0.15345226543255963</v>
      </c>
      <c r="AJ24">
        <f ca="1">(DATA!AJ28/DATA!AJ27)-1</f>
        <v>-9.1368314706068099E-2</v>
      </c>
      <c r="AK24">
        <f ca="1">(DATA!AK28/DATA!AK27)-1</f>
        <v>1.9957812753529369E-2</v>
      </c>
      <c r="AL24">
        <f ca="1">(DATA!AL28/DATA!AL27)-1</f>
        <v>-0.22473959583353342</v>
      </c>
      <c r="AM24">
        <f ca="1">(DATA!AM28/DATA!AM27)-1</f>
        <v>0.11681592039801014</v>
      </c>
      <c r="AN24">
        <f ca="1">(DATA!AN28/DATA!AN27)-1</f>
        <v>-5.1962323390894904E-2</v>
      </c>
      <c r="AO24">
        <f ca="1">(DATA!AO28/DATA!AO27)-1</f>
        <v>4.4974139869591312E-4</v>
      </c>
      <c r="AP24">
        <f ca="1">(DATA!AP28/DATA!AP27)-1</f>
        <v>-3.0220990996664421E-3</v>
      </c>
      <c r="AQ24">
        <f ca="1">(DATA!AQ28/DATA!AQ27)-1</f>
        <v>4.0945956586786458E-3</v>
      </c>
      <c r="AR24">
        <f ca="1">(DATA!AR28/DATA!AR27)-1</f>
        <v>3.5224636152710431E-2</v>
      </c>
      <c r="AS24">
        <f ca="1">(DATA!AS28/DATA!AS27)-1</f>
        <v>4.1858518208455209E-3</v>
      </c>
      <c r="AT24">
        <f ca="1">(DATA!AT28/DATA!AT27)-1</f>
        <v>1.4998192988796566E-2</v>
      </c>
      <c r="AU24">
        <f ca="1">(DATA!AU28/DATA!AU27)-1</f>
        <v>-5.0853018372703396E-2</v>
      </c>
      <c r="AV24">
        <f ca="1">(DATA!AV28/DATA!AV27)-1</f>
        <v>5.2504727650265259E-2</v>
      </c>
      <c r="AW24">
        <f ca="1">(DATA!AW28/DATA!AW27)-1</f>
        <v>5.6788912056911611E-2</v>
      </c>
    </row>
    <row r="25" spans="1:49">
      <c r="A25" vm="11116">
        <f ca="1">DATA!A29</f>
        <v>44562</v>
      </c>
      <c r="B25">
        <f ca="1">(DATA!B29/DATA!B28)-1</f>
        <v>-0.11360925916200271</v>
      </c>
      <c r="C25">
        <f ca="1">(DATA!C29/DATA!C28)-1</f>
        <v>-1.5712113532691308E-2</v>
      </c>
      <c r="D25">
        <f ca="1">(DATA!D29/DATA!D28)-1</f>
        <v>-6.2075138495778615E-2</v>
      </c>
      <c r="E25">
        <f ca="1">(DATA!E29/DATA!E28)-1</f>
        <v>-7.5344909609895261E-2</v>
      </c>
      <c r="F25">
        <f ca="1">(DATA!F29/DATA!F28)-1</f>
        <v>-0.10282994535650247</v>
      </c>
      <c r="G25">
        <f ca="1">(DATA!G29/DATA!G28)-1</f>
        <v>-6.5919006986441264E-2</v>
      </c>
      <c r="H25">
        <f ca="1">(DATA!H29/DATA!H28)-1</f>
        <v>-6.8648729002527165E-2</v>
      </c>
      <c r="I25">
        <f ca="1">(DATA!I29/DATA!I28)-1</f>
        <v>4.6889632107023349E-2</v>
      </c>
      <c r="J25">
        <f ca="1">(DATA!J29/DATA!J28)-1</f>
        <v>-0.16745435381319917</v>
      </c>
      <c r="K25">
        <f ca="1">(DATA!K29/DATA!K28)-1</f>
        <v>7.1315835622844936E-3</v>
      </c>
      <c r="L25">
        <f ca="1">(DATA!L29/DATA!L28)-1</f>
        <v>4.365280789995829E-2</v>
      </c>
      <c r="M25">
        <f ca="1">(DATA!M29/DATA!M28)-1</f>
        <v>-1.9134368504707289E-2</v>
      </c>
      <c r="N25">
        <f ca="1">(DATA!N29/DATA!N28)-1</f>
        <v>-5.888795953319792E-2</v>
      </c>
      <c r="O25">
        <f ca="1">(DATA!O29/DATA!O28)-1</f>
        <v>-0.11573215103250523</v>
      </c>
      <c r="P25">
        <f ca="1">(DATA!P29/DATA!P28)-1</f>
        <v>7.5308916842925511E-2</v>
      </c>
      <c r="Q25">
        <f ca="1">(DATA!Q29/DATA!Q28)-1</f>
        <v>-0.10770533446232011</v>
      </c>
      <c r="R25">
        <f ca="1">(DATA!R29/DATA!R28)-1</f>
        <v>3.0400270224624215E-2</v>
      </c>
      <c r="S25">
        <f ca="1">(DATA!S29/DATA!S28)-1</f>
        <v>-7.6957841048485909E-2</v>
      </c>
      <c r="T25">
        <f ca="1">(DATA!T29/DATA!T28)-1</f>
        <v>-0.29098333443994429</v>
      </c>
      <c r="U25">
        <f ca="1">(DATA!U29/DATA!U28)-1</f>
        <v>-5.2038834951456336E-2</v>
      </c>
      <c r="V25">
        <f ca="1">(DATA!V29/DATA!V28)-1</f>
        <v>-0.12150860028404598</v>
      </c>
      <c r="W25">
        <f ca="1">(DATA!W29/DATA!W28)-1</f>
        <v>0.24137931034482762</v>
      </c>
      <c r="X25">
        <f ca="1">(DATA!X29/DATA!X28)-1</f>
        <v>0.11913080528334064</v>
      </c>
      <c r="Y25">
        <f ca="1">(DATA!Y29/DATA!Y28)-1</f>
        <v>-3.3726246384474301E-2</v>
      </c>
      <c r="Z25">
        <f ca="1">(DATA!Z29/DATA!Z28)-1</f>
        <v>3.6587466491543541E-2</v>
      </c>
      <c r="AA25">
        <f ca="1">(DATA!AA29/DATA!AA28)-1</f>
        <v>2.4441878367975178E-2</v>
      </c>
      <c r="AB25">
        <f ca="1">(DATA!AB29/DATA!AB28)-1</f>
        <v>-0.11159776804463906</v>
      </c>
      <c r="AC25">
        <f ca="1">(DATA!AC29/DATA!AC28)-1</f>
        <v>-3.2155780206662432E-2</v>
      </c>
      <c r="AD25">
        <f ca="1">(DATA!AD29/DATA!AD28)-1</f>
        <v>-0.15944259211763701</v>
      </c>
      <c r="AE25">
        <f ca="1">(DATA!AE29/DATA!AE28)-1</f>
        <v>-5.3645936817007245E-3</v>
      </c>
      <c r="AF25">
        <f ca="1">(DATA!AF29/DATA!AF28)-1</f>
        <v>-6.7335029178516859E-4</v>
      </c>
      <c r="AG25">
        <f ca="1">(DATA!AG29/DATA!AG28)-1</f>
        <v>-6.9372778351106446E-2</v>
      </c>
      <c r="AH25">
        <f ca="1">(DATA!AH29/DATA!AH28)-1</f>
        <v>-8.4602368866328215E-2</v>
      </c>
      <c r="AI25">
        <f ca="1">(DATA!AI29/DATA!AI28)-1</f>
        <v>-5.7771664374140275E-2</v>
      </c>
      <c r="AJ25">
        <f ca="1">(DATA!AJ29/DATA!AJ28)-1</f>
        <v>-0.20604586518415569</v>
      </c>
      <c r="AK25">
        <f ca="1">(DATA!AK29/DATA!AK28)-1</f>
        <v>-8.8238413405451355E-2</v>
      </c>
      <c r="AL25">
        <f ca="1">(DATA!AL29/DATA!AL28)-1</f>
        <v>-0.24283326109838388</v>
      </c>
      <c r="AM25">
        <f ca="1">(DATA!AM29/DATA!AM28)-1</f>
        <v>-6.8543597053932204E-2</v>
      </c>
      <c r="AN25">
        <f ca="1">(DATA!AN29/DATA!AN28)-1</f>
        <v>7.8324225865209485E-2</v>
      </c>
      <c r="AO25">
        <f ca="1">(DATA!AO29/DATA!AO28)-1</f>
        <v>3.7086985839514419E-2</v>
      </c>
      <c r="AP25">
        <f ca="1">(DATA!AP29/DATA!AP28)-1</f>
        <v>-6.1572466056204589E-2</v>
      </c>
      <c r="AQ25">
        <f ca="1">(DATA!AQ29/DATA!AQ28)-1</f>
        <v>-7.2853221801071788E-2</v>
      </c>
      <c r="AR25">
        <f ca="1">(DATA!AR29/DATA!AR28)-1</f>
        <v>4.462102689486569E-2</v>
      </c>
      <c r="AS25">
        <f ca="1">(DATA!AS29/DATA!AS28)-1</f>
        <v>0.12130054189245509</v>
      </c>
      <c r="AT25">
        <f ca="1">(DATA!AT29/DATA!AT28)-1</f>
        <v>3.5962257432793132E-2</v>
      </c>
      <c r="AU25">
        <f ca="1">(DATA!AU29/DATA!AU28)-1</f>
        <v>-4.7571724853093689E-2</v>
      </c>
      <c r="AV25">
        <f ca="1">(DATA!AV29/DATA!AV28)-1</f>
        <v>-0.11021666373084382</v>
      </c>
      <c r="AW25">
        <f ca="1">(DATA!AW29/DATA!AW28)-1</f>
        <v>-8.1747137109254187E-2</v>
      </c>
    </row>
    <row r="26" spans="1:49">
      <c r="A26" vm="11157">
        <f ca="1">DATA!A30</f>
        <v>44593</v>
      </c>
      <c r="B26">
        <f ca="1">(DATA!B30/DATA!B29)-1</f>
        <v>-7.0768381315597151E-2</v>
      </c>
      <c r="C26">
        <f ca="1">(DATA!C30/DATA!C29)-1</f>
        <v>-5.5269481634054207E-2</v>
      </c>
      <c r="D26">
        <f ca="1">(DATA!D30/DATA!D29)-1</f>
        <v>-5.9506921594564277E-3</v>
      </c>
      <c r="E26">
        <f ca="1">(DATA!E30/DATA!E29)-1</f>
        <v>-3.9198662293395081E-2</v>
      </c>
      <c r="F26">
        <f ca="1">(DATA!F30/DATA!F29)-1</f>
        <v>2.667250549061162E-2</v>
      </c>
      <c r="G26">
        <f ca="1">(DATA!G30/DATA!G29)-1</f>
        <v>-1.8218301817767291E-3</v>
      </c>
      <c r="H26">
        <f ca="1">(DATA!H30/DATA!H29)-1</f>
        <v>-0.32634233544020941</v>
      </c>
      <c r="I26">
        <f ca="1">(DATA!I30/DATA!I29)-1</f>
        <v>2.6931186505654514E-2</v>
      </c>
      <c r="J26">
        <f ca="1">(DATA!J30/DATA!J29)-1</f>
        <v>-4.1248060115984808E-3</v>
      </c>
      <c r="K26">
        <f ca="1">(DATA!K30/DATA!K29)-1</f>
        <v>-4.4808172267688184E-2</v>
      </c>
      <c r="L26">
        <f ca="1">(DATA!L30/DATA!L29)-1</f>
        <v>-4.4435601538665548E-2</v>
      </c>
      <c r="M26">
        <f ca="1">(DATA!M30/DATA!M29)-1</f>
        <v>-2.8420068557182931E-2</v>
      </c>
      <c r="N26">
        <f ca="1">(DATA!N30/DATA!N29)-1</f>
        <v>6.9830924519118653E-3</v>
      </c>
      <c r="O26">
        <f ca="1">(DATA!O30/DATA!O29)-1</f>
        <v>-0.13938089269169995</v>
      </c>
      <c r="P26">
        <f ca="1">(DATA!P30/DATA!P29)-1</f>
        <v>-6.6152492365029292E-2</v>
      </c>
      <c r="Q26">
        <f ca="1">(DATA!Q30/DATA!Q29)-1</f>
        <v>-0.10912886695767698</v>
      </c>
      <c r="R26">
        <f ca="1">(DATA!R30/DATA!R29)-1</f>
        <v>2.0160629405015618E-2</v>
      </c>
      <c r="S26">
        <f ca="1">(DATA!S30/DATA!S29)-1</f>
        <v>3.8399664265230449E-2</v>
      </c>
      <c r="T26">
        <f ca="1">(DATA!T30/DATA!T29)-1</f>
        <v>-7.6368403802032137E-2</v>
      </c>
      <c r="U26">
        <f ca="1">(DATA!U30/DATA!U29)-1</f>
        <v>-2.2941417451863955E-2</v>
      </c>
      <c r="V26">
        <f ca="1">(DATA!V30/DATA!V29)-1</f>
        <v>1.7962996227771644E-3</v>
      </c>
      <c r="W26">
        <f ca="1">(DATA!W30/DATA!W29)-1</f>
        <v>3.2385466034755339E-2</v>
      </c>
      <c r="X26">
        <f ca="1">(DATA!X30/DATA!X29)-1</f>
        <v>9.6474529810401277E-2</v>
      </c>
      <c r="Y26">
        <f ca="1">(DATA!Y30/DATA!Y29)-1</f>
        <v>-3.3259732763411654E-2</v>
      </c>
      <c r="Z26">
        <f ca="1">(DATA!Z30/DATA!Z29)-1</f>
        <v>-7.0981611976881354E-2</v>
      </c>
      <c r="AA26">
        <f ca="1">(DATA!AA30/DATA!AA29)-1</f>
        <v>8.2660154048470602E-3</v>
      </c>
      <c r="AB26">
        <f ca="1">(DATA!AB30/DATA!AB29)-1</f>
        <v>-7.7801040048625536E-2</v>
      </c>
      <c r="AC26">
        <f ca="1">(DATA!AC30/DATA!AC29)-1</f>
        <v>-5.6581229523993026E-2</v>
      </c>
      <c r="AD26">
        <f ca="1">(DATA!AD30/DATA!AD29)-1</f>
        <v>-6.6415785191212273E-2</v>
      </c>
      <c r="AE26">
        <f ca="1">(DATA!AE30/DATA!AE29)-1</f>
        <v>2.5469436675988888E-2</v>
      </c>
      <c r="AF26">
        <f ca="1">(DATA!AF30/DATA!AF29)-1</f>
        <v>-8.280302463127942E-2</v>
      </c>
      <c r="AG26">
        <f ca="1">(DATA!AG30/DATA!AG29)-1</f>
        <v>-6.3947757516017667E-2</v>
      </c>
      <c r="AH26">
        <f ca="1">(DATA!AH30/DATA!AH29)-1</f>
        <v>-9.500064480075654E-2</v>
      </c>
      <c r="AI26">
        <f ca="1">(DATA!AI30/DATA!AI29)-1</f>
        <v>-0.12468650570840345</v>
      </c>
      <c r="AJ26">
        <f ca="1">(DATA!AJ30/DATA!AJ29)-1</f>
        <v>7.9562363238512068E-2</v>
      </c>
      <c r="AK26">
        <f ca="1">(DATA!AK30/DATA!AK29)-1</f>
        <v>-0.34901709898801903</v>
      </c>
      <c r="AL26">
        <f ca="1">(DATA!AL30/DATA!AL29)-1</f>
        <v>4.2603647068443884E-2</v>
      </c>
      <c r="AM26">
        <f ca="1">(DATA!AM30/DATA!AM29)-1</f>
        <v>-6.9952812141308551E-2</v>
      </c>
      <c r="AN26">
        <f ca="1">(DATA!AN30/DATA!AN29)-1</f>
        <v>-9.0448402948403062E-2</v>
      </c>
      <c r="AO26">
        <f ca="1">(DATA!AO30/DATA!AO29)-1</f>
        <v>-4.2045947117468563E-2</v>
      </c>
      <c r="AP26">
        <f ca="1">(DATA!AP30/DATA!AP29)-1</f>
        <v>-4.5760430686406339E-2</v>
      </c>
      <c r="AQ26">
        <f ca="1">(DATA!AQ30/DATA!AQ29)-1</f>
        <v>-3.7752340137588769E-2</v>
      </c>
      <c r="AR26">
        <f ca="1">(DATA!AR30/DATA!AR29)-1</f>
        <v>-0.11507704310512978</v>
      </c>
      <c r="AS26">
        <f ca="1">(DATA!AS30/DATA!AS29)-1</f>
        <v>-7.9925650557620687E-3</v>
      </c>
      <c r="AT26">
        <f ca="1">(DATA!AT30/DATA!AT29)-1</f>
        <v>-2.8355387523629427E-2</v>
      </c>
      <c r="AU26">
        <f ca="1">(DATA!AU30/DATA!AU29)-1</f>
        <v>-9.3725899378487521E-2</v>
      </c>
      <c r="AV26">
        <f ca="1">(DATA!AV30/DATA!AV29)-1</f>
        <v>2.7953200166293879E-2</v>
      </c>
      <c r="AW26">
        <f ca="1">(DATA!AW30/DATA!AW29)-1</f>
        <v>-6.8632820728881327E-2</v>
      </c>
    </row>
    <row r="27" spans="1:49">
      <c r="A27" vm="11193">
        <f ca="1">DATA!A31</f>
        <v>44621</v>
      </c>
      <c r="B27">
        <f ca="1">(DATA!B31/DATA!B30)-1</f>
        <v>0.23800890879036496</v>
      </c>
      <c r="C27">
        <f ca="1">(DATA!C31/DATA!C30)-1</f>
        <v>5.7473352713178327E-2</v>
      </c>
      <c r="D27">
        <f ca="1">(DATA!D31/DATA!D30)-1</f>
        <v>3.5276630761132965E-2</v>
      </c>
      <c r="E27">
        <f ca="1">(DATA!E31/DATA!E30)-1</f>
        <v>3.1861842765822157E-2</v>
      </c>
      <c r="F27">
        <f ca="1">(DATA!F31/DATA!F30)-1</f>
        <v>6.1437325397394105E-2</v>
      </c>
      <c r="G27">
        <f ca="1">(DATA!G31/DATA!G30)-1</f>
        <v>2.9694869573587468E-2</v>
      </c>
      <c r="H27">
        <f ca="1">(DATA!H31/DATA!H30)-1</f>
        <v>5.3689048950386287E-2</v>
      </c>
      <c r="I27">
        <f ca="1">(DATA!I31/DATA!I30)-1</f>
        <v>9.7869030953492198E-2</v>
      </c>
      <c r="J27">
        <f ca="1">(DATA!J31/DATA!J30)-1</f>
        <v>0.11896657781423015</v>
      </c>
      <c r="K27">
        <f ca="1">(DATA!K31/DATA!K30)-1</f>
        <v>7.6927751108950559E-2</v>
      </c>
      <c r="L27">
        <f ca="1">(DATA!L31/DATA!L30)-1</f>
        <v>2.6142883583194498E-2</v>
      </c>
      <c r="M27">
        <f ca="1">(DATA!M31/DATA!M30)-1</f>
        <v>-1.9821669125665409E-2</v>
      </c>
      <c r="N27">
        <f ca="1">(DATA!N31/DATA!N30)-1</f>
        <v>7.1658225986088731E-2</v>
      </c>
      <c r="O27">
        <f ca="1">(DATA!O31/DATA!O30)-1</f>
        <v>-5.2243295443751392E-2</v>
      </c>
      <c r="P27">
        <f ca="1">(DATA!P31/DATA!P30)-1</f>
        <v>-9.5338395876060078E-3</v>
      </c>
      <c r="Q27">
        <f ca="1">(DATA!Q31/DATA!Q30)-1</f>
        <v>0.10289731572219862</v>
      </c>
      <c r="R27">
        <f ca="1">(DATA!R31/DATA!R30)-1</f>
        <v>-3.856041131105381E-3</v>
      </c>
      <c r="S27">
        <f ca="1">(DATA!S31/DATA!S30)-1</f>
        <v>-7.6114778391485949E-2</v>
      </c>
      <c r="T27">
        <f ca="1">(DATA!T31/DATA!T30)-1</f>
        <v>-5.0517084051505678E-2</v>
      </c>
      <c r="U27">
        <f ca="1">(DATA!U31/DATA!U30)-1</f>
        <v>3.8993710691823891E-2</v>
      </c>
      <c r="V27">
        <f ca="1">(DATA!V31/DATA!V30)-1</f>
        <v>-1.7930787161568595E-4</v>
      </c>
      <c r="W27">
        <f ca="1">(DATA!W31/DATA!W30)-1</f>
        <v>5.3175210405508766E-2</v>
      </c>
      <c r="X27">
        <f ca="1">(DATA!X31/DATA!X30)-1</f>
        <v>0.1307638888888889</v>
      </c>
      <c r="Y27">
        <f ca="1">(DATA!Y31/DATA!Y30)-1</f>
        <v>0.10180476728468091</v>
      </c>
      <c r="Z27">
        <f ca="1">(DATA!Z31/DATA!Z30)-1</f>
        <v>-2.5321125532414834E-3</v>
      </c>
      <c r="AA27">
        <f ca="1">(DATA!AA31/DATA!AA30)-1</f>
        <v>-5.0866405813303595E-2</v>
      </c>
      <c r="AB27">
        <f ca="1">(DATA!AB31/DATA!AB30)-1</f>
        <v>-1.4573416331014388E-2</v>
      </c>
      <c r="AC27">
        <f ca="1">(DATA!AC31/DATA!AC30)-1</f>
        <v>1.0254524655799235E-2</v>
      </c>
      <c r="AD27">
        <f ca="1">(DATA!AD31/DATA!AD30)-1</f>
        <v>-8.9334350147075581E-3</v>
      </c>
      <c r="AE27">
        <f ca="1">(DATA!AE31/DATA!AE30)-1</f>
        <v>-6.7400409077627343E-2</v>
      </c>
      <c r="AF27">
        <f ca="1">(DATA!AF31/DATA!AF30)-1</f>
        <v>6.1301118276059219E-2</v>
      </c>
      <c r="AG27">
        <f ca="1">(DATA!AG31/DATA!AG30)-1</f>
        <v>8.8982493089377446E-2</v>
      </c>
      <c r="AH27">
        <f ca="1">(DATA!AH31/DATA!AH30)-1</f>
        <v>8.5023512088537867E-3</v>
      </c>
      <c r="AI27">
        <f ca="1">(DATA!AI31/DATA!AI30)-1</f>
        <v>-2.5786862812179234E-2</v>
      </c>
      <c r="AJ27">
        <f ca="1">(DATA!AJ31/DATA!AJ30)-1</f>
        <v>-0.11350737797956867</v>
      </c>
      <c r="AK27">
        <f ca="1">(DATA!AK31/DATA!AK30)-1</f>
        <v>3.3235057625301545E-2</v>
      </c>
      <c r="AL27">
        <f ca="1">(DATA!AL31/DATA!AL30)-1</f>
        <v>6.3529411764705834E-2</v>
      </c>
      <c r="AM27">
        <f ca="1">(DATA!AM31/DATA!AM30)-1</f>
        <v>0.1071648954405211</v>
      </c>
      <c r="AN27">
        <f ca="1">(DATA!AN31/DATA!AN30)-1</f>
        <v>-9.8429849738308262E-2</v>
      </c>
      <c r="AO27">
        <f ca="1">(DATA!AO31/DATA!AO30)-1</f>
        <v>-6.7420814479638103E-2</v>
      </c>
      <c r="AP27">
        <f ca="1">(DATA!AP31/DATA!AP30)-1</f>
        <v>-3.8645980253878776E-2</v>
      </c>
      <c r="AQ27">
        <f ca="1">(DATA!AQ31/DATA!AQ30)-1</f>
        <v>-3.2787365583521355E-2</v>
      </c>
      <c r="AR27">
        <f ca="1">(DATA!AR31/DATA!AR30)-1</f>
        <v>-3.6808463742561082E-2</v>
      </c>
      <c r="AS27">
        <f ca="1">(DATA!AS31/DATA!AS30)-1</f>
        <v>-9.1999250515270692E-2</v>
      </c>
      <c r="AT27">
        <f ca="1">(DATA!AT31/DATA!AT30)-1</f>
        <v>-5.9957552175451068E-2</v>
      </c>
      <c r="AU27">
        <f ca="1">(DATA!AU31/DATA!AU30)-1</f>
        <v>6.2321669920408329E-2</v>
      </c>
      <c r="AV27">
        <f ca="1">(DATA!AV31/DATA!AV30)-1</f>
        <v>0.1090033702455464</v>
      </c>
      <c r="AW27">
        <f ca="1">(DATA!AW31/DATA!AW30)-1</f>
        <v>-8.5361440332941352E-2</v>
      </c>
    </row>
    <row r="28" spans="1:49">
      <c r="A28" vm="11232">
        <f ca="1">DATA!A32</f>
        <v>44652</v>
      </c>
      <c r="B28">
        <f ca="1">(DATA!B32/DATA!B31)-1</f>
        <v>-0.19194513085320442</v>
      </c>
      <c r="C28">
        <f ca="1">(DATA!C32/DATA!C31)-1</f>
        <v>-9.7130748525284916E-2</v>
      </c>
      <c r="D28">
        <f ca="1">(DATA!D32/DATA!D31)-1</f>
        <v>-0.17674964822645267</v>
      </c>
      <c r="E28">
        <f ca="1">(DATA!E32/DATA!E31)-1</f>
        <v>-9.9867016963445909E-2</v>
      </c>
      <c r="F28">
        <f ca="1">(DATA!F32/DATA!F31)-1</f>
        <v>-0.23752511541588062</v>
      </c>
      <c r="G28">
        <f ca="1">(DATA!G32/DATA!G31)-1</f>
        <v>-0.17946680568788542</v>
      </c>
      <c r="H28">
        <f ca="1">(DATA!H32/DATA!H31)-1</f>
        <v>-9.8443964741860124E-2</v>
      </c>
      <c r="I28">
        <f ca="1">(DATA!I32/DATA!I31)-1</f>
        <v>-8.5234195687285852E-2</v>
      </c>
      <c r="J28">
        <f ca="1">(DATA!J32/DATA!J31)-1</f>
        <v>-0.3202741332551492</v>
      </c>
      <c r="K28">
        <f ca="1">(DATA!K32/DATA!K31)-1</f>
        <v>1.8224905490041188E-2</v>
      </c>
      <c r="L28">
        <f ca="1">(DATA!L32/DATA!L31)-1</f>
        <v>-3.8959282139153228E-2</v>
      </c>
      <c r="M28">
        <f ca="1">(DATA!M32/DATA!M31)-1</f>
        <v>5.0719895287958172E-2</v>
      </c>
      <c r="N28">
        <f ca="1">(DATA!N32/DATA!N31)-1</f>
        <v>-2.7844775182853665E-3</v>
      </c>
      <c r="O28">
        <f ca="1">(DATA!O32/DATA!O31)-1</f>
        <v>3.5746500517823687E-3</v>
      </c>
      <c r="P28">
        <f ca="1">(DATA!P32/DATA!P31)-1</f>
        <v>1.6788852202137772E-2</v>
      </c>
      <c r="Q28">
        <f ca="1">(DATA!Q32/DATA!Q31)-1</f>
        <v>-5.2153757002124879E-2</v>
      </c>
      <c r="R28">
        <f ca="1">(DATA!R32/DATA!R31)-1</f>
        <v>4.2096774193548292E-2</v>
      </c>
      <c r="S28">
        <f ca="1">(DATA!S32/DATA!S31)-1</f>
        <v>-0.18613298337707784</v>
      </c>
      <c r="T28">
        <f ca="1">(DATA!T32/DATA!T31)-1</f>
        <v>-0.49181772070797403</v>
      </c>
      <c r="U28">
        <f ca="1">(DATA!U32/DATA!U31)-1</f>
        <v>-0.1204600484261501</v>
      </c>
      <c r="V28">
        <f ca="1">(DATA!V32/DATA!V31)-1</f>
        <v>-0.1215925394548063</v>
      </c>
      <c r="W28">
        <f ca="1">(DATA!W32/DATA!W31)-1</f>
        <v>3.220728901804093E-2</v>
      </c>
      <c r="X28">
        <f ca="1">(DATA!X32/DATA!X31)-1</f>
        <v>-3.783086654793355E-2</v>
      </c>
      <c r="Y28">
        <f ca="1">(DATA!Y32/DATA!Y31)-1</f>
        <v>2.7331056920396168E-2</v>
      </c>
      <c r="Z28">
        <f ca="1">(DATA!Z32/DATA!Z31)-1</f>
        <v>5.6884600081816172E-2</v>
      </c>
      <c r="AA28">
        <f ca="1">(DATA!AA32/DATA!AA31)-1</f>
        <v>-9.1087553985080505E-2</v>
      </c>
      <c r="AB28">
        <f ca="1">(DATA!AB32/DATA!AB31)-1</f>
        <v>-7.3275862068965525E-2</v>
      </c>
      <c r="AC28">
        <f ca="1">(DATA!AC32/DATA!AC31)-1</f>
        <v>7.6027175671302683E-3</v>
      </c>
      <c r="AD28">
        <f ca="1">(DATA!AD32/DATA!AD31)-1</f>
        <v>-0.17950972848191715</v>
      </c>
      <c r="AE28">
        <f ca="1">(DATA!AE32/DATA!AE31)-1</f>
        <v>-0.22276762402088768</v>
      </c>
      <c r="AF28">
        <f ca="1">(DATA!AF32/DATA!AF31)-1</f>
        <v>1.6843562528841671E-2</v>
      </c>
      <c r="AG28">
        <f ca="1">(DATA!AG32/DATA!AG31)-1</f>
        <v>-0.11277650187356458</v>
      </c>
      <c r="AH28">
        <f ca="1">(DATA!AH32/DATA!AH31)-1</f>
        <v>-0.17134513941220797</v>
      </c>
      <c r="AI28">
        <f ca="1">(DATA!AI32/DATA!AI31)-1</f>
        <v>-0.13096440015802646</v>
      </c>
      <c r="AJ28">
        <f ca="1">(DATA!AJ32/DATA!AJ31)-1</f>
        <v>-0.21785256996524605</v>
      </c>
      <c r="AK28">
        <f ca="1">(DATA!AK32/DATA!AK31)-1</f>
        <v>-0.23968871595330732</v>
      </c>
      <c r="AL28">
        <f ca="1">(DATA!AL32/DATA!AL31)-1</f>
        <v>-0.26592920353982297</v>
      </c>
      <c r="AM28">
        <f ca="1">(DATA!AM32/DATA!AM31)-1</f>
        <v>-7.369333663611588E-3</v>
      </c>
      <c r="AN28">
        <f ca="1">(DATA!AN32/DATA!AN31)-1</f>
        <v>-9.7191011235954972E-2</v>
      </c>
      <c r="AO28">
        <f ca="1">(DATA!AO32/DATA!AO31)-1</f>
        <v>-0.13440077632217373</v>
      </c>
      <c r="AP28">
        <f ca="1">(DATA!AP32/DATA!AP31)-1</f>
        <v>-0.12441314553990601</v>
      </c>
      <c r="AQ28">
        <f ca="1">(DATA!AQ32/DATA!AQ31)-1</f>
        <v>-7.455316570736148E-2</v>
      </c>
      <c r="AR28">
        <f ca="1">(DATA!AR32/DATA!AR31)-1</f>
        <v>-7.7917620137299748E-2</v>
      </c>
      <c r="AS28">
        <f ca="1">(DATA!AS32/DATA!AS31)-1</f>
        <v>-9.9669830788278957E-2</v>
      </c>
      <c r="AT28">
        <f ca="1">(DATA!AT32/DATA!AT31)-1</f>
        <v>-8.6359360301034749E-2</v>
      </c>
      <c r="AU28">
        <f ca="1">(DATA!AU32/DATA!AU31)-1</f>
        <v>7.7419658844595229E-2</v>
      </c>
      <c r="AV28">
        <f ca="1">(DATA!AV32/DATA!AV31)-1</f>
        <v>-7.6634540244855387E-2</v>
      </c>
      <c r="AW28">
        <f ca="1">(DATA!AW32/DATA!AW31)-1</f>
        <v>-2.2058459864483959E-2</v>
      </c>
    </row>
    <row r="29" spans="1:49">
      <c r="A29" vm="11265">
        <f ca="1">DATA!A33</f>
        <v>44682</v>
      </c>
      <c r="B29">
        <f ca="1">(DATA!B33/DATA!B32)-1</f>
        <v>-0.12919741023612719</v>
      </c>
      <c r="C29">
        <f ca="1">(DATA!C33/DATA!C32)-1</f>
        <v>-5.5883285759594004E-2</v>
      </c>
      <c r="D29">
        <f ca="1">(DATA!D33/DATA!D32)-1</f>
        <v>-8.067567508796003E-3</v>
      </c>
      <c r="E29">
        <f ca="1">(DATA!E33/DATA!E32)-1</f>
        <v>-2.0358893052752847E-2</v>
      </c>
      <c r="F29">
        <f ca="1">(DATA!F33/DATA!F32)-1</f>
        <v>-3.2764329365191025E-2</v>
      </c>
      <c r="G29">
        <f ca="1">(DATA!G33/DATA!G32)-1</f>
        <v>-3.0453205035513298E-3</v>
      </c>
      <c r="H29">
        <f ca="1">(DATA!H33/DATA!H32)-1</f>
        <v>-3.406993565121974E-2</v>
      </c>
      <c r="I29">
        <f ca="1">(DATA!I33/DATA!I32)-1</f>
        <v>-2.1218598023727608E-2</v>
      </c>
      <c r="J29">
        <f ca="1">(DATA!J33/DATA!J32)-1</f>
        <v>6.7396344422279153E-3</v>
      </c>
      <c r="K29">
        <f ca="1">(DATA!K33/DATA!K32)-1</f>
        <v>-5.1534966197496201E-3</v>
      </c>
      <c r="L29">
        <f ca="1">(DATA!L33/DATA!L32)-1</f>
        <v>-4.5042931544128084E-3</v>
      </c>
      <c r="M29">
        <f ca="1">(DATA!M33/DATA!M32)-1</f>
        <v>-7.8916225474930046E-2</v>
      </c>
      <c r="N29">
        <f ca="1">(DATA!N33/DATA!N32)-1</f>
        <v>-2.3144233605348563E-2</v>
      </c>
      <c r="O29">
        <f ca="1">(DATA!O33/DATA!O32)-1</f>
        <v>7.8229027962717357E-3</v>
      </c>
      <c r="P29">
        <f ca="1">(DATA!P33/DATA!P32)-1</f>
        <v>-1.5163190048984476E-2</v>
      </c>
      <c r="Q29">
        <f ca="1">(DATA!Q33/DATA!Q32)-1</f>
        <v>8.0904829834929748E-2</v>
      </c>
      <c r="R29">
        <f ca="1">(DATA!R33/DATA!R32)-1</f>
        <v>-1.9037300727441475E-2</v>
      </c>
      <c r="S29">
        <f ca="1">(DATA!S33/DATA!S32)-1</f>
        <v>-1.0660216787601873E-2</v>
      </c>
      <c r="T29">
        <f ca="1">(DATA!T33/DATA!T32)-1</f>
        <v>3.7192687539398861E-2</v>
      </c>
      <c r="U29">
        <f ca="1">(DATA!U33/DATA!U32)-1</f>
        <v>1.9041064464326629E-2</v>
      </c>
      <c r="V29">
        <f ca="1">(DATA!V33/DATA!V32)-1</f>
        <v>-8.0236831359738692E-2</v>
      </c>
      <c r="W29">
        <f ca="1">(DATA!W33/DATA!W32)-1</f>
        <v>0.12609970674486815</v>
      </c>
      <c r="X29">
        <f ca="1">(DATA!X33/DATA!X32)-1</f>
        <v>0.1148273440990617</v>
      </c>
      <c r="Y29">
        <f ca="1">(DATA!Y33/DATA!Y32)-1</f>
        <v>-0.15922755028806079</v>
      </c>
      <c r="Z29">
        <f ca="1">(DATA!Z33/DATA!Z32)-1</f>
        <v>0.12884411452810185</v>
      </c>
      <c r="AA29">
        <f ca="1">(DATA!AA33/DATA!AA32)-1</f>
        <v>0.10777537796976255</v>
      </c>
      <c r="AB29">
        <f ca="1">(DATA!AB33/DATA!AB32)-1</f>
        <v>-4.6912590216519723E-2</v>
      </c>
      <c r="AC29">
        <f ca="1">(DATA!AC33/DATA!AC32)-1</f>
        <v>1.2241130197463423E-2</v>
      </c>
      <c r="AD29">
        <f ca="1">(DATA!AD33/DATA!AD32)-1</f>
        <v>5.1714898177920743E-2</v>
      </c>
      <c r="AE29">
        <f ca="1">(DATA!AE33/DATA!AE32)-1</f>
        <v>-0.11717280300994359</v>
      </c>
      <c r="AF29">
        <f ca="1">(DATA!AF33/DATA!AF32)-1</f>
        <v>5.0147492625368661E-2</v>
      </c>
      <c r="AG29">
        <f ca="1">(DATA!AG33/DATA!AG32)-1</f>
        <v>-2.0163487738419694E-2</v>
      </c>
      <c r="AH29">
        <f ca="1">(DATA!AH33/DATA!AH32)-1</f>
        <v>-8.9234966465840615E-2</v>
      </c>
      <c r="AI29">
        <f ca="1">(DATA!AI33/DATA!AI32)-1</f>
        <v>5.1849981058214478E-2</v>
      </c>
      <c r="AJ29">
        <f ca="1">(DATA!AJ33/DATA!AJ32)-1</f>
        <v>0.19106641721234796</v>
      </c>
      <c r="AK29">
        <f ca="1">(DATA!AK33/DATA!AK32)-1</f>
        <v>-3.0933697259183601E-2</v>
      </c>
      <c r="AL29">
        <f ca="1">(DATA!AL33/DATA!AL32)-1</f>
        <v>-0.12085593731163347</v>
      </c>
      <c r="AM29">
        <f ca="1">(DATA!AM33/DATA!AM32)-1</f>
        <v>-0.20469149666229947</v>
      </c>
      <c r="AN29">
        <f ca="1">(DATA!AN33/DATA!AN32)-1</f>
        <v>0.10786143953536609</v>
      </c>
      <c r="AO29">
        <f ca="1">(DATA!AO33/DATA!AO32)-1</f>
        <v>4.2600896860986559E-2</v>
      </c>
      <c r="AP29">
        <f ca="1">(DATA!AP33/DATA!AP32)-1</f>
        <v>0.10782506702412853</v>
      </c>
      <c r="AQ29">
        <f ca="1">(DATA!AQ33/DATA!AQ32)-1</f>
        <v>6.9920455661396597E-2</v>
      </c>
      <c r="AR29">
        <f ca="1">(DATA!AR33/DATA!AR32)-1</f>
        <v>6.8867105099888359E-2</v>
      </c>
      <c r="AS29">
        <f ca="1">(DATA!AS33/DATA!AS32)-1</f>
        <v>4.9048819619527784E-2</v>
      </c>
      <c r="AT29">
        <f ca="1">(DATA!AT33/DATA!AT32)-1</f>
        <v>9.2874794069192745E-2</v>
      </c>
      <c r="AU29">
        <f ca="1">(DATA!AU33/DATA!AU32)-1</f>
        <v>-0.29201836868576425</v>
      </c>
      <c r="AV29">
        <f ca="1">(DATA!AV33/DATA!AV32)-1</f>
        <v>-0.12318513503347628</v>
      </c>
      <c r="AW29">
        <f ca="1">(DATA!AW33/DATA!AW32)-1</f>
        <v>-1.2289485662266619E-2</v>
      </c>
    </row>
    <row r="30" spans="1:49">
      <c r="A30" vm="11298">
        <f ca="1">DATA!A34</f>
        <v>44713</v>
      </c>
      <c r="B30">
        <f ca="1">(DATA!B34/DATA!B33)-1</f>
        <v>-0.11188767750685658</v>
      </c>
      <c r="C30">
        <f ca="1">(DATA!C34/DATA!C33)-1</f>
        <v>-8.1429723192690151E-2</v>
      </c>
      <c r="D30">
        <f ca="1">(DATA!D34/DATA!D33)-1</f>
        <v>-4.0920211506589865E-2</v>
      </c>
      <c r="E30">
        <f ca="1">(DATA!E34/DATA!E33)-1</f>
        <v>-5.5320557619450539E-2</v>
      </c>
      <c r="F30">
        <f ca="1">(DATA!F34/DATA!F33)-1</f>
        <v>-0.11645918167865277</v>
      </c>
      <c r="G30">
        <f ca="1">(DATA!G34/DATA!G33)-1</f>
        <v>-4.218456074963528E-2</v>
      </c>
      <c r="H30">
        <f ca="1">(DATA!H34/DATA!H33)-1</f>
        <v>-0.16726915926461472</v>
      </c>
      <c r="I30">
        <f ca="1">(DATA!I34/DATA!I33)-1</f>
        <v>-0.13595797202354587</v>
      </c>
      <c r="J30">
        <f ca="1">(DATA!J34/DATA!J33)-1</f>
        <v>-0.18814267352185088</v>
      </c>
      <c r="K30">
        <f ca="1">(DATA!K34/DATA!K33)-1</f>
        <v>-1.1251601403665212E-2</v>
      </c>
      <c r="L30">
        <f ca="1">(DATA!L34/DATA!L33)-1</f>
        <v>-7.2017721638308885E-2</v>
      </c>
      <c r="M30">
        <f ca="1">(DATA!M34/DATA!M33)-1</f>
        <v>-2.765756018393295E-2</v>
      </c>
      <c r="N30">
        <f ca="1">(DATA!N34/DATA!N33)-1</f>
        <v>3.3918434719594215E-2</v>
      </c>
      <c r="O30">
        <f ca="1">(DATA!O34/DATA!O33)-1</f>
        <v>-9.4071015689512816E-2</v>
      </c>
      <c r="P30">
        <f ca="1">(DATA!P34/DATA!P33)-1</f>
        <v>-0.11845083410176871</v>
      </c>
      <c r="Q30">
        <f ca="1">(DATA!Q34/DATA!Q33)-1</f>
        <v>-1.150075414781293E-2</v>
      </c>
      <c r="R30">
        <f ca="1">(DATA!R34/DATA!R33)-1</f>
        <v>-7.4155885137268118E-3</v>
      </c>
      <c r="S30">
        <f ca="1">(DATA!S34/DATA!S33)-1</f>
        <v>-0.14523723288663526</v>
      </c>
      <c r="T30">
        <f ca="1">(DATA!T34/DATA!T33)-1</f>
        <v>-0.11431320907617504</v>
      </c>
      <c r="U30">
        <f ca="1">(DATA!U34/DATA!U33)-1</f>
        <v>-0.15781179648806853</v>
      </c>
      <c r="V30">
        <f ca="1">(DATA!V34/DATA!V33)-1</f>
        <v>-5.3496115427302926E-2</v>
      </c>
      <c r="W30">
        <f ca="1">(DATA!W34/DATA!W33)-1</f>
        <v>-0.10791666666666666</v>
      </c>
      <c r="X30">
        <f ca="1">(DATA!X34/DATA!X33)-1</f>
        <v>-0.17107523187907936</v>
      </c>
      <c r="Y30">
        <f ca="1">(DATA!Y34/DATA!Y33)-1</f>
        <v>-5.4806629318829514E-2</v>
      </c>
      <c r="Z30">
        <f ca="1">(DATA!Z34/DATA!Z33)-1</f>
        <v>-1.5500234852043104E-2</v>
      </c>
      <c r="AA30">
        <f ca="1">(DATA!AA34/DATA!AA33)-1</f>
        <v>-1.0528368102943997E-2</v>
      </c>
      <c r="AB30">
        <f ca="1">(DATA!AB34/DATA!AB33)-1</f>
        <v>-0.14009255363904072</v>
      </c>
      <c r="AC30">
        <f ca="1">(DATA!AC34/DATA!AC33)-1</f>
        <v>-2.1133182665239336E-2</v>
      </c>
      <c r="AD30">
        <f ca="1">(DATA!AD34/DATA!AD33)-1</f>
        <v>-2.6878980891719695E-2</v>
      </c>
      <c r="AE30">
        <f ca="1">(DATA!AE34/DATA!AE33)-1</f>
        <v>4.0487062404870544E-2</v>
      </c>
      <c r="AF30">
        <f ca="1">(DATA!AF34/DATA!AF33)-1</f>
        <v>1.692595793719387E-2</v>
      </c>
      <c r="AG30">
        <f ca="1">(DATA!AG34/DATA!AG33)-1</f>
        <v>-2.850389321468294E-2</v>
      </c>
      <c r="AH30">
        <f ca="1">(DATA!AH34/DATA!AH33)-1</f>
        <v>2.9955067398901525E-2</v>
      </c>
      <c r="AI30">
        <f ca="1">(DATA!AI34/DATA!AI33)-1</f>
        <v>-0.12106223588167497</v>
      </c>
      <c r="AJ30">
        <f ca="1">(DATA!AJ34/DATA!AJ33)-1</f>
        <v>-0.24926369526801495</v>
      </c>
      <c r="AK30">
        <f ca="1">(DATA!AK34/DATA!AK33)-1</f>
        <v>-0.18037788991902348</v>
      </c>
      <c r="AL30">
        <f ca="1">(DATA!AL34/DATA!AL33)-1</f>
        <v>-0.29768026511255863</v>
      </c>
      <c r="AM30">
        <f ca="1">(DATA!AM34/DATA!AM33)-1</f>
        <v>-7.7110134923125129E-2</v>
      </c>
      <c r="AN30">
        <f ca="1">(DATA!AN34/DATA!AN33)-1</f>
        <v>-0.13892529488859751</v>
      </c>
      <c r="AO30">
        <f ca="1">(DATA!AO34/DATA!AO33)-1</f>
        <v>-0.16317204301075283</v>
      </c>
      <c r="AP30">
        <f ca="1">(DATA!AP34/DATA!AP33)-1</f>
        <v>-0.14837782651440667</v>
      </c>
      <c r="AQ30">
        <f ca="1">(DATA!AQ34/DATA!AQ33)-1</f>
        <v>-9.1265106317882982E-2</v>
      </c>
      <c r="AR30">
        <f ca="1">(DATA!AR34/DATA!AR33)-1</f>
        <v>-0.11701880659391684</v>
      </c>
      <c r="AS30">
        <f ca="1">(DATA!AS34/DATA!AS33)-1</f>
        <v>-0.14419925715534199</v>
      </c>
      <c r="AT30">
        <f ca="1">(DATA!AT34/DATA!AT33)-1</f>
        <v>-0.13284341435839453</v>
      </c>
      <c r="AU30">
        <f ca="1">(DATA!AU34/DATA!AU33)-1</f>
        <v>-0.12756362737830496</v>
      </c>
      <c r="AV30">
        <f ca="1">(DATA!AV34/DATA!AV33)-1</f>
        <v>2.8012526275148941E-2</v>
      </c>
      <c r="AW30">
        <f ca="1">(DATA!AW34/DATA!AW33)-1</f>
        <v>-0.10563236047107027</v>
      </c>
    </row>
    <row r="31" spans="1:49">
      <c r="A31" vm="11328">
        <f ca="1">DATA!A35</f>
        <v>44743</v>
      </c>
      <c r="B31">
        <f ca="1">(DATA!B35/DATA!B34)-1</f>
        <v>0.32376506374317215</v>
      </c>
      <c r="C31">
        <f ca="1">(DATA!C35/DATA!C34)-1</f>
        <v>0.18863370392042134</v>
      </c>
      <c r="D31">
        <f ca="1">(DATA!D35/DATA!D34)-1</f>
        <v>6.644723307961331E-2</v>
      </c>
      <c r="E31">
        <f ca="1">(DATA!E35/DATA!E34)-1</f>
        <v>9.3096600864385204E-2</v>
      </c>
      <c r="F31">
        <f ca="1">(DATA!F35/DATA!F34)-1</f>
        <v>0.27059598907824123</v>
      </c>
      <c r="G31">
        <f ca="1">(DATA!G35/DATA!G34)-1</f>
        <v>6.7518331910832119E-2</v>
      </c>
      <c r="H31">
        <f ca="1">(DATA!H35/DATA!H34)-1</f>
        <v>-1.3333333333333419E-2</v>
      </c>
      <c r="I31">
        <f ca="1">(DATA!I35/DATA!I34)-1</f>
        <v>0.10101824042194729</v>
      </c>
      <c r="J31">
        <f ca="1">(DATA!J35/DATA!J34)-1</f>
        <v>0.19816610594366368</v>
      </c>
      <c r="K31">
        <f ca="1">(DATA!K35/DATA!K34)-1</f>
        <v>-1.6844121457945893E-2</v>
      </c>
      <c r="L31">
        <f ca="1">(DATA!L35/DATA!L34)-1</f>
        <v>7.7302046828178206E-2</v>
      </c>
      <c r="M31">
        <f ca="1">(DATA!M35/DATA!M34)-1</f>
        <v>-3.3938382363168484E-2</v>
      </c>
      <c r="N31">
        <f ca="1">(DATA!N35/DATA!N34)-1</f>
        <v>5.5896267741370353E-2</v>
      </c>
      <c r="O31">
        <f ca="1">(DATA!O35/DATA!O34)-1</f>
        <v>9.7239946038575109E-2</v>
      </c>
      <c r="P31">
        <f ca="1">(DATA!P35/DATA!P34)-1</f>
        <v>0.12143400532521875</v>
      </c>
      <c r="Q31">
        <f ca="1">(DATA!Q35/DATA!Q34)-1</f>
        <v>-3.6620255578867056E-2</v>
      </c>
      <c r="R31">
        <f ca="1">(DATA!R35/DATA!R34)-1</f>
        <v>2.002861230329045E-2</v>
      </c>
      <c r="S31">
        <f ca="1">(DATA!S35/DATA!S34)-1</f>
        <v>0.12394067796610164</v>
      </c>
      <c r="T31">
        <f ca="1">(DATA!T35/DATA!T34)-1</f>
        <v>0.28609824441013321</v>
      </c>
      <c r="U31">
        <f ca="1">(DATA!U35/DATA!U34)-1</f>
        <v>-2.9403902699812745E-2</v>
      </c>
      <c r="V31">
        <f ca="1">(DATA!V35/DATA!V34)-1</f>
        <v>6.4024390243902385E-2</v>
      </c>
      <c r="W31">
        <f ca="1">(DATA!W35/DATA!W34)-1</f>
        <v>0.13183092013078013</v>
      </c>
      <c r="X31">
        <f ca="1">(DATA!X35/DATA!X34)-1</f>
        <v>0.13123359580052485</v>
      </c>
      <c r="Y31">
        <f ca="1">(DATA!Y35/DATA!Y34)-1</f>
        <v>8.6114449135499704E-2</v>
      </c>
      <c r="Z31">
        <f ca="1">(DATA!Z35/DATA!Z34)-1</f>
        <v>-0.1040076335877862</v>
      </c>
      <c r="AA31">
        <f ca="1">(DATA!AA35/DATA!AA34)-1</f>
        <v>-8.9852216748768532E-2</v>
      </c>
      <c r="AB31">
        <f ca="1">(DATA!AB35/DATA!AB34)-1</f>
        <v>0.12446183953033274</v>
      </c>
      <c r="AC31">
        <f ca="1">(DATA!AC35/DATA!AC34)-1</f>
        <v>6.679358392741408E-2</v>
      </c>
      <c r="AD31">
        <f ca="1">(DATA!AD35/DATA!AD34)-1</f>
        <v>0.1098311297290222</v>
      </c>
      <c r="AE31">
        <f ca="1">(DATA!AE35/DATA!AE34)-1</f>
        <v>0.16522820362785251</v>
      </c>
      <c r="AF31">
        <f ca="1">(DATA!AF35/DATA!AF34)-1</f>
        <v>-7.3659607620936374E-2</v>
      </c>
      <c r="AG31">
        <f ca="1">(DATA!AG35/DATA!AG34)-1</f>
        <v>0.11406898525833697</v>
      </c>
      <c r="AH31">
        <f ca="1">(DATA!AH35/DATA!AH34)-1</f>
        <v>0.11500242365487168</v>
      </c>
      <c r="AI31">
        <f ca="1">(DATA!AI35/DATA!AI34)-1</f>
        <v>0.1203627820575861</v>
      </c>
      <c r="AJ31">
        <f ca="1">(DATA!AJ35/DATA!AJ34)-1</f>
        <v>0.23538642604943116</v>
      </c>
      <c r="AK31">
        <f ca="1">(DATA!AK35/DATA!AK34)-1</f>
        <v>0.23897479954180989</v>
      </c>
      <c r="AL31">
        <f ca="1">(DATA!AL35/DATA!AL34)-1</f>
        <v>0.23755287992190044</v>
      </c>
      <c r="AM31">
        <f ca="1">(DATA!AM35/DATA!AM34)-1</f>
        <v>0.12673183170420743</v>
      </c>
      <c r="AN31">
        <f ca="1">(DATA!AN35/DATA!AN34)-1</f>
        <v>0.12850619699934751</v>
      </c>
      <c r="AO31">
        <f ca="1">(DATA!AO35/DATA!AO34)-1</f>
        <v>8.6090587857372336E-2</v>
      </c>
      <c r="AP31">
        <f ca="1">(DATA!AP35/DATA!AP34)-1</f>
        <v>2.4420566557144197E-2</v>
      </c>
      <c r="AQ31">
        <f ca="1">(DATA!AQ35/DATA!AQ34)-1</f>
        <v>0.12244966668911195</v>
      </c>
      <c r="AR31">
        <f ca="1">(DATA!AR35/DATA!AR34)-1</f>
        <v>0.10833552458585327</v>
      </c>
      <c r="AS31">
        <f ca="1">(DATA!AS35/DATA!AS34)-1</f>
        <v>0.11998978810313998</v>
      </c>
      <c r="AT31">
        <f ca="1">(DATA!AT35/DATA!AT34)-1</f>
        <v>2.564102564102555E-2</v>
      </c>
      <c r="AU31">
        <f ca="1">(DATA!AU35/DATA!AU34)-1</f>
        <v>0.15683636621114494</v>
      </c>
      <c r="AV31">
        <f ca="1">(DATA!AV35/DATA!AV34)-1</f>
        <v>0.12940243698881648</v>
      </c>
      <c r="AW31">
        <f ca="1">(DATA!AW35/DATA!AW34)-1</f>
        <v>9.6524875479475636E-2</v>
      </c>
    </row>
    <row r="32" spans="1:49">
      <c r="A32" vm="11359">
        <f ca="1">DATA!A36</f>
        <v>44774</v>
      </c>
      <c r="B32">
        <f ca="1">(DATA!B36/DATA!B35)-1</f>
        <v>-7.2479277933144126E-2</v>
      </c>
      <c r="C32">
        <f ca="1">(DATA!C36/DATA!C35)-1</f>
        <v>-3.255184296350988E-2</v>
      </c>
      <c r="D32">
        <f ca="1">(DATA!D36/DATA!D35)-1</f>
        <v>-6.4214677640603512E-2</v>
      </c>
      <c r="E32">
        <f ca="1">(DATA!E36/DATA!E35)-1</f>
        <v>-6.8640022796893851E-2</v>
      </c>
      <c r="F32">
        <f ca="1">(DATA!F36/DATA!F35)-1</f>
        <v>-6.0615042608373471E-2</v>
      </c>
      <c r="G32">
        <f ca="1">(DATA!G36/DATA!G35)-1</f>
        <v>-6.9635488308115501E-2</v>
      </c>
      <c r="H32">
        <f ca="1">(DATA!H36/DATA!H35)-1</f>
        <v>2.407291011942192E-2</v>
      </c>
      <c r="I32">
        <f ca="1">(DATA!I36/DATA!I35)-1</f>
        <v>-6.5868263473053967E-2</v>
      </c>
      <c r="J32">
        <f ca="1">(DATA!J36/DATA!J35)-1</f>
        <v>-0.16896988382976386</v>
      </c>
      <c r="K32">
        <f ca="1">(DATA!K36/DATA!K35)-1</f>
        <v>-7.552143020857216E-2</v>
      </c>
      <c r="L32">
        <f ca="1">(DATA!L36/DATA!L35)-1</f>
        <v>-6.3174767809155652E-2</v>
      </c>
      <c r="M32">
        <f ca="1">(DATA!M36/DATA!M35)-1</f>
        <v>-6.9829385933337651E-3</v>
      </c>
      <c r="N32">
        <f ca="1">(DATA!N36/DATA!N35)-1</f>
        <v>-4.24272596526164E-2</v>
      </c>
      <c r="O32">
        <f ca="1">(DATA!O36/DATA!O35)-1</f>
        <v>-4.1602977337675262E-2</v>
      </c>
      <c r="P32">
        <f ca="1">(DATA!P36/DATA!P35)-1</f>
        <v>-8.3156674863619662E-2</v>
      </c>
      <c r="Q32">
        <f ca="1">(DATA!Q36/DATA!Q35)-1</f>
        <v>-0.10453375569194223</v>
      </c>
      <c r="R32">
        <f ca="1">(DATA!R36/DATA!R35)-1</f>
        <v>-3.833567087424028E-2</v>
      </c>
      <c r="S32">
        <f ca="1">(DATA!S36/DATA!S35)-1</f>
        <v>5.6361922714420309E-2</v>
      </c>
      <c r="T32">
        <f ca="1">(DATA!T36/DATA!T35)-1</f>
        <v>-5.958203646064919E-3</v>
      </c>
      <c r="U32">
        <f ca="1">(DATA!U36/DATA!U35)-1</f>
        <v>-0.12090333241531259</v>
      </c>
      <c r="V32">
        <f ca="1">(DATA!V36/DATA!V35)-1</f>
        <v>-1.4326647564469885E-2</v>
      </c>
      <c r="W32">
        <f ca="1">(DATA!W36/DATA!W35)-1</f>
        <v>-1.3824409367584889E-2</v>
      </c>
      <c r="X32">
        <f ca="1">(DATA!X36/DATA!X35)-1</f>
        <v>-3.4924899255098341E-2</v>
      </c>
      <c r="Y32">
        <f ca="1">(DATA!Y36/DATA!Y35)-1</f>
        <v>3.7872419700020199E-3</v>
      </c>
      <c r="Z32">
        <f ca="1">(DATA!Z36/DATA!Z35)-1</f>
        <v>-6.6027689030884074E-2</v>
      </c>
      <c r="AA32">
        <f ca="1">(DATA!AA36/DATA!AA35)-1</f>
        <v>-9.4825719852781876E-2</v>
      </c>
      <c r="AB32">
        <f ca="1">(DATA!AB36/DATA!AB35)-1</f>
        <v>-7.3703445875391571E-2</v>
      </c>
      <c r="AC32">
        <f ca="1">(DATA!AC36/DATA!AC35)-1</f>
        <v>-4.2108060902912303E-2</v>
      </c>
      <c r="AD32">
        <f ca="1">(DATA!AD36/DATA!AD35)-1</f>
        <v>-8.3746166548714918E-3</v>
      </c>
      <c r="AE32">
        <f ca="1">(DATA!AE36/DATA!AE35)-1</f>
        <v>5.9004456719602416E-3</v>
      </c>
      <c r="AF32">
        <f ca="1">(DATA!AF36/DATA!AF35)-1</f>
        <v>-1.7891276091444364E-2</v>
      </c>
      <c r="AG32">
        <f ca="1">(DATA!AG36/DATA!AG35)-1</f>
        <v>-4.7404933196300125E-2</v>
      </c>
      <c r="AH32">
        <f ca="1">(DATA!AH36/DATA!AH35)-1</f>
        <v>-0.15161395500489083</v>
      </c>
      <c r="AI32">
        <f ca="1">(DATA!AI36/DATA!AI35)-1</f>
        <v>-8.9437237881595633E-2</v>
      </c>
      <c r="AJ32">
        <f ca="1">(DATA!AJ36/DATA!AJ35)-1</f>
        <v>-0.1016195617656398</v>
      </c>
      <c r="AK32">
        <f ca="1">(DATA!AK36/DATA!AK35)-1</f>
        <v>7.9856697099271789E-2</v>
      </c>
      <c r="AL32">
        <f ca="1">(DATA!AL36/DATA!AL35)-1</f>
        <v>-9.4004733105443106E-2</v>
      </c>
      <c r="AM32">
        <f ca="1">(DATA!AM36/DATA!AM35)-1</f>
        <v>-6.0727217863608907E-2</v>
      </c>
      <c r="AN32">
        <f ca="1">(DATA!AN36/DATA!AN35)-1</f>
        <v>-5.9537572254335203E-2</v>
      </c>
      <c r="AO32">
        <f ca="1">(DATA!AO36/DATA!AO35)-1</f>
        <v>-5.915409642117786E-3</v>
      </c>
      <c r="AP32">
        <f ca="1">(DATA!AP36/DATA!AP35)-1</f>
        <v>-1.4129680998613003E-2</v>
      </c>
      <c r="AQ32">
        <f ca="1">(DATA!AQ36/DATA!AQ35)-1</f>
        <v>-2.1596328624132743E-3</v>
      </c>
      <c r="AR32">
        <f ca="1">(DATA!AR36/DATA!AR35)-1</f>
        <v>1.0913404507710611E-2</v>
      </c>
      <c r="AS32">
        <f ca="1">(DATA!AS36/DATA!AS35)-1</f>
        <v>-3.6471392751309395E-3</v>
      </c>
      <c r="AT32">
        <f ca="1">(DATA!AT36/DATA!AT35)-1</f>
        <v>-3.3686440677966223E-2</v>
      </c>
      <c r="AU32">
        <f ca="1">(DATA!AU36/DATA!AU35)-1</f>
        <v>-1.8606928632635578E-2</v>
      </c>
      <c r="AV32">
        <f ca="1">(DATA!AV36/DATA!AV35)-1</f>
        <v>-3.5470164418991201E-2</v>
      </c>
      <c r="AW32">
        <f ca="1">(DATA!AW36/DATA!AW35)-1</f>
        <v>1.3627108024852452E-2</v>
      </c>
    </row>
    <row r="33" spans="1:49">
      <c r="A33" vm="11398">
        <f ca="1">DATA!A37</f>
        <v>44805</v>
      </c>
      <c r="B33">
        <f ca="1">(DATA!B37/DATA!B36)-1</f>
        <v>-3.7589347266064443E-2</v>
      </c>
      <c r="C33">
        <f ca="1">(DATA!C37/DATA!C36)-1</f>
        <v>-0.12097697493957515</v>
      </c>
      <c r="D33">
        <f ca="1">(DATA!D37/DATA!D36)-1</f>
        <v>-0.11910215300045812</v>
      </c>
      <c r="E33">
        <f ca="1">(DATA!E37/DATA!E36)-1</f>
        <v>-0.10926683749569743</v>
      </c>
      <c r="F33">
        <f ca="1">(DATA!F37/DATA!F36)-1</f>
        <v>-0.10862191370197993</v>
      </c>
      <c r="G33">
        <f ca="1">(DATA!G37/DATA!G36)-1</f>
        <v>-0.11615228238772868</v>
      </c>
      <c r="H33">
        <f ca="1">(DATA!H37/DATA!H36)-1</f>
        <v>-0.16724973915178298</v>
      </c>
      <c r="I33">
        <f ca="1">(DATA!I37/DATA!I36)-1</f>
        <v>-4.9074074074074159E-2</v>
      </c>
      <c r="J33">
        <f ca="1">(DATA!J37/DATA!J36)-1</f>
        <v>-0.19577315489598512</v>
      </c>
      <c r="K33">
        <f ca="1">(DATA!K37/DATA!K36)-1</f>
        <v>1.2520143795710981E-2</v>
      </c>
      <c r="L33">
        <f ca="1">(DATA!L37/DATA!L36)-1</f>
        <v>-0.10598359418247694</v>
      </c>
      <c r="M33">
        <f ca="1">(DATA!M37/DATA!M36)-1</f>
        <v>-8.4746991445555975E-2</v>
      </c>
      <c r="N33">
        <f ca="1">(DATA!N37/DATA!N36)-1</f>
        <v>-2.7516222825563763E-2</v>
      </c>
      <c r="O33">
        <f ca="1">(DATA!O37/DATA!O36)-1</f>
        <v>-4.3270230913251551E-2</v>
      </c>
      <c r="P33">
        <f ca="1">(DATA!P37/DATA!P36)-1</f>
        <v>-0.12340845330949235</v>
      </c>
      <c r="Q33">
        <f ca="1">(DATA!Q37/DATA!Q36)-1</f>
        <v>-3.2500552730488574E-2</v>
      </c>
      <c r="R33">
        <f ca="1">(DATA!R37/DATA!R36)-1</f>
        <v>-9.2205477232215172E-2</v>
      </c>
      <c r="S33">
        <f ca="1">(DATA!S37/DATA!S36)-1</f>
        <v>-0.15836902212705206</v>
      </c>
      <c r="T33">
        <f ca="1">(DATA!T37/DATA!T36)-1</f>
        <v>5.3140096618357502E-2</v>
      </c>
      <c r="U33">
        <f ca="1">(DATA!U37/DATA!U36)-1</f>
        <v>-0.19266917293233088</v>
      </c>
      <c r="V33">
        <f ca="1">(DATA!V37/DATA!V36)-1</f>
        <v>-0.10554561717352418</v>
      </c>
      <c r="W33">
        <f ca="1">(DATA!W37/DATA!W36)-1</f>
        <v>-8.6619939324197093E-2</v>
      </c>
      <c r="X33">
        <f ca="1">(DATA!X37/DATA!X36)-1</f>
        <v>-9.1041376692395426E-2</v>
      </c>
      <c r="Y33">
        <f ca="1">(DATA!Y37/DATA!Y36)-1</f>
        <v>-2.1501531135348695E-2</v>
      </c>
      <c r="Z33">
        <f ca="1">(DATA!Z37/DATA!Z36)-1</f>
        <v>-0.12542759407069548</v>
      </c>
      <c r="AA33">
        <f ca="1">(DATA!AA37/DATA!AA36)-1</f>
        <v>-9.1844056445826383E-2</v>
      </c>
      <c r="AB33">
        <f ca="1">(DATA!AB37/DATA!AB36)-1</f>
        <v>-0.21916392672616247</v>
      </c>
      <c r="AC33">
        <f ca="1">(DATA!AC37/DATA!AC36)-1</f>
        <v>-8.538132234025686E-2</v>
      </c>
      <c r="AD33">
        <f ca="1">(DATA!AD37/DATA!AD36)-1</f>
        <v>2.2600214107293404E-3</v>
      </c>
      <c r="AE33">
        <f ca="1">(DATA!AE37/DATA!AE36)-1</f>
        <v>-0.24443057722308892</v>
      </c>
      <c r="AF33">
        <f ca="1">(DATA!AF37/DATA!AF36)-1</f>
        <v>-7.5048657065005742E-2</v>
      </c>
      <c r="AG33">
        <f ca="1">(DATA!AG37/DATA!AG36)-1</f>
        <v>-0.17639919082939992</v>
      </c>
      <c r="AH33">
        <f ca="1">(DATA!AH37/DATA!AH36)-1</f>
        <v>-7.8657442992569826E-2</v>
      </c>
      <c r="AI33">
        <f ca="1">(DATA!AI37/DATA!AI36)-1</f>
        <v>-0.2630676949443016</v>
      </c>
      <c r="AJ33">
        <f ca="1">(DATA!AJ37/DATA!AJ36)-1</f>
        <v>-0.25344644750795342</v>
      </c>
      <c r="AK33">
        <f ca="1">(DATA!AK37/DATA!AK36)-1</f>
        <v>-7.8874143835616528E-2</v>
      </c>
      <c r="AL33">
        <f ca="1">(DATA!AL37/DATA!AL36)-1</f>
        <v>-0.20200261210274262</v>
      </c>
      <c r="AM33">
        <f ca="1">(DATA!AM37/DATA!AM36)-1</f>
        <v>-0.18400128503734647</v>
      </c>
      <c r="AN33">
        <f ca="1">(DATA!AN37/DATA!AN36)-1</f>
        <v>-0.14628149969268589</v>
      </c>
      <c r="AO33">
        <f ca="1">(DATA!AO37/DATA!AO36)-1</f>
        <v>-0.10145789943469208</v>
      </c>
      <c r="AP33">
        <f ca="1">(DATA!AP37/DATA!AP36)-1</f>
        <v>-8.1157126527741208E-2</v>
      </c>
      <c r="AQ33">
        <f ca="1">(DATA!AQ37/DATA!AQ36)-1</f>
        <v>-0.11909700303604176</v>
      </c>
      <c r="AR33">
        <f ca="1">(DATA!AR37/DATA!AR36)-1</f>
        <v>-7.2870218258624608E-2</v>
      </c>
      <c r="AS33">
        <f ca="1">(DATA!AS37/DATA!AS36)-1</f>
        <v>-7.9844429192404531E-2</v>
      </c>
      <c r="AT33">
        <f ca="1">(DATA!AT37/DATA!AT36)-1</f>
        <v>-0.11598333698750274</v>
      </c>
      <c r="AU33">
        <f ca="1">(DATA!AU37/DATA!AU36)-1</f>
        <v>-7.4529125608082891E-2</v>
      </c>
      <c r="AV33">
        <f ca="1">(DATA!AV37/DATA!AV36)-1</f>
        <v>-9.5441486305305578E-2</v>
      </c>
      <c r="AW33">
        <f ca="1">(DATA!AW37/DATA!AW36)-1</f>
        <v>-3.2605336355207459E-2</v>
      </c>
    </row>
    <row r="34" spans="1:49">
      <c r="A34" vm="11435">
        <f ca="1">DATA!A38</f>
        <v>44835</v>
      </c>
      <c r="B34">
        <f ca="1">(DATA!B38/DATA!B37)-1</f>
        <v>-0.14216776625824701</v>
      </c>
      <c r="C34">
        <f ca="1">(DATA!C38/DATA!C37)-1</f>
        <v>0.10955137481910282</v>
      </c>
      <c r="D34">
        <f ca="1">(DATA!D38/DATA!D37)-1</f>
        <v>-1.549661986479467E-2</v>
      </c>
      <c r="E34">
        <f ca="1">(DATA!E38/DATA!E37)-1</f>
        <v>-3.3061399742378983E-3</v>
      </c>
      <c r="F34">
        <f ca="1">(DATA!F38/DATA!F37)-1</f>
        <v>-9.3451327433628384E-2</v>
      </c>
      <c r="G34">
        <f ca="1">(DATA!G38/DATA!G37)-1</f>
        <v>-1.1918452692106674E-2</v>
      </c>
      <c r="H34">
        <f ca="1">(DATA!H38/DATA!H37)-1</f>
        <v>-0.31338443396226423</v>
      </c>
      <c r="I34">
        <f ca="1">(DATA!I38/DATA!I37)-1</f>
        <v>0.10512321174443851</v>
      </c>
      <c r="J34">
        <f ca="1">(DATA!J38/DATA!J37)-1</f>
        <v>0.11187082955762429</v>
      </c>
      <c r="K34">
        <f ca="1">(DATA!K38/DATA!K37)-1</f>
        <v>6.4948579823702168E-2</v>
      </c>
      <c r="L34">
        <f ca="1">(DATA!L38/DATA!L37)-1</f>
        <v>0.16611314382212217</v>
      </c>
      <c r="M34">
        <f ca="1">(DATA!M38/DATA!M37)-1</f>
        <v>6.669306930693053E-2</v>
      </c>
      <c r="N34">
        <f ca="1">(DATA!N38/DATA!N37)-1</f>
        <v>9.9219863773166495E-2</v>
      </c>
      <c r="O34">
        <f ca="1">(DATA!O38/DATA!O37)-1</f>
        <v>7.3168080017395054E-2</v>
      </c>
      <c r="P34">
        <f ca="1">(DATA!P38/DATA!P37)-1</f>
        <v>0.15418161356122972</v>
      </c>
      <c r="Q34">
        <f ca="1">(DATA!Q38/DATA!Q37)-1</f>
        <v>6.3756855575868299E-2</v>
      </c>
      <c r="R34">
        <f ca="1">(DATA!R38/DATA!R37)-1</f>
        <v>6.8368439842913187E-2</v>
      </c>
      <c r="S34">
        <f ca="1">(DATA!S38/DATA!S37)-1</f>
        <v>0.12943920279868548</v>
      </c>
      <c r="T34">
        <f ca="1">(DATA!T38/DATA!T37)-1</f>
        <v>0.2397213727488956</v>
      </c>
      <c r="U34">
        <f ca="1">(DATA!U38/DATA!U37)-1</f>
        <v>0.10322079937912298</v>
      </c>
      <c r="V34">
        <f ca="1">(DATA!V38/DATA!V37)-1</f>
        <v>0.13575000000000004</v>
      </c>
      <c r="W34">
        <f ca="1">(DATA!W38/DATA!W37)-1</f>
        <v>0.26915588134234336</v>
      </c>
      <c r="X34">
        <f ca="1">(DATA!X38/DATA!X37)-1</f>
        <v>0.25913551889747355</v>
      </c>
      <c r="Y34">
        <f ca="1">(DATA!Y38/DATA!Y37)-1</f>
        <v>9.7379541969194738E-2</v>
      </c>
      <c r="Z34">
        <f ca="1">(DATA!Z38/DATA!Z37)-1</f>
        <v>0.18839634941329853</v>
      </c>
      <c r="AA34">
        <f ca="1">(DATA!AA38/DATA!AA37)-1</f>
        <v>-1.5801948907031904E-2</v>
      </c>
      <c r="AB34">
        <f ca="1">(DATA!AB38/DATA!AB37)-1</f>
        <v>0.11501443695861413</v>
      </c>
      <c r="AC34">
        <f ca="1">(DATA!AC38/DATA!AC37)-1</f>
        <v>0.18167634567045154</v>
      </c>
      <c r="AD34">
        <f ca="1">(DATA!AD38/DATA!AD37)-1</f>
        <v>2.7652504153809598E-2</v>
      </c>
      <c r="AE34">
        <f ca="1">(DATA!AE38/DATA!AE37)-1</f>
        <v>0.17699041955731731</v>
      </c>
      <c r="AF34">
        <f ca="1">(DATA!AF38/DATA!AF37)-1</f>
        <v>0.16395926268832572</v>
      </c>
      <c r="AG34">
        <f ca="1">(DATA!AG38/DATA!AG37)-1</f>
        <v>0.27836908465695087</v>
      </c>
      <c r="AH34">
        <f ca="1">(DATA!AH38/DATA!AH37)-1</f>
        <v>0.13035317018909898</v>
      </c>
      <c r="AI34">
        <f ca="1">(DATA!AI38/DATA!AI37)-1</f>
        <v>0.15734011627906974</v>
      </c>
      <c r="AJ34">
        <f ca="1">(DATA!AJ38/DATA!AJ37)-1</f>
        <v>-5.2083333333333259E-2</v>
      </c>
      <c r="AK34">
        <f ca="1">(DATA!AK38/DATA!AK37)-1</f>
        <v>-2.8929940745904492E-2</v>
      </c>
      <c r="AL34">
        <f ca="1">(DATA!AL38/DATA!AL37)-1</f>
        <v>9.2380432805964752E-2</v>
      </c>
      <c r="AM34">
        <f ca="1">(DATA!AM38/DATA!AM37)-1</f>
        <v>9.0059055118110187E-2</v>
      </c>
      <c r="AN34">
        <f ca="1">(DATA!AN38/DATA!AN37)-1</f>
        <v>0.10055195584353238</v>
      </c>
      <c r="AO34">
        <f ca="1">(DATA!AO38/DATA!AO37)-1</f>
        <v>0.19337748344370853</v>
      </c>
      <c r="AP34">
        <f ca="1">(DATA!AP38/DATA!AP37)-1</f>
        <v>0.20459330143540666</v>
      </c>
      <c r="AQ34">
        <f ca="1">(DATA!AQ38/DATA!AQ37)-1</f>
        <v>0.17560143320252508</v>
      </c>
      <c r="AR34">
        <f ca="1">(DATA!AR38/DATA!AR37)-1</f>
        <v>3.9994937349702608E-2</v>
      </c>
      <c r="AS34">
        <f ca="1">(DATA!AS38/DATA!AS37)-1</f>
        <v>0.14346096469418201</v>
      </c>
      <c r="AT34">
        <f ca="1">(DATA!AT38/DATA!AT37)-1</f>
        <v>5.2827380952380931E-2</v>
      </c>
      <c r="AU34">
        <f ca="1">(DATA!AU38/DATA!AU37)-1</f>
        <v>0.10688051755509131</v>
      </c>
      <c r="AV34">
        <f ca="1">(DATA!AV38/DATA!AV37)-1</f>
        <v>6.189256145848776E-2</v>
      </c>
      <c r="AW34">
        <f ca="1">(DATA!AW38/DATA!AW37)-1</f>
        <v>3.8017144986954854E-2</v>
      </c>
    </row>
    <row r="35" spans="1:49">
      <c r="A35" vm="11470">
        <f ca="1">DATA!A39</f>
        <v>44866</v>
      </c>
      <c r="B35">
        <f ca="1">(DATA!B39/DATA!B38)-1</f>
        <v>-0.14432627230377082</v>
      </c>
      <c r="C35">
        <f ca="1">(DATA!C39/DATA!C38)-1</f>
        <v>-3.462892917699234E-2</v>
      </c>
      <c r="D35">
        <f ca="1">(DATA!D39/DATA!D38)-1</f>
        <v>7.1730403549545851E-2</v>
      </c>
      <c r="E35">
        <f ca="1">(DATA!E39/DATA!E38)-1</f>
        <v>9.9125490027139884E-2</v>
      </c>
      <c r="F35">
        <f ca="1">(DATA!F39/DATA!F38)-1</f>
        <v>-5.7594689574384961E-2</v>
      </c>
      <c r="G35">
        <f ca="1">(DATA!G39/DATA!G38)-1</f>
        <v>6.8564173103375259E-2</v>
      </c>
      <c r="H35">
        <f ca="1">(DATA!H39/DATA!H38)-1</f>
        <v>0.26771146414770297</v>
      </c>
      <c r="I35">
        <f ca="1">(DATA!I39/DATA!I38)-1</f>
        <v>7.967060896675604E-2</v>
      </c>
      <c r="J35">
        <f ca="1">(DATA!J39/DATA!J38)-1</f>
        <v>0.25383418537452762</v>
      </c>
      <c r="K35">
        <f ca="1">(DATA!K39/DATA!K38)-1</f>
        <v>2.3164913490831829E-2</v>
      </c>
      <c r="L35">
        <f ca="1">(DATA!L39/DATA!L38)-1</f>
        <v>4.7499517281328396E-2</v>
      </c>
      <c r="M35">
        <f ca="1">(DATA!M39/DATA!M38)-1</f>
        <v>0.10759634662508355</v>
      </c>
      <c r="N35">
        <f ca="1">(DATA!N39/DATA!N38)-1</f>
        <v>-1.3311717553814217E-2</v>
      </c>
      <c r="O35">
        <f ca="1">(DATA!O39/DATA!O38)-1</f>
        <v>9.4080302569817364E-2</v>
      </c>
      <c r="P35">
        <f ca="1">(DATA!P39/DATA!P38)-1</f>
        <v>8.5989396063135937E-2</v>
      </c>
      <c r="Q35">
        <f ca="1">(DATA!Q39/DATA!Q38)-1</f>
        <v>7.690655209452224E-2</v>
      </c>
      <c r="R35">
        <f ca="1">(DATA!R39/DATA!R38)-1</f>
        <v>6.2823725981620671E-2</v>
      </c>
      <c r="S35">
        <f ca="1">(DATA!S39/DATA!S38)-1</f>
        <v>-8.1377886239909936E-2</v>
      </c>
      <c r="T35">
        <f ca="1">(DATA!T39/DATA!T38)-1</f>
        <v>4.6765794161984342E-2</v>
      </c>
      <c r="U35">
        <f ca="1">(DATA!U39/DATA!U38)-1</f>
        <v>5.7685543440028075E-2</v>
      </c>
      <c r="V35">
        <f ca="1">(DATA!V39/DATA!V38)-1</f>
        <v>9.4430992736077357E-2</v>
      </c>
      <c r="W35">
        <f ca="1">(DATA!W39/DATA!W38)-1</f>
        <v>4.7829618265500251E-3</v>
      </c>
      <c r="X35">
        <f ca="1">(DATA!X39/DATA!X38)-1</f>
        <v>1.3322277501381929E-2</v>
      </c>
      <c r="Y35">
        <f ca="1">(DATA!Y39/DATA!Y38)-1</f>
        <v>7.089153487666211E-2</v>
      </c>
      <c r="Z35">
        <f ca="1">(DATA!Z39/DATA!Z38)-1</f>
        <v>5.7597366977509612E-2</v>
      </c>
      <c r="AA35">
        <f ca="1">(DATA!AA39/DATA!AA38)-1</f>
        <v>4.3082686647043067E-2</v>
      </c>
      <c r="AB35">
        <f ca="1">(DATA!AB39/DATA!AB38)-1</f>
        <v>0.18353474320241681</v>
      </c>
      <c r="AC35">
        <f ca="1">(DATA!AC39/DATA!AC38)-1</f>
        <v>4.7678427345410057E-4</v>
      </c>
      <c r="AD35">
        <f ca="1">(DATA!AD39/DATA!AD38)-1</f>
        <v>0.1802748585286984</v>
      </c>
      <c r="AE35">
        <f ca="1">(DATA!AE39/DATA!AE38)-1</f>
        <v>0.25521016069047797</v>
      </c>
      <c r="AF35">
        <f ca="1">(DATA!AF39/DATA!AF38)-1</f>
        <v>7.6722828837949342E-2</v>
      </c>
      <c r="AG35">
        <f ca="1">(DATA!AG39/DATA!AG38)-1</f>
        <v>6.3532727039836256E-2</v>
      </c>
      <c r="AH35">
        <f ca="1">(DATA!AH39/DATA!AH38)-1</f>
        <v>-1.4392029030075637E-2</v>
      </c>
      <c r="AI35">
        <f ca="1">(DATA!AI39/DATA!AI38)-1</f>
        <v>8.2982731554160249E-2</v>
      </c>
      <c r="AJ35">
        <f ca="1">(DATA!AJ39/DATA!AJ38)-1</f>
        <v>0.29254079254079235</v>
      </c>
      <c r="AK35">
        <f ca="1">(DATA!AK39/DATA!AK38)-1</f>
        <v>-6.1856903565446264E-2</v>
      </c>
      <c r="AL35">
        <f ca="1">(DATA!AL39/DATA!AL38)-1</f>
        <v>0.12818378558348575</v>
      </c>
      <c r="AM35">
        <f ca="1">(DATA!AM39/DATA!AM38)-1</f>
        <v>6.3566591422121954E-2</v>
      </c>
      <c r="AN35">
        <f ca="1">(DATA!AN39/DATA!AN38)-1</f>
        <v>5.5604012211077025E-2</v>
      </c>
      <c r="AO35">
        <f ca="1">(DATA!AO39/DATA!AO38)-1</f>
        <v>5.022197558268604E-2</v>
      </c>
      <c r="AP35">
        <f ca="1">(DATA!AP39/DATA!AP38)-1</f>
        <v>9.7712106768350848E-2</v>
      </c>
      <c r="AQ35">
        <f ca="1">(DATA!AQ39/DATA!AQ38)-1</f>
        <v>0.1208673188006153</v>
      </c>
      <c r="AR35">
        <f ca="1">(DATA!AR39/DATA!AR38)-1</f>
        <v>0.13265181939880732</v>
      </c>
      <c r="AS35">
        <f ca="1">(DATA!AS39/DATA!AS38)-1</f>
        <v>4.2617960426179602E-2</v>
      </c>
      <c r="AT35">
        <f ca="1">(DATA!AT39/DATA!AT38)-1</f>
        <v>6.925795053003525E-2</v>
      </c>
      <c r="AU35">
        <f ca="1">(DATA!AU39/DATA!AU38)-1</f>
        <v>1.7168949771689368E-2</v>
      </c>
      <c r="AV35">
        <f ca="1">(DATA!AV39/DATA!AV38)-1</f>
        <v>7.5274177467597125E-2</v>
      </c>
      <c r="AW35">
        <f ca="1">(DATA!AW39/DATA!AW38)-1</f>
        <v>9.0279558861246612E-2</v>
      </c>
    </row>
    <row r="36" spans="1:49">
      <c r="A36" vm="11505">
        <f ca="1">DATA!A40</f>
        <v>44896</v>
      </c>
      <c r="B36">
        <f ca="1">(DATA!B40/DATA!B39)-1</f>
        <v>-0.36733436055469948</v>
      </c>
      <c r="C36">
        <f ca="1">(DATA!C40/DATA!C39)-1</f>
        <v>-0.12227251232858205</v>
      </c>
      <c r="D36">
        <f ca="1">(DATA!D40/DATA!D39)-1</f>
        <v>-0.12538196155741743</v>
      </c>
      <c r="E36">
        <f ca="1">(DATA!E40/DATA!E39)-1</f>
        <v>-6.0045465234773054E-2</v>
      </c>
      <c r="F36">
        <f ca="1">(DATA!F40/DATA!F39)-1</f>
        <v>-0.1298943443132381</v>
      </c>
      <c r="G36">
        <f ca="1">(DATA!G40/DATA!G39)-1</f>
        <v>-0.12634914347955239</v>
      </c>
      <c r="H36">
        <f ca="1">(DATA!H40/DATA!H39)-1</f>
        <v>1.8966977138018759E-2</v>
      </c>
      <c r="I36">
        <f ca="1">(DATA!I40/DATA!I39)-1</f>
        <v>-3.0445699937225457E-2</v>
      </c>
      <c r="J36">
        <f ca="1">(DATA!J40/DATA!J39)-1</f>
        <v>-0.13644152927967845</v>
      </c>
      <c r="K36">
        <f ca="1">(DATA!K40/DATA!K39)-1</f>
        <v>-7.5842696629213613E-3</v>
      </c>
      <c r="L36">
        <f ca="1">(DATA!L40/DATA!L39)-1</f>
        <v>-4.2580645161290342E-2</v>
      </c>
      <c r="M36">
        <f ca="1">(DATA!M40/DATA!M39)-1</f>
        <v>1.6090104585679832E-2</v>
      </c>
      <c r="N36">
        <f ca="1">(DATA!N40/DATA!N39)-1</f>
        <v>-3.2094347889586761E-2</v>
      </c>
      <c r="O36">
        <f ca="1">(DATA!O40/DATA!O39)-1</f>
        <v>-2.5093367079230822E-2</v>
      </c>
      <c r="P36">
        <f ca="1">(DATA!P40/DATA!P39)-1</f>
        <v>-2.4326599326599196E-2</v>
      </c>
      <c r="Q36">
        <f ca="1">(DATA!Q40/DATA!Q39)-1</f>
        <v>2.2142429682824538E-2</v>
      </c>
      <c r="R36">
        <f ca="1">(DATA!R40/DATA!R39)-1</f>
        <v>0</v>
      </c>
      <c r="S36">
        <f ca="1">(DATA!S40/DATA!S39)-1</f>
        <v>-0.11229181567385316</v>
      </c>
      <c r="T36">
        <f ca="1">(DATA!T40/DATA!T39)-1</f>
        <v>-3.4857460805812757E-2</v>
      </c>
      <c r="U36">
        <f ca="1">(DATA!U40/DATA!U39)-1</f>
        <v>-0.12105088127702035</v>
      </c>
      <c r="V36">
        <f ca="1">(DATA!V40/DATA!V39)-1</f>
        <v>-4.1834271922767452E-2</v>
      </c>
      <c r="W36">
        <f ca="1">(DATA!W40/DATA!W39)-1</f>
        <v>-9.3407580384409217E-3</v>
      </c>
      <c r="X36">
        <f ca="1">(DATA!X40/DATA!X39)-1</f>
        <v>-2.0839015874747679E-2</v>
      </c>
      <c r="Y36">
        <f ca="1">(DATA!Y40/DATA!Y39)-1</f>
        <v>-6.9741488243560745E-2</v>
      </c>
      <c r="Z36">
        <f ca="1">(DATA!Z40/DATA!Z39)-1</f>
        <v>-4.5124481327800892E-2</v>
      </c>
      <c r="AA36">
        <f ca="1">(DATA!AA40/DATA!AA39)-1</f>
        <v>1.0774756285274467E-2</v>
      </c>
      <c r="AB36">
        <f ca="1">(DATA!AB40/DATA!AB39)-1</f>
        <v>6.6733521743094215E-2</v>
      </c>
      <c r="AC36">
        <f ca="1">(DATA!AC40/DATA!AC39)-1</f>
        <v>-3.3945525862385195E-2</v>
      </c>
      <c r="AD36">
        <f ca="1">(DATA!AD40/DATA!AD39)-1</f>
        <v>-2.9354207436399271E-2</v>
      </c>
      <c r="AE36">
        <f ca="1">(DATA!AE40/DATA!AE39)-1</f>
        <v>6.4903846153846256E-2</v>
      </c>
      <c r="AF36">
        <f ca="1">(DATA!AF40/DATA!AF39)-1</f>
        <v>-5.3794492948287531E-2</v>
      </c>
      <c r="AG36">
        <f ca="1">(DATA!AG40/DATA!AG39)-1</f>
        <v>-1.5536553053113411E-2</v>
      </c>
      <c r="AH36">
        <f ca="1">(DATA!AH40/DATA!AH39)-1</f>
        <v>-0.17260530421216846</v>
      </c>
      <c r="AI36">
        <f ca="1">(DATA!AI40/DATA!AI39)-1</f>
        <v>-2.4352767228133287E-2</v>
      </c>
      <c r="AJ36">
        <f ca="1">(DATA!AJ40/DATA!AJ39)-1</f>
        <v>-0.16565760659538842</v>
      </c>
      <c r="AK36">
        <f ca="1">(DATA!AK40/DATA!AK39)-1</f>
        <v>-9.1697487565361557E-2</v>
      </c>
      <c r="AL36">
        <f ca="1">(DATA!AL40/DATA!AL39)-1</f>
        <v>-7.2746052825733987E-2</v>
      </c>
      <c r="AM36">
        <f ca="1">(DATA!AM40/DATA!AM39)-1</f>
        <v>-4.2957806265387588E-2</v>
      </c>
      <c r="AN36">
        <f ca="1">(DATA!AN40/DATA!AN39)-1</f>
        <v>-6.5688907250568085E-2</v>
      </c>
      <c r="AO36">
        <f ca="1">(DATA!AO40/DATA!AO39)-1</f>
        <v>-0.12496697490092479</v>
      </c>
      <c r="AP36">
        <f ca="1">(DATA!AP40/DATA!AP39)-1</f>
        <v>-2.9526704298740825E-2</v>
      </c>
      <c r="AQ36">
        <f ca="1">(DATA!AQ40/DATA!AQ39)-1</f>
        <v>-0.11076006733134791</v>
      </c>
      <c r="AR36">
        <f ca="1">(DATA!AR40/DATA!AR39)-1</f>
        <v>-8.6494036746534886E-2</v>
      </c>
      <c r="AS36">
        <f ca="1">(DATA!AS40/DATA!AS39)-1</f>
        <v>-0.13889468196037547</v>
      </c>
      <c r="AT36">
        <f ca="1">(DATA!AT40/DATA!AT39)-1</f>
        <v>-3.9215686274509776E-2</v>
      </c>
      <c r="AU36">
        <f ca="1">(DATA!AU40/DATA!AU39)-1</f>
        <v>-0.10791883641587363</v>
      </c>
      <c r="AV36">
        <f ca="1">(DATA!AV40/DATA!AV39)-1</f>
        <v>-0.15345387111729258</v>
      </c>
      <c r="AW36">
        <f ca="1">(DATA!AW40/DATA!AW39)-1</f>
        <v>-6.2620559868266312E-2</v>
      </c>
    </row>
    <row r="37" spans="1:49">
      <c r="A37" vm="11543">
        <f ca="1">DATA!A41</f>
        <v>44927</v>
      </c>
      <c r="B37">
        <f ca="1">(DATA!B41/DATA!B40)-1</f>
        <v>0.40623477837311239</v>
      </c>
      <c r="C37">
        <f ca="1">(DATA!C41/DATA!C40)-1</f>
        <v>0.11052104979604382</v>
      </c>
      <c r="D37">
        <f ca="1">(DATA!D41/DATA!D40)-1</f>
        <v>0.12554941958751265</v>
      </c>
      <c r="E37">
        <f ca="1">(DATA!E41/DATA!E40)-1</f>
        <v>3.3316654157284686E-2</v>
      </c>
      <c r="F37">
        <f ca="1">(DATA!F41/DATA!F40)-1</f>
        <v>0.22773809523809518</v>
      </c>
      <c r="G37">
        <f ca="1">(DATA!G41/DATA!G40)-1</f>
        <v>0.12025388189958064</v>
      </c>
      <c r="H37">
        <f ca="1">(DATA!H41/DATA!H40)-1</f>
        <v>0.23790925710486954</v>
      </c>
      <c r="I37">
        <f ca="1">(DATA!I41/DATA!I40)-1</f>
        <v>8.4817092910327574E-3</v>
      </c>
      <c r="J37">
        <f ca="1">(DATA!J41/DATA!J40)-1</f>
        <v>0.33686875598740929</v>
      </c>
      <c r="K37">
        <f ca="1">(DATA!K41/DATA!K40)-1</f>
        <v>-7.4893857911123796E-2</v>
      </c>
      <c r="L37">
        <f ca="1">(DATA!L41/DATA!L40)-1</f>
        <v>0.10805737389295356</v>
      </c>
      <c r="M37">
        <f ca="1">(DATA!M41/DATA!M40)-1</f>
        <v>-6.0570071258907454E-2</v>
      </c>
      <c r="N37">
        <f ca="1">(DATA!N41/DATA!N40)-1</f>
        <v>-5.8451846542683539E-2</v>
      </c>
      <c r="O37">
        <f ca="1">(DATA!O41/DATA!O40)-1</f>
        <v>2.6309124295573971E-2</v>
      </c>
      <c r="P37">
        <f ca="1">(DATA!P41/DATA!P40)-1</f>
        <v>6.576941880194398E-2</v>
      </c>
      <c r="Q37">
        <f ca="1">(DATA!Q41/DATA!Q40)-1</f>
        <v>-0.13817330210772849</v>
      </c>
      <c r="R37">
        <f ca="1">(DATA!R41/DATA!R40)-1</f>
        <v>-3.6000628831944659E-2</v>
      </c>
      <c r="S37">
        <f ca="1">(DATA!S41/DATA!S40)-1</f>
        <v>0.24873388581952116</v>
      </c>
      <c r="T37">
        <f ca="1">(DATA!T41/DATA!T40)-1</f>
        <v>0.20001356483993504</v>
      </c>
      <c r="U37">
        <f ca="1">(DATA!U41/DATA!U40)-1</f>
        <v>6.9239500567537027E-2</v>
      </c>
      <c r="V37">
        <f ca="1">(DATA!V41/DATA!V40)-1</f>
        <v>2.1620486985726384E-2</v>
      </c>
      <c r="W37">
        <f ca="1">(DATA!W41/DATA!W40)-1</f>
        <v>5.1767905711695539E-2</v>
      </c>
      <c r="X37">
        <f ca="1">(DATA!X41/DATA!X40)-1</f>
        <v>-3.0475235389158195E-2</v>
      </c>
      <c r="Y37">
        <f ca="1">(DATA!Y41/DATA!Y40)-1</f>
        <v>1.4669011000171484E-2</v>
      </c>
      <c r="Z37">
        <f ca="1">(DATA!Z41/DATA!Z40)-1</f>
        <v>0.10646387832699622</v>
      </c>
      <c r="AA37">
        <f ca="1">(DATA!AA41/DATA!AA40)-1</f>
        <v>5.5076142131979644E-2</v>
      </c>
      <c r="AB37">
        <f ca="1">(DATA!AB41/DATA!AB40)-1</f>
        <v>8.8197589949576827E-2</v>
      </c>
      <c r="AC37">
        <f ca="1">(DATA!AC41/DATA!AC40)-1</f>
        <v>1.4685235077600334E-2</v>
      </c>
      <c r="AD37">
        <f ca="1">(DATA!AD41/DATA!AD40)-1</f>
        <v>0.10020161290322571</v>
      </c>
      <c r="AE37">
        <f ca="1">(DATA!AE41/DATA!AE40)-1</f>
        <v>0.11816893275237539</v>
      </c>
      <c r="AF37">
        <f ca="1">(DATA!AF41/DATA!AF40)-1</f>
        <v>-4.3722052665199795E-2</v>
      </c>
      <c r="AG37">
        <f ca="1">(DATA!AG41/DATA!AG40)-1</f>
        <v>8.2211891362857781E-2</v>
      </c>
      <c r="AH37">
        <f ca="1">(DATA!AH41/DATA!AH40)-1</f>
        <v>0.26683761972999465</v>
      </c>
      <c r="AI37">
        <f ca="1">(DATA!AI41/DATA!AI40)-1</f>
        <v>0.10046652601551131</v>
      </c>
      <c r="AJ37">
        <f ca="1">(DATA!AJ41/DATA!AJ40)-1</f>
        <v>0.16025937934228818</v>
      </c>
      <c r="AK37">
        <f ca="1">(DATA!AK41/DATA!AK40)-1</f>
        <v>0.14420106711597858</v>
      </c>
      <c r="AL37">
        <f ca="1">(DATA!AL41/DATA!AL40)-1</f>
        <v>0.3004455760661997</v>
      </c>
      <c r="AM37">
        <f ca="1">(DATA!AM41/DATA!AM40)-1</f>
        <v>0.14681096425086482</v>
      </c>
      <c r="AN37">
        <f ca="1">(DATA!AN41/DATA!AN40)-1</f>
        <v>0.15454344461640512</v>
      </c>
      <c r="AO37">
        <f ca="1">(DATA!AO41/DATA!AO40)-1</f>
        <v>7.125603864734309E-2</v>
      </c>
      <c r="AP37">
        <f ca="1">(DATA!AP41/DATA!AP40)-1</f>
        <v>4.3698732289336517E-2</v>
      </c>
      <c r="AQ37">
        <f ca="1">(DATA!AQ41/DATA!AQ40)-1</f>
        <v>6.5321218475158815E-2</v>
      </c>
      <c r="AR37">
        <f ca="1">(DATA!AR41/DATA!AR40)-1</f>
        <v>0.14478946130322279</v>
      </c>
      <c r="AS37">
        <f ca="1">(DATA!AS41/DATA!AS40)-1</f>
        <v>0.13514168079438127</v>
      </c>
      <c r="AT37">
        <f ca="1">(DATA!AT41/DATA!AT40)-1</f>
        <v>0.14193992203623007</v>
      </c>
      <c r="AU37">
        <f ca="1">(DATA!AU41/DATA!AU40)-1</f>
        <v>0.15499194847020936</v>
      </c>
      <c r="AV37">
        <f ca="1">(DATA!AV41/DATA!AV40)-1</f>
        <v>0.11969331872946332</v>
      </c>
      <c r="AW37">
        <f ca="1">(DATA!AW41/DATA!AW40)-1</f>
        <v>4.5221843003413031E-2</v>
      </c>
    </row>
    <row r="38" spans="1:49">
      <c r="A38" vm="11583">
        <f ca="1">DATA!A42</f>
        <v>44958</v>
      </c>
      <c r="B38">
        <f ca="1">(DATA!B42/DATA!B41)-1</f>
        <v>0.18756494631104959</v>
      </c>
      <c r="C38">
        <f ca="1">(DATA!C42/DATA!C41)-1</f>
        <v>2.1623120105343396E-2</v>
      </c>
      <c r="D38">
        <f ca="1">(DATA!D42/DATA!D41)-1</f>
        <v>-9.5824571943526671E-2</v>
      </c>
      <c r="E38">
        <f ca="1">(DATA!E42/DATA!E41)-1</f>
        <v>6.4969129575076501E-3</v>
      </c>
      <c r="F38">
        <f ca="1">(DATA!F42/DATA!F41)-1</f>
        <v>-8.6298846116551808E-2</v>
      </c>
      <c r="G38">
        <f ca="1">(DATA!G42/DATA!G41)-1</f>
        <v>-8.883043302306759E-2</v>
      </c>
      <c r="H38">
        <f ca="1">(DATA!H42/DATA!H41)-1</f>
        <v>0.17433040209438144</v>
      </c>
      <c r="I38">
        <f ca="1">(DATA!I42/DATA!I41)-1</f>
        <v>-2.0351823317924955E-2</v>
      </c>
      <c r="J38">
        <f ca="1">(DATA!J42/DATA!J41)-1</f>
        <v>0.18830936172390866</v>
      </c>
      <c r="K38">
        <f ca="1">(DATA!K42/DATA!K41)-1</f>
        <v>-6.2171092889487189E-2</v>
      </c>
      <c r="L38">
        <f ca="1">(DATA!L42/DATA!L41)-1</f>
        <v>-4.4611441727118728E-2</v>
      </c>
      <c r="M38">
        <f ca="1">(DATA!M42/DATA!M41)-1</f>
        <v>-3.3853069251299273E-2</v>
      </c>
      <c r="N38">
        <f ca="1">(DATA!N42/DATA!N41)-1</f>
        <v>-4.6575452232616832E-2</v>
      </c>
      <c r="O38">
        <f ca="1">(DATA!O42/DATA!O41)-1</f>
        <v>-8.5233056729493772E-2</v>
      </c>
      <c r="P38">
        <f ca="1">(DATA!P42/DATA!P41)-1</f>
        <v>-4.1311386940097172E-2</v>
      </c>
      <c r="Q38">
        <f ca="1">(DATA!Q42/DATA!Q41)-1</f>
        <v>-8.1295289855072395E-2</v>
      </c>
      <c r="R38">
        <f ca="1">(DATA!R42/DATA!R41)-1</f>
        <v>-2.9517286366601447E-2</v>
      </c>
      <c r="S38">
        <f ca="1">(DATA!S42/DATA!S41)-1</f>
        <v>-8.1850861830583432E-2</v>
      </c>
      <c r="T38">
        <f ca="1">(DATA!T42/DATA!T41)-1</f>
        <v>-8.9668230373594171E-2</v>
      </c>
      <c r="U38">
        <f ca="1">(DATA!U42/DATA!U41)-1</f>
        <v>-0.11783439490445868</v>
      </c>
      <c r="V38">
        <f ca="1">(DATA!V42/DATA!V41)-1</f>
        <v>-5.1366344770905625E-3</v>
      </c>
      <c r="W38">
        <f ca="1">(DATA!W42/DATA!W41)-1</f>
        <v>-5.2581673993621347E-2</v>
      </c>
      <c r="X38">
        <f ca="1">(DATA!X42/DATA!X41)-1</f>
        <v>-7.6140673485806221E-2</v>
      </c>
      <c r="Y38">
        <f ca="1">(DATA!Y42/DATA!Y41)-1</f>
        <v>-1.2094369445452391E-2</v>
      </c>
      <c r="Z38">
        <f ca="1">(DATA!Z42/DATA!Z41)-1</f>
        <v>-7.1674030436917113E-2</v>
      </c>
      <c r="AA38">
        <f ca="1">(DATA!AA42/DATA!AA41)-1</f>
        <v>-6.6394034159249382E-2</v>
      </c>
      <c r="AB38">
        <f ca="1">(DATA!AB42/DATA!AB41)-1</f>
        <v>-6.7069818581638185E-2</v>
      </c>
      <c r="AC38">
        <f ca="1">(DATA!AC42/DATA!AC41)-1</f>
        <v>-1.3051608077785937E-2</v>
      </c>
      <c r="AD38">
        <f ca="1">(DATA!AD42/DATA!AD41)-1</f>
        <v>-6.4595931830676134E-2</v>
      </c>
      <c r="AE38">
        <f ca="1">(DATA!AE42/DATA!AE41)-1</f>
        <v>-5.3755868544600904E-2</v>
      </c>
      <c r="AF38">
        <f ca="1">(DATA!AF42/DATA!AF41)-1</f>
        <v>-4.0302827877978009E-2</v>
      </c>
      <c r="AG38">
        <f ca="1">(DATA!AG42/DATA!AG41)-1</f>
        <v>-1.1982817092471065E-2</v>
      </c>
      <c r="AH38">
        <f ca="1">(DATA!AH42/DATA!AH41)-1</f>
        <v>-2.5957016133833388E-2</v>
      </c>
      <c r="AI38">
        <f ca="1">(DATA!AI42/DATA!AI41)-1</f>
        <v>-0.12526327158827022</v>
      </c>
      <c r="AJ38">
        <f ca="1">(DATA!AJ42/DATA!AJ41)-1</f>
        <v>4.564204923486348E-2</v>
      </c>
      <c r="AK38">
        <f ca="1">(DATA!AK42/DATA!AK41)-1</f>
        <v>-9.6821695913609007E-2</v>
      </c>
      <c r="AL38">
        <f ca="1">(DATA!AL42/DATA!AL41)-1</f>
        <v>-6.1062163485070875E-2</v>
      </c>
      <c r="AM38">
        <f ca="1">(DATA!AM42/DATA!AM41)-1</f>
        <v>-4.548267326732669E-2</v>
      </c>
      <c r="AN38">
        <f ca="1">(DATA!AN42/DATA!AN41)-1</f>
        <v>-2.9299119111451555E-2</v>
      </c>
      <c r="AO38">
        <f ca="1">(DATA!AO42/DATA!AO41)-1</f>
        <v>-3.3258173618940234E-2</v>
      </c>
      <c r="AP38">
        <f ca="1">(DATA!AP42/DATA!AP41)-1</f>
        <v>2.422120605887379E-2</v>
      </c>
      <c r="AQ38">
        <f ca="1">(DATA!AQ42/DATA!AQ41)-1</f>
        <v>-3.8708619228561392E-2</v>
      </c>
      <c r="AR38">
        <f ca="1">(DATA!AR42/DATA!AR41)-1</f>
        <v>-8.5276893044282653E-3</v>
      </c>
      <c r="AS38">
        <f ca="1">(DATA!AS42/DATA!AS41)-1</f>
        <v>-2.1335609131639677E-3</v>
      </c>
      <c r="AT38">
        <f ca="1">(DATA!AT42/DATA!AT41)-1</f>
        <v>-4.156626506024097E-2</v>
      </c>
      <c r="AU38">
        <f ca="1">(DATA!AU42/DATA!AU41)-1</f>
        <v>-2.1145579179737362E-2</v>
      </c>
      <c r="AV38">
        <f ca="1">(DATA!AV42/DATA!AV41)-1</f>
        <v>-5.274484485659503E-2</v>
      </c>
      <c r="AW38">
        <f ca="1">(DATA!AW42/DATA!AW41)-1</f>
        <v>-1.200480192076836E-2</v>
      </c>
    </row>
    <row r="39" spans="1:49">
      <c r="A39" vm="11618">
        <f ca="1">DATA!A43</f>
        <v>44986</v>
      </c>
      <c r="B39">
        <f ca="1">(DATA!B43/DATA!B42)-1</f>
        <v>8.5071216761460899E-3</v>
      </c>
      <c r="C39">
        <f ca="1">(DATA!C43/DATA!C42)-1</f>
        <v>0.11864866698324406</v>
      </c>
      <c r="D39">
        <f ca="1">(DATA!D43/DATA!D42)-1</f>
        <v>0.15171650055371</v>
      </c>
      <c r="E39">
        <f ca="1">(DATA!E43/DATA!E42)-1</f>
        <v>0.15588164541736838</v>
      </c>
      <c r="F39">
        <f ca="1">(DATA!F43/DATA!F42)-1</f>
        <v>9.6147723654887107E-2</v>
      </c>
      <c r="G39">
        <f ca="1">(DATA!G43/DATA!G42)-1</f>
        <v>0.15178769709082829</v>
      </c>
      <c r="H39">
        <f ca="1">(DATA!H43/DATA!H42)-1</f>
        <v>0.21150108608665819</v>
      </c>
      <c r="I39">
        <f ca="1">(DATA!I43/DATA!I42)-1</f>
        <v>1.176354938069335E-2</v>
      </c>
      <c r="J39">
        <f ca="1">(DATA!J43/DATA!J42)-1</f>
        <v>0.19645933838731899</v>
      </c>
      <c r="K39">
        <f ca="1">(DATA!K43/DATA!K42)-1</f>
        <v>1.1353255904998028E-2</v>
      </c>
      <c r="L39">
        <f ca="1">(DATA!L43/DATA!L42)-1</f>
        <v>2.5097753932890932E-2</v>
      </c>
      <c r="M39">
        <f ca="1">(DATA!M43/DATA!M42)-1</f>
        <v>8.0910148298924067E-2</v>
      </c>
      <c r="N39">
        <f ca="1">(DATA!N43/DATA!N42)-1</f>
        <v>-7.0387023574400853E-3</v>
      </c>
      <c r="O39">
        <f ca="1">(DATA!O43/DATA!O42)-1</f>
        <v>-4.7885614082417982E-3</v>
      </c>
      <c r="P39">
        <f ca="1">(DATA!P43/DATA!P42)-1</f>
        <v>2.2854569506600253E-2</v>
      </c>
      <c r="Q39">
        <f ca="1">(DATA!Q43/DATA!Q42)-1</f>
        <v>5.6692137047078539E-3</v>
      </c>
      <c r="R39">
        <f ca="1">(DATA!R43/DATA!R42)-1</f>
        <v>4.2345824231221796E-2</v>
      </c>
      <c r="S39">
        <f ca="1">(DATA!S43/DATA!S42)-1</f>
        <v>5.2203594016664301E-3</v>
      </c>
      <c r="T39">
        <f ca="1">(DATA!T43/DATA!T42)-1</f>
        <v>7.2486263309843979E-2</v>
      </c>
      <c r="U39">
        <f ca="1">(DATA!U43/DATA!U42)-1</f>
        <v>0.31046931407942258</v>
      </c>
      <c r="V39">
        <f ca="1">(DATA!V43/DATA!V42)-1</f>
        <v>7.9615861214374251E-2</v>
      </c>
      <c r="W39">
        <f ca="1">(DATA!W43/DATA!W42)-1</f>
        <v>-2.2745882995177658E-3</v>
      </c>
      <c r="X39">
        <f ca="1">(DATA!X43/DATA!X42)-1</f>
        <v>1.4865957579150324E-2</v>
      </c>
      <c r="Y39">
        <f ca="1">(DATA!Y43/DATA!Y42)-1</f>
        <v>3.7430186464934012E-2</v>
      </c>
      <c r="Z39">
        <f ca="1">(DATA!Z43/DATA!Z42)-1</f>
        <v>1.7979904812268632E-2</v>
      </c>
      <c r="AA39">
        <f ca="1">(DATA!AA43/DATA!AA42)-1</f>
        <v>2.0613244009275444E-3</v>
      </c>
      <c r="AB39">
        <f ca="1">(DATA!AB43/DATA!AB42)-1</f>
        <v>3.2410135533293971E-2</v>
      </c>
      <c r="AC39">
        <f ca="1">(DATA!AC43/DATA!AC42)-1</f>
        <v>5.9489977643893743E-2</v>
      </c>
      <c r="AD39">
        <f ca="1">(DATA!AD43/DATA!AD42)-1</f>
        <v>1.9982368498383751E-2</v>
      </c>
      <c r="AE39">
        <f ca="1">(DATA!AE43/DATA!AE42)-1</f>
        <v>5.3981642272388886E-2</v>
      </c>
      <c r="AF39">
        <f ca="1">(DATA!AF43/DATA!AF42)-1</f>
        <v>1.3843774168600165E-2</v>
      </c>
      <c r="AG39">
        <f ca="1">(DATA!AG43/DATA!AG42)-1</f>
        <v>6.315789473684208E-2</v>
      </c>
      <c r="AH39">
        <f ca="1">(DATA!AH43/DATA!AH42)-1</f>
        <v>0.2210745064482611</v>
      </c>
      <c r="AI39">
        <f ca="1">(DATA!AI43/DATA!AI42)-1</f>
        <v>0.18959716005556415</v>
      </c>
      <c r="AJ39">
        <f ca="1">(DATA!AJ43/DATA!AJ42)-1</f>
        <v>0.24726393484347176</v>
      </c>
      <c r="AK39">
        <f ca="1">(DATA!AK43/DATA!AK42)-1</f>
        <v>3.1793478260869534E-2</v>
      </c>
      <c r="AL39">
        <f ca="1">(DATA!AL43/DATA!AL42)-1</f>
        <v>-0.10530431382770755</v>
      </c>
      <c r="AM39">
        <f ca="1">(DATA!AM43/DATA!AM42)-1</f>
        <v>1.1102106969205661E-2</v>
      </c>
      <c r="AN39">
        <f ca="1">(DATA!AN43/DATA!AN42)-1</f>
        <v>-7.4965476425330357E-2</v>
      </c>
      <c r="AO39">
        <f ca="1">(DATA!AO43/DATA!AO42)-1</f>
        <v>-0.16618075801749255</v>
      </c>
      <c r="AP39">
        <f ca="1">(DATA!AP43/DATA!AP42)-1</f>
        <v>-9.0966166724799402E-2</v>
      </c>
      <c r="AQ39">
        <f ca="1">(DATA!AQ43/DATA!AQ42)-1</f>
        <v>-6.9785297881416075E-2</v>
      </c>
      <c r="AR39">
        <f ca="1">(DATA!AR43/DATA!AR42)-1</f>
        <v>-9.0155440414507848E-2</v>
      </c>
      <c r="AS39">
        <f ca="1">(DATA!AS43/DATA!AS42)-1</f>
        <v>-0.2007697241821681</v>
      </c>
      <c r="AT39">
        <f ca="1">(DATA!AT43/DATA!AT42)-1</f>
        <v>-0.244709826105175</v>
      </c>
      <c r="AU39">
        <f ca="1">(DATA!AU43/DATA!AU42)-1</f>
        <v>-1.7032640949554922E-2</v>
      </c>
      <c r="AV39">
        <f ca="1">(DATA!AV43/DATA!AV42)-1</f>
        <v>2.6209261018629526E-2</v>
      </c>
      <c r="AW39">
        <f ca="1">(DATA!AW43/DATA!AW42)-1</f>
        <v>-2.8092345078979397E-2</v>
      </c>
    </row>
    <row r="40" spans="1:49">
      <c r="A40" vm="11653">
        <f ca="1">DATA!A44</f>
        <v>45017</v>
      </c>
      <c r="B40">
        <f ca="1">(DATA!B44/DATA!B43)-1</f>
        <v>-0.2079919020534079</v>
      </c>
      <c r="C40">
        <f ca="1">(DATA!C44/DATA!C43)-1</f>
        <v>2.8987265009096319E-2</v>
      </c>
      <c r="D40">
        <f ca="1">(DATA!D44/DATA!D43)-1</f>
        <v>4.0576923076923066E-2</v>
      </c>
      <c r="E40">
        <f ca="1">(DATA!E44/DATA!E43)-1</f>
        <v>6.5764828303850109E-2</v>
      </c>
      <c r="F40">
        <f ca="1">(DATA!F44/DATA!F43)-1</f>
        <v>2.091199535288979E-2</v>
      </c>
      <c r="G40">
        <f ca="1">(DATA!G44/DATA!G43)-1</f>
        <v>3.4801889520871487E-2</v>
      </c>
      <c r="H40">
        <f ca="1">(DATA!H44/DATA!H43)-1</f>
        <v>0.13390582240256665</v>
      </c>
      <c r="I40">
        <f ca="1">(DATA!I44/DATA!I43)-1</f>
        <v>6.4060627651650215E-2</v>
      </c>
      <c r="J40">
        <f ca="1">(DATA!J44/DATA!J43)-1</f>
        <v>-1.0080282247904027E-3</v>
      </c>
      <c r="K40">
        <f ca="1">(DATA!K44/DATA!K43)-1</f>
        <v>5.6129032258064537E-2</v>
      </c>
      <c r="L40">
        <f ca="1">(DATA!L44/DATA!L43)-1</f>
        <v>3.2245187616428472E-2</v>
      </c>
      <c r="M40">
        <f ca="1">(DATA!M44/DATA!M43)-1</f>
        <v>5.1718340170825217E-2</v>
      </c>
      <c r="N40">
        <f ca="1">(DATA!N44/DATA!N43)-1</f>
        <v>4.1261981844727957E-2</v>
      </c>
      <c r="O40">
        <f ca="1">(DATA!O44/DATA!O43)-1</f>
        <v>1.8365410680401206E-2</v>
      </c>
      <c r="P40">
        <f ca="1">(DATA!P44/DATA!P43)-1</f>
        <v>4.5733469084505041E-2</v>
      </c>
      <c r="Q40">
        <f ca="1">(DATA!Q44/DATA!Q43)-1</f>
        <v>-4.6813725490196023E-2</v>
      </c>
      <c r="R40">
        <f ca="1">(DATA!R44/DATA!R43)-1</f>
        <v>3.4177011123649903E-2</v>
      </c>
      <c r="S40">
        <f ca="1">(DATA!S44/DATA!S43)-1</f>
        <v>2.3669230000998853E-2</v>
      </c>
      <c r="T40">
        <f ca="1">(DATA!T44/DATA!T43)-1</f>
        <v>-4.5009841380108884E-2</v>
      </c>
      <c r="U40">
        <f ca="1">(DATA!U44/DATA!U43)-1</f>
        <v>-4.9280685644322086E-2</v>
      </c>
      <c r="V40">
        <f ca="1">(DATA!V44/DATA!V43)-1</f>
        <v>-9.6126255380200809E-2</v>
      </c>
      <c r="W40">
        <f ca="1">(DATA!W44/DATA!W43)-1</f>
        <v>7.9153747948203623E-2</v>
      </c>
      <c r="X40">
        <f ca="1">(DATA!X44/DATA!X43)-1</f>
        <v>3.3218926207403854E-2</v>
      </c>
      <c r="Y40">
        <f ca="1">(DATA!Y44/DATA!Y43)-1</f>
        <v>2.3872063805328692E-2</v>
      </c>
      <c r="Z40">
        <f ca="1">(DATA!Z44/DATA!Z43)-1</f>
        <v>-8.2077922077921972E-2</v>
      </c>
      <c r="AA40">
        <f ca="1">(DATA!AA44/DATA!AA43)-1</f>
        <v>-1.5428130624839387E-3</v>
      </c>
      <c r="AB40">
        <f ca="1">(DATA!AB44/DATA!AB43)-1</f>
        <v>3.3268101761252389E-2</v>
      </c>
      <c r="AC40">
        <f ca="1">(DATA!AC44/DATA!AC43)-1</f>
        <v>5.7723257394227678E-2</v>
      </c>
      <c r="AD40">
        <f ca="1">(DATA!AD44/DATA!AD43)-1</f>
        <v>9.7570344761356065E-2</v>
      </c>
      <c r="AE40">
        <f ca="1">(DATA!AE44/DATA!AE43)-1</f>
        <v>-2.6596996657722527E-2</v>
      </c>
      <c r="AF40">
        <f ca="1">(DATA!AF44/DATA!AF43)-1</f>
        <v>-3.570066366618363E-2</v>
      </c>
      <c r="AG40">
        <f ca="1">(DATA!AG44/DATA!AG43)-1</f>
        <v>1.9371502367627969E-2</v>
      </c>
      <c r="AH40">
        <f ca="1">(DATA!AH44/DATA!AH43)-1</f>
        <v>-7.0577635398938465E-3</v>
      </c>
      <c r="AI40">
        <f ca="1">(DATA!AI44/DATA!AI43)-1</f>
        <v>-2.0266237641746954E-2</v>
      </c>
      <c r="AJ40">
        <f ca="1">(DATA!AJ44/DATA!AJ43)-1</f>
        <v>-8.8154269972451793E-2</v>
      </c>
      <c r="AK40">
        <f ca="1">(DATA!AK44/DATA!AK43)-1</f>
        <v>7.9009744535163406E-4</v>
      </c>
      <c r="AL40">
        <f ca="1">(DATA!AL44/DATA!AL43)-1</f>
        <v>-0.11449380917698482</v>
      </c>
      <c r="AM40">
        <f ca="1">(DATA!AM44/DATA!AM43)-1</f>
        <v>3.8470786246693756E-3</v>
      </c>
      <c r="AN40">
        <f ca="1">(DATA!AN44/DATA!AN43)-1</f>
        <v>3.8387715930900956E-3</v>
      </c>
      <c r="AO40">
        <f ca="1">(DATA!AO44/DATA!AO43)-1</f>
        <v>2.3776223776223793E-2</v>
      </c>
      <c r="AP40">
        <f ca="1">(DATA!AP44/DATA!AP43)-1</f>
        <v>6.0854884506177598E-2</v>
      </c>
      <c r="AQ40">
        <f ca="1">(DATA!AQ44/DATA!AQ43)-1</f>
        <v>4.9922044572162205E-2</v>
      </c>
      <c r="AR40">
        <f ca="1">(DATA!AR44/DATA!AR43)-1</f>
        <v>2.4715261958997647E-2</v>
      </c>
      <c r="AS40">
        <f ca="1">(DATA!AS44/DATA!AS43)-1</f>
        <v>6.3402889245585792E-2</v>
      </c>
      <c r="AT40">
        <f ca="1">(DATA!AT44/DATA!AT43)-1</f>
        <v>-4.9098474341192633E-2</v>
      </c>
      <c r="AU40">
        <f ca="1">(DATA!AU44/DATA!AU43)-1</f>
        <v>-4.7575922236309798E-2</v>
      </c>
      <c r="AV40">
        <f ca="1">(DATA!AV44/DATA!AV43)-1</f>
        <v>1.2780002817638358E-2</v>
      </c>
      <c r="AW40">
        <f ca="1">(DATA!AW44/DATA!AW43)-1</f>
        <v>3.9305895884382824E-2</v>
      </c>
    </row>
    <row r="41" spans="1:49">
      <c r="A41" vm="11687">
        <f ca="1">DATA!A45</f>
        <v>45047</v>
      </c>
      <c r="B41">
        <f ca="1">(DATA!B45/DATA!B44)-1</f>
        <v>0.24112957215020381</v>
      </c>
      <c r="C41">
        <f ca="1">(DATA!C45/DATA!C44)-1</f>
        <v>4.4613389910419521E-2</v>
      </c>
      <c r="D41">
        <f ca="1">(DATA!D45/DATA!D44)-1</f>
        <v>0.13999260765108112</v>
      </c>
      <c r="E41">
        <f ca="1">(DATA!E45/DATA!E44)-1</f>
        <v>6.8769120614463386E-2</v>
      </c>
      <c r="F41">
        <f ca="1">(DATA!F45/DATA!F44)-1</f>
        <v>0.14348032242769082</v>
      </c>
      <c r="G41">
        <f ca="1">(DATA!G45/DATA!G44)-1</f>
        <v>0.14468045463014723</v>
      </c>
      <c r="H41">
        <f ca="1">(DATA!H45/DATA!H44)-1</f>
        <v>0.10153129161118524</v>
      </c>
      <c r="I41">
        <f ca="1">(DATA!I45/DATA!I44)-1</f>
        <v>-2.2736265408613732E-2</v>
      </c>
      <c r="J41">
        <f ca="1">(DATA!J45/DATA!J44)-1</f>
        <v>0.36343652023496364</v>
      </c>
      <c r="K41">
        <f ca="1">(DATA!K45/DATA!K44)-1</f>
        <v>-5.277947464874766E-2</v>
      </c>
      <c r="L41">
        <f ca="1">(DATA!L45/DATA!L44)-1</f>
        <v>-5.0272848365058187E-2</v>
      </c>
      <c r="M41">
        <f ca="1">(DATA!M45/DATA!M44)-1</f>
        <v>-8.8758153216523805E-2</v>
      </c>
      <c r="N41">
        <f ca="1">(DATA!N45/DATA!N44)-1</f>
        <v>-9.8559206649189157E-3</v>
      </c>
      <c r="O41">
        <f ca="1">(DATA!O45/DATA!O44)-1</f>
        <v>-5.6864310907034143E-2</v>
      </c>
      <c r="P41">
        <f ca="1">(DATA!P45/DATA!P44)-1</f>
        <v>-3.9496881825119012E-2</v>
      </c>
      <c r="Q41">
        <f ca="1">(DATA!Q45/DATA!Q44)-1</f>
        <v>-2.2370789406016889E-2</v>
      </c>
      <c r="R41">
        <f ca="1">(DATA!R45/DATA!R44)-1</f>
        <v>-6.9992205767732019E-2</v>
      </c>
      <c r="S41">
        <f ca="1">(DATA!S45/DATA!S44)-1</f>
        <v>-0.14185365853658538</v>
      </c>
      <c r="T41">
        <f ca="1">(DATA!T45/DATA!T44)-1</f>
        <v>0.19792077107265182</v>
      </c>
      <c r="U41">
        <f ca="1">(DATA!U45/DATA!U44)-1</f>
        <v>1.2234385061171915E-2</v>
      </c>
      <c r="V41">
        <f ca="1">(DATA!V45/DATA!V44)-1</f>
        <v>5.1216931216931272E-2</v>
      </c>
      <c r="W41">
        <f ca="1">(DATA!W45/DATA!W44)-1</f>
        <v>-0.13655568700354903</v>
      </c>
      <c r="X41">
        <f ca="1">(DATA!X45/DATA!X44)-1</f>
        <v>-0.10653695574801281</v>
      </c>
      <c r="Y41">
        <f ca="1">(DATA!Y45/DATA!Y44)-1</f>
        <v>-2.7156676496538301E-2</v>
      </c>
      <c r="Z41">
        <f ca="1">(DATA!Z45/DATA!Z44)-1</f>
        <v>-0.10979060554612341</v>
      </c>
      <c r="AA41">
        <f ca="1">(DATA!AA45/DATA!AA44)-1</f>
        <v>-8.241050733968569E-2</v>
      </c>
      <c r="AB41">
        <f ca="1">(DATA!AB45/DATA!AB44)-1</f>
        <v>-0.1693497474747474</v>
      </c>
      <c r="AC41">
        <f ca="1">(DATA!AC45/DATA!AC44)-1</f>
        <v>-3.5976331360946689E-2</v>
      </c>
      <c r="AD41">
        <f ca="1">(DATA!AD45/DATA!AD44)-1</f>
        <v>-0.14568203692361537</v>
      </c>
      <c r="AE41">
        <f ca="1">(DATA!AE45/DATA!AE44)-1</f>
        <v>-5.2229422574717743E-3</v>
      </c>
      <c r="AF41">
        <f ca="1">(DATA!AF45/DATA!AF44)-1</f>
        <v>1.7245471086148267E-2</v>
      </c>
      <c r="AG41">
        <f ca="1">(DATA!AG45/DATA!AG44)-1</f>
        <v>0.11845439189189189</v>
      </c>
      <c r="AH41">
        <f ca="1">(DATA!AH45/DATA!AH44)-1</f>
        <v>0.12607753188486148</v>
      </c>
      <c r="AI41">
        <f ca="1">(DATA!AI45/DATA!AI44)-1</f>
        <v>0.10655260091111352</v>
      </c>
      <c r="AJ41">
        <f ca="1">(DATA!AJ45/DATA!AJ44)-1</f>
        <v>0.32270336802058841</v>
      </c>
      <c r="AK41">
        <f ca="1">(DATA!AK45/DATA!AK44)-1</f>
        <v>-0.18434210526315786</v>
      </c>
      <c r="AL41">
        <f ca="1">(DATA!AL45/DATA!AL44)-1</f>
        <v>-6.5800296101332645E-3</v>
      </c>
      <c r="AM41">
        <f ca="1">(DATA!AM45/DATA!AM44)-1</f>
        <v>-5.5888223552894578E-3</v>
      </c>
      <c r="AN41">
        <f ca="1">(DATA!AN45/DATA!AN44)-1</f>
        <v>-5.8423624389207562E-2</v>
      </c>
      <c r="AO41">
        <f ca="1">(DATA!AO45/DATA!AO44)-1</f>
        <v>-5.0887978142076573E-2</v>
      </c>
      <c r="AP41">
        <f ca="1">(DATA!AP45/DATA!AP44)-1</f>
        <v>-1.830150462962965E-2</v>
      </c>
      <c r="AQ41">
        <f ca="1">(DATA!AQ45/DATA!AQ44)-1</f>
        <v>-5.689494525972516E-2</v>
      </c>
      <c r="AR41">
        <f ca="1">(DATA!AR45/DATA!AR44)-1</f>
        <v>-9.1252639768811705E-2</v>
      </c>
      <c r="AS41">
        <f ca="1">(DATA!AS45/DATA!AS44)-1</f>
        <v>1.5094339622641062E-3</v>
      </c>
      <c r="AT41">
        <f ca="1">(DATA!AT45/DATA!AT44)-1</f>
        <v>-0.12777129521586938</v>
      </c>
      <c r="AU41">
        <f ca="1">(DATA!AU45/DATA!AU44)-1</f>
        <v>-0.1700158478605388</v>
      </c>
      <c r="AV41">
        <f ca="1">(DATA!AV45/DATA!AV44)-1</f>
        <v>1.6573268153094123E-2</v>
      </c>
      <c r="AW41">
        <f ca="1">(DATA!AW45/DATA!AW44)-1</f>
        <v>-3.2237886734350241E-2</v>
      </c>
    </row>
    <row r="42" spans="1:49">
      <c r="A42" vm="11724">
        <f ca="1">DATA!A46</f>
        <v>45078</v>
      </c>
      <c r="B42">
        <f ca="1">(DATA!B46/DATA!B45)-1</f>
        <v>0.28362673466385502</v>
      </c>
      <c r="C42">
        <f ca="1">(DATA!C46/DATA!C45)-1</f>
        <v>9.4330042313117035E-2</v>
      </c>
      <c r="D42">
        <f ca="1">(DATA!D46/DATA!D45)-1</f>
        <v>-1.9453675934181791E-2</v>
      </c>
      <c r="E42">
        <f ca="1">(DATA!E46/DATA!E45)-1</f>
        <v>3.6998690581321103E-2</v>
      </c>
      <c r="F42">
        <f ca="1">(DATA!F46/DATA!F45)-1</f>
        <v>8.1107978105821932E-2</v>
      </c>
      <c r="G42">
        <f ca="1">(DATA!G46/DATA!G45)-1</f>
        <v>-2.5799625620574584E-2</v>
      </c>
      <c r="H42">
        <f ca="1">(DATA!H46/DATA!H45)-1</f>
        <v>8.4088848594741528E-2</v>
      </c>
      <c r="I42">
        <f ca="1">(DATA!I46/DATA!I45)-1</f>
        <v>6.2040612931356653E-2</v>
      </c>
      <c r="J42">
        <f ca="1">(DATA!J46/DATA!J45)-1</f>
        <v>0.11809483533329801</v>
      </c>
      <c r="K42">
        <f ca="1">(DATA!K46/DATA!K45)-1</f>
        <v>6.7457758287114755E-2</v>
      </c>
      <c r="L42">
        <f ca="1">(DATA!L46/DATA!L45)-1</f>
        <v>7.4424286295977859E-2</v>
      </c>
      <c r="M42">
        <f ca="1">(DATA!M46/DATA!M45)-1</f>
        <v>6.4842105263158034E-2</v>
      </c>
      <c r="N42">
        <f ca="1">(DATA!N46/DATA!N45)-1</f>
        <v>-1.3545685904277183E-2</v>
      </c>
      <c r="O42">
        <f ca="1">(DATA!O46/DATA!O45)-1</f>
        <v>9.5925207267595791E-2</v>
      </c>
      <c r="P42">
        <f ca="1">(DATA!P46/DATA!P45)-1</f>
        <v>7.7475206837981592E-2</v>
      </c>
      <c r="Q42">
        <f ca="1">(DATA!Q46/DATA!Q45)-1</f>
        <v>-3.5244608100999608E-2</v>
      </c>
      <c r="R42">
        <f ca="1">(DATA!R46/DATA!R45)-1</f>
        <v>9.3865236339256697E-3</v>
      </c>
      <c r="S42">
        <f ca="1">(DATA!S46/DATA!S45)-1</f>
        <v>1.5006821282401273E-2</v>
      </c>
      <c r="T42">
        <f ca="1">(DATA!T46/DATA!T45)-1</f>
        <v>0.11451559851225857</v>
      </c>
      <c r="U42">
        <f ca="1">(DATA!U46/DATA!U45)-1</f>
        <v>6.3613231552162697E-2</v>
      </c>
      <c r="V42">
        <f ca="1">(DATA!V46/DATA!V45)-1</f>
        <v>4.1675055365411717E-2</v>
      </c>
      <c r="W42">
        <f ca="1">(DATA!W46/DATA!W45)-1</f>
        <v>4.961832061068705E-2</v>
      </c>
      <c r="X42">
        <f ca="1">(DATA!X46/DATA!X45)-1</f>
        <v>4.4681981144602201E-2</v>
      </c>
      <c r="Y42">
        <f ca="1">(DATA!Y46/DATA!Y45)-1</f>
        <v>7.0197441794910498E-2</v>
      </c>
      <c r="Z42">
        <f ca="1">(DATA!Z46/DATA!Z45)-1</f>
        <v>1.3986013986013957E-2</v>
      </c>
      <c r="AA42">
        <f ca="1">(DATA!AA46/DATA!AA45)-1</f>
        <v>4.3783328655627063E-2</v>
      </c>
      <c r="AB42">
        <f ca="1">(DATA!AB46/DATA!AB45)-1</f>
        <v>4.8546456393691706E-2</v>
      </c>
      <c r="AC42">
        <f ca="1">(DATA!AC46/DATA!AC45)-1</f>
        <v>4.6648661919960865E-2</v>
      </c>
      <c r="AD42">
        <f ca="1">(DATA!AD46/DATA!AD45)-1</f>
        <v>1.4543219991806744E-2</v>
      </c>
      <c r="AE42">
        <f ca="1">(DATA!AE46/DATA!AE45)-1</f>
        <v>2.654350996596988E-2</v>
      </c>
      <c r="AF42">
        <f ca="1">(DATA!AF46/DATA!AF45)-1</f>
        <v>4.0594136402519521E-2</v>
      </c>
      <c r="AG42">
        <f ca="1">(DATA!AG46/DATA!AG45)-1</f>
        <v>0.1241268642627904</v>
      </c>
      <c r="AH42">
        <f ca="1">(DATA!AH46/DATA!AH45)-1</f>
        <v>-5.4257319366102674E-2</v>
      </c>
      <c r="AI42">
        <f ca="1">(DATA!AI46/DATA!AI45)-1</f>
        <v>0.17042054620742464</v>
      </c>
      <c r="AJ42">
        <f ca="1">(DATA!AJ46/DATA!AJ45)-1</f>
        <v>-3.637594112173248E-2</v>
      </c>
      <c r="AK42">
        <f ca="1">(DATA!AK46/DATA!AK45)-1</f>
        <v>7.6463945797709432E-2</v>
      </c>
      <c r="AL42">
        <f ca="1">(DATA!AL46/DATA!AL45)-1</f>
        <v>0.10233482364629887</v>
      </c>
      <c r="AM42">
        <f ca="1">(DATA!AM46/DATA!AM45)-1</f>
        <v>-1.5415495784825373E-2</v>
      </c>
      <c r="AN42">
        <f ca="1">(DATA!AN46/DATA!AN45)-1</f>
        <v>3.8808664259927683E-2</v>
      </c>
      <c r="AO42">
        <f ca="1">(DATA!AO46/DATA!AO45)-1</f>
        <v>3.2385750269881219E-2</v>
      </c>
      <c r="AP42">
        <f ca="1">(DATA!AP46/DATA!AP45)-1</f>
        <v>7.1697000957924972E-2</v>
      </c>
      <c r="AQ42">
        <f ca="1">(DATA!AQ46/DATA!AQ45)-1</f>
        <v>-4.1988267983944505E-3</v>
      </c>
      <c r="AR42">
        <f ca="1">(DATA!AR46/DATA!AR45)-1</f>
        <v>4.4520547945205546E-2</v>
      </c>
      <c r="AS42">
        <f ca="1">(DATA!AS46/DATA!AS45)-1</f>
        <v>7.2092439085656768E-2</v>
      </c>
      <c r="AT42">
        <f ca="1">(DATA!AT46/DATA!AT45)-1</f>
        <v>0.10501672240802673</v>
      </c>
      <c r="AU42">
        <f ca="1">(DATA!AU46/DATA!AU45)-1</f>
        <v>7.408538913923568E-3</v>
      </c>
      <c r="AV42">
        <f ca="1">(DATA!AV46/DATA!AV45)-1</f>
        <v>5.2427867698803698E-2</v>
      </c>
      <c r="AW42">
        <f ca="1">(DATA!AW46/DATA!AW45)-1</f>
        <v>0.12215979714612435</v>
      </c>
    </row>
    <row r="43" spans="1:49">
      <c r="A43" vm="11764">
        <f ca="1">DATA!A47</f>
        <v>45108</v>
      </c>
      <c r="B43">
        <f ca="1">(DATA!B47/DATA!B46)-1</f>
        <v>2.1622034610536023E-2</v>
      </c>
      <c r="C43">
        <f ca="1">(DATA!C47/DATA!C46)-1</f>
        <v>1.2785482291075789E-2</v>
      </c>
      <c r="D43">
        <f ca="1">(DATA!D47/DATA!D46)-1</f>
        <v>0.10035546003141294</v>
      </c>
      <c r="E43">
        <f ca="1">(DATA!E47/DATA!E46)-1</f>
        <v>-1.3566688201092414E-2</v>
      </c>
      <c r="F43">
        <f ca="1">(DATA!F47/DATA!F46)-1</f>
        <v>2.5467934949370941E-2</v>
      </c>
      <c r="G43">
        <f ca="1">(DATA!G47/DATA!G46)-1</f>
        <v>0.1087719298245613</v>
      </c>
      <c r="H43">
        <f ca="1">(DATA!H47/DATA!H46)-1</f>
        <v>0.11018189420865565</v>
      </c>
      <c r="I43">
        <f ca="1">(DATA!I47/DATA!I46)-1</f>
        <v>3.2140762463342964E-2</v>
      </c>
      <c r="J43">
        <f ca="1">(DATA!J47/DATA!J46)-1</f>
        <v>0.10465226230438285</v>
      </c>
      <c r="K43">
        <f ca="1">(DATA!K47/DATA!K46)-1</f>
        <v>1.2143547607539773E-2</v>
      </c>
      <c r="L43">
        <f ca="1">(DATA!L47/DATA!L46)-1</f>
        <v>1.0527202290719906E-3</v>
      </c>
      <c r="M43">
        <f ca="1">(DATA!M47/DATA!M46)-1</f>
        <v>3.0051403716884195E-2</v>
      </c>
      <c r="N43">
        <f ca="1">(DATA!N47/DATA!N46)-1</f>
        <v>5.353278961384822E-2</v>
      </c>
      <c r="O43">
        <f ca="1">(DATA!O47/DATA!O46)-1</f>
        <v>7.4684522276590171E-2</v>
      </c>
      <c r="P43">
        <f ca="1">(DATA!P47/DATA!P46)-1</f>
        <v>2.4917365878462938E-3</v>
      </c>
      <c r="Q43">
        <f ca="1">(DATA!Q47/DATA!Q46)-1</f>
        <v>-1.6902944383860308E-2</v>
      </c>
      <c r="R43">
        <f ca="1">(DATA!R47/DATA!R46)-1</f>
        <v>2.8395881766854814E-2</v>
      </c>
      <c r="S43">
        <f ca="1">(DATA!S47/DATA!S46)-1</f>
        <v>-4.368279569892497E-3</v>
      </c>
      <c r="T43">
        <f ca="1">(DATA!T47/DATA!T46)-1</f>
        <v>-3.4507026266202834E-3</v>
      </c>
      <c r="U43">
        <f ca="1">(DATA!U47/DATA!U46)-1</f>
        <v>6.967703349282317E-2</v>
      </c>
      <c r="V43">
        <f ca="1">(DATA!V47/DATA!V46)-1</f>
        <v>5.7982218786238882E-3</v>
      </c>
      <c r="W43">
        <f ca="1">(DATA!W47/DATA!W46)-1</f>
        <v>-9.3240093240187782E-5</v>
      </c>
      <c r="X43">
        <f ca="1">(DATA!X47/DATA!X46)-1</f>
        <v>4.0101684143628802E-2</v>
      </c>
      <c r="Y43">
        <f ca="1">(DATA!Y47/DATA!Y46)-1</f>
        <v>1.7050052678994065E-2</v>
      </c>
      <c r="Z43">
        <f ca="1">(DATA!Z47/DATA!Z46)-1</f>
        <v>-8.9655172413793061E-2</v>
      </c>
      <c r="AA43">
        <f ca="1">(DATA!AA47/DATA!AA46)-1</f>
        <v>-8.3624630276956213E-2</v>
      </c>
      <c r="AB43">
        <f ca="1">(DATA!AB47/DATA!AB46)-1</f>
        <v>1.8120866177406825E-4</v>
      </c>
      <c r="AC43">
        <f ca="1">(DATA!AC47/DATA!AC46)-1</f>
        <v>-1.7459200428940225E-2</v>
      </c>
      <c r="AD43">
        <f ca="1">(DATA!AD47/DATA!AD46)-1</f>
        <v>2.5338178881485929E-2</v>
      </c>
      <c r="AE43">
        <f ca="1">(DATA!AE47/DATA!AE46)-1</f>
        <v>0.1311327903011934</v>
      </c>
      <c r="AF43">
        <f ca="1">(DATA!AF47/DATA!AF46)-1</f>
        <v>7.7497944847171318E-2</v>
      </c>
      <c r="AG43">
        <f ca="1">(DATA!AG47/DATA!AG46)-1</f>
        <v>-1.5618439835418552E-2</v>
      </c>
      <c r="AH43">
        <f ca="1">(DATA!AH47/DATA!AH46)-1</f>
        <v>6.5085676417684368E-2</v>
      </c>
      <c r="AI43">
        <f ca="1">(DATA!AI47/DATA!AI46)-1</f>
        <v>0.1169349066443075</v>
      </c>
      <c r="AJ43">
        <f ca="1">(DATA!AJ47/DATA!AJ46)-1</f>
        <v>4.3016416469143781E-3</v>
      </c>
      <c r="AK43">
        <f ca="1">(DATA!AK47/DATA!AK46)-1</f>
        <v>0.13622059043908274</v>
      </c>
      <c r="AL43">
        <f ca="1">(DATA!AL47/DATA!AL46)-1</f>
        <v>0.20970407090280929</v>
      </c>
      <c r="AM43">
        <f ca="1">(DATA!AM47/DATA!AM46)-1</f>
        <v>1.728777623746236E-2</v>
      </c>
      <c r="AN43">
        <f ca="1">(DATA!AN47/DATA!AN46)-1</f>
        <v>3.5186794092093798E-2</v>
      </c>
      <c r="AO43">
        <f ca="1">(DATA!AO47/DATA!AO46)-1</f>
        <v>0.11537120948065516</v>
      </c>
      <c r="AP43">
        <f ca="1">(DATA!AP47/DATA!AP46)-1</f>
        <v>8.6083608360836061E-2</v>
      </c>
      <c r="AQ43">
        <f ca="1">(DATA!AQ47/DATA!AQ46)-1</f>
        <v>0.10333602033856271</v>
      </c>
      <c r="AR43">
        <f ca="1">(DATA!AR47/DATA!AR46)-1</f>
        <v>7.2131147540983598E-2</v>
      </c>
      <c r="AS43">
        <f ca="1">(DATA!AS47/DATA!AS46)-1</f>
        <v>8.153701968134941E-2</v>
      </c>
      <c r="AT43">
        <f ca="1">(DATA!AT47/DATA!AT46)-1</f>
        <v>0.20096852300242141</v>
      </c>
      <c r="AU43">
        <f ca="1">(DATA!AU47/DATA!AU46)-1</f>
        <v>3.4647460197118951E-2</v>
      </c>
      <c r="AV43">
        <f ca="1">(DATA!AV47/DATA!AV46)-1</f>
        <v>4.1401983728964531E-2</v>
      </c>
      <c r="AW43">
        <f ca="1">(DATA!AW47/DATA!AW46)-1</f>
        <v>3.797075764288893E-2</v>
      </c>
    </row>
    <row r="44" spans="1:49">
      <c r="A44" vm="11801">
        <f ca="1">DATA!A48</f>
        <v>45139</v>
      </c>
      <c r="B44">
        <f ca="1">(DATA!B48/DATA!B47)-1</f>
        <v>-3.4962420072542466E-2</v>
      </c>
      <c r="C44">
        <f ca="1">(DATA!C48/DATA!C47)-1</f>
        <v>-4.3675235428862202E-2</v>
      </c>
      <c r="D44">
        <f ca="1">(DATA!D48/DATA!D47)-1</f>
        <v>3.1853354368567288E-2</v>
      </c>
      <c r="E44">
        <f ca="1">(DATA!E48/DATA!E47)-1</f>
        <v>-2.429149797570862E-2</v>
      </c>
      <c r="F44">
        <f ca="1">(DATA!F48/DATA!F47)-1</f>
        <v>3.2390783961699476E-2</v>
      </c>
      <c r="G44">
        <f ca="1">(DATA!G48/DATA!G47)-1</f>
        <v>2.5994575045207968E-2</v>
      </c>
      <c r="H44">
        <f ca="1">(DATA!H48/DATA!H47)-1</f>
        <v>-7.1280602636534907E-2</v>
      </c>
      <c r="I44">
        <f ca="1">(DATA!I48/DATA!I47)-1</f>
        <v>2.3411751335379094E-2</v>
      </c>
      <c r="J44">
        <f ca="1">(DATA!J48/DATA!J47)-1</f>
        <v>5.6196366282180277E-2</v>
      </c>
      <c r="K44">
        <f ca="1">(DATA!K48/DATA!K47)-1</f>
        <v>-3.4919118963767648E-2</v>
      </c>
      <c r="L44">
        <f ca="1">(DATA!L48/DATA!L47)-1</f>
        <v>3.3441298952593401E-2</v>
      </c>
      <c r="M44">
        <f ca="1">(DATA!M48/DATA!M47)-1</f>
        <v>-1.2539987204094771E-2</v>
      </c>
      <c r="N44">
        <f ca="1">(DATA!N48/DATA!N47)-1</f>
        <v>-5.8830499437170447E-2</v>
      </c>
      <c r="O44">
        <f ca="1">(DATA!O48/DATA!O47)-1</f>
        <v>-1.0603882099209039E-2</v>
      </c>
      <c r="P44">
        <f ca="1">(DATA!P48/DATA!P47)-1</f>
        <v>4.6565892259308184E-2</v>
      </c>
      <c r="Q44">
        <f ca="1">(DATA!Q48/DATA!Q47)-1</f>
        <v>-1.8857459789240139E-2</v>
      </c>
      <c r="R44">
        <f ca="1">(DATA!R48/DATA!R47)-1</f>
        <v>-3.3909252381721267E-2</v>
      </c>
      <c r="S44">
        <f ca="1">(DATA!S48/DATA!S47)-1</f>
        <v>-5.8611767352908073E-2</v>
      </c>
      <c r="T44">
        <f ca="1">(DATA!T48/DATA!T47)-1</f>
        <v>-1.2050937421691721E-2</v>
      </c>
      <c r="U44">
        <f ca="1">(DATA!U48/DATA!U47)-1</f>
        <v>-1.7612524461839585E-2</v>
      </c>
      <c r="V44">
        <f ca="1">(DATA!V48/DATA!V47)-1</f>
        <v>0.10203689469638744</v>
      </c>
      <c r="W44">
        <f ca="1">(DATA!W48/DATA!W47)-1</f>
        <v>3.6833271167474813E-2</v>
      </c>
      <c r="X44">
        <f ca="1">(DATA!X48/DATA!X47)-1</f>
        <v>-1.5642185017719634E-2</v>
      </c>
      <c r="Y44">
        <f ca="1">(DATA!Y48/DATA!Y47)-1</f>
        <v>1.720336072634332E-2</v>
      </c>
      <c r="Z44">
        <f ca="1">(DATA!Z48/DATA!Z47)-1</f>
        <v>1.8595041322313932E-2</v>
      </c>
      <c r="AA44">
        <f ca="1">(DATA!AA48/DATA!AA47)-1</f>
        <v>2.6408450704225261E-2</v>
      </c>
      <c r="AB44">
        <f ca="1">(DATA!AB48/DATA!AB47)-1</f>
        <v>-7.8630310716550467E-2</v>
      </c>
      <c r="AC44">
        <f ca="1">(DATA!AC48/DATA!AC47)-1</f>
        <v>-4.1098226466575793E-2</v>
      </c>
      <c r="AD44">
        <f ca="1">(DATA!AD48/DATA!AD47)-1</f>
        <v>-4.066161268090962E-2</v>
      </c>
      <c r="AE44">
        <f ca="1">(DATA!AE48/DATA!AE47)-1</f>
        <v>-6.2047310027213753E-2</v>
      </c>
      <c r="AF44">
        <f ca="1">(DATA!AF48/DATA!AF47)-1</f>
        <v>1.8379803023997887E-2</v>
      </c>
      <c r="AG44">
        <f ca="1">(DATA!AG48/DATA!AG47)-1</f>
        <v>2.6955557451164402E-2</v>
      </c>
      <c r="AH44">
        <f ca="1">(DATA!AH48/DATA!AH47)-1</f>
        <v>-1.5777076574374438E-2</v>
      </c>
      <c r="AI44">
        <f ca="1">(DATA!AI48/DATA!AI47)-1</f>
        <v>2.4113371294651964E-2</v>
      </c>
      <c r="AJ44">
        <f ca="1">(DATA!AJ48/DATA!AJ47)-1</f>
        <v>-7.5874125874125897E-2</v>
      </c>
      <c r="AK44">
        <f ca="1">(DATA!AK48/DATA!AK47)-1</f>
        <v>-0.1755473489844368</v>
      </c>
      <c r="AL44">
        <f ca="1">(DATA!AL48/DATA!AL47)-1</f>
        <v>-0.28411772010430902</v>
      </c>
      <c r="AM44">
        <f ca="1">(DATA!AM48/DATA!AM47)-1</f>
        <v>-4.4088176352705677E-3</v>
      </c>
      <c r="AN44">
        <f ca="1">(DATA!AN48/DATA!AN47)-1</f>
        <v>-0.13365505665127986</v>
      </c>
      <c r="AO44">
        <f ca="1">(DATA!AO48/DATA!AO47)-1</f>
        <v>-0.10406249999999995</v>
      </c>
      <c r="AP44">
        <f ca="1">(DATA!AP48/DATA!AP47)-1</f>
        <v>-7.3626234489744258E-2</v>
      </c>
      <c r="AQ44">
        <f ca="1">(DATA!AQ48/DATA!AQ47)-1</f>
        <v>-7.9130019389102801E-2</v>
      </c>
      <c r="AR44">
        <f ca="1">(DATA!AR48/DATA!AR47)-1</f>
        <v>-7.000873743993008E-2</v>
      </c>
      <c r="AS44">
        <f ca="1">(DATA!AS48/DATA!AS47)-1</f>
        <v>-0.10550259965337949</v>
      </c>
      <c r="AT44">
        <f ca="1">(DATA!AT48/DATA!AT47)-1</f>
        <v>-7.9385080645161255E-2</v>
      </c>
      <c r="AU44">
        <f ca="1">(DATA!AU48/DATA!AU47)-1</f>
        <v>-7.268996849124354E-2</v>
      </c>
      <c r="AV44">
        <f ca="1">(DATA!AV48/DATA!AV47)-1</f>
        <v>-2.0314980291436968E-2</v>
      </c>
      <c r="AW44">
        <f ca="1">(DATA!AW48/DATA!AW47)-1</f>
        <v>-1.6177914372305535E-2</v>
      </c>
    </row>
    <row r="45" spans="1:49">
      <c r="A45" vm="11833">
        <f ca="1">DATA!A49</f>
        <v>45170</v>
      </c>
      <c r="B45">
        <f ca="1">(DATA!B49/DATA!B48)-1</f>
        <v>-3.0455672659640332E-2</v>
      </c>
      <c r="C45">
        <f ca="1">(DATA!C49/DATA!C48)-1</f>
        <v>-8.8678341406291605E-2</v>
      </c>
      <c r="D45">
        <f ca="1">(DATA!D49/DATA!D48)-1</f>
        <v>-4.004368401892977E-2</v>
      </c>
      <c r="E45">
        <f ca="1">(DATA!E49/DATA!E48)-1</f>
        <v>-3.6642665364901128E-2</v>
      </c>
      <c r="F45">
        <f ca="1">(DATA!F49/DATA!F48)-1</f>
        <v>-7.8907325556119012E-2</v>
      </c>
      <c r="G45">
        <f ca="1">(DATA!G49/DATA!G48)-1</f>
        <v>-3.8995373430270819E-2</v>
      </c>
      <c r="H45">
        <f ca="1">(DATA!H49/DATA!H48)-1</f>
        <v>1.4600020277805825E-2</v>
      </c>
      <c r="I45">
        <f ca="1">(DATA!I49/DATA!I48)-1</f>
        <v>-2.7484730705163773E-2</v>
      </c>
      <c r="J45">
        <f ca="1">(DATA!J49/DATA!J48)-1</f>
        <v>-0.11865059264512201</v>
      </c>
      <c r="K45">
        <f ca="1">(DATA!K49/DATA!K48)-1</f>
        <v>-3.667738743196447E-2</v>
      </c>
      <c r="L45">
        <f ca="1">(DATA!L49/DATA!L48)-1</f>
        <v>-6.3782155649625638E-2</v>
      </c>
      <c r="M45">
        <f ca="1">(DATA!M49/DATA!M48)-1</f>
        <v>-5.4943630944667587E-2</v>
      </c>
      <c r="N45">
        <f ca="1">(DATA!N49/DATA!N48)-1</f>
        <v>5.7933610306769134E-2</v>
      </c>
      <c r="O45">
        <f ca="1">(DATA!O49/DATA!O48)-1</f>
        <v>-8.5195277020890026E-2</v>
      </c>
      <c r="P45">
        <f ca="1">(DATA!P49/DATA!P48)-1</f>
        <v>-4.0543815432337982E-2</v>
      </c>
      <c r="Q45">
        <f ca="1">(DATA!Q49/DATA!Q48)-1</f>
        <v>-6.2464669304691967E-2</v>
      </c>
      <c r="R45">
        <f ca="1">(DATA!R49/DATA!R48)-1</f>
        <v>-6.4348988801604556E-2</v>
      </c>
      <c r="S45">
        <f ca="1">(DATA!S49/DATA!S48)-1</f>
        <v>-3.1429254302103415E-2</v>
      </c>
      <c r="T45">
        <f ca="1">(DATA!T49/DATA!T48)-1</f>
        <v>-0.12931193506733074</v>
      </c>
      <c r="U45">
        <f ca="1">(DATA!U49/DATA!U48)-1</f>
        <v>1.1667615253272423E-2</v>
      </c>
      <c r="V45">
        <f ca="1">(DATA!V49/DATA!V48)-1</f>
        <v>-6.2598081952920714E-2</v>
      </c>
      <c r="W45">
        <f ca="1">(DATA!W49/DATA!W48)-1</f>
        <v>5.7469196870222117E-2</v>
      </c>
      <c r="X45">
        <f ca="1">(DATA!X49/DATA!X48)-1</f>
        <v>4.6679081315952997E-2</v>
      </c>
      <c r="Y45">
        <f ca="1">(DATA!Y49/DATA!Y48)-1</f>
        <v>-1.6480698414104156E-2</v>
      </c>
      <c r="Z45">
        <f ca="1">(DATA!Z49/DATA!Z48)-1</f>
        <v>1.5551048005409074E-2</v>
      </c>
      <c r="AA45">
        <f ca="1">(DATA!AA49/DATA!AA48)-1</f>
        <v>-7.3470554602630078E-2</v>
      </c>
      <c r="AB45">
        <f ca="1">(DATA!AB49/DATA!AB48)-1</f>
        <v>-5.9876118375774112E-2</v>
      </c>
      <c r="AC45">
        <f ca="1">(DATA!AC49/DATA!AC48)-1</f>
        <v>-6.2991285790503171E-2</v>
      </c>
      <c r="AD45">
        <f ca="1">(DATA!AD49/DATA!AD48)-1</f>
        <v>-6.3321018062397427E-2</v>
      </c>
      <c r="AE45">
        <f ca="1">(DATA!AE49/DATA!AE48)-1</f>
        <v>-0.14440030353077715</v>
      </c>
      <c r="AF45">
        <f ca="1">(DATA!AF49/DATA!AF48)-1</f>
        <v>-4.4473200299666282E-2</v>
      </c>
      <c r="AG45">
        <f ca="1">(DATA!AG49/DATA!AG48)-1</f>
        <v>-0.12019270703546803</v>
      </c>
      <c r="AH45">
        <f ca="1">(DATA!AH49/DATA!AH48)-1</f>
        <v>-8.4349318161293318E-2</v>
      </c>
      <c r="AI45">
        <f ca="1">(DATA!AI49/DATA!AI48)-1</f>
        <v>-8.8389888082382906E-2</v>
      </c>
      <c r="AJ45">
        <f ca="1">(DATA!AJ49/DATA!AJ48)-1</f>
        <v>-2.7430949678395766E-2</v>
      </c>
      <c r="AK45">
        <f ca="1">(DATA!AK49/DATA!AK48)-1</f>
        <v>-6.4789633658614565E-2</v>
      </c>
      <c r="AL45">
        <f ca="1">(DATA!AL49/DATA!AL48)-1</f>
        <v>-0.23226366001734611</v>
      </c>
      <c r="AM45">
        <f ca="1">(DATA!AM49/DATA!AM48)-1</f>
        <v>-9.6537842190016154E-2</v>
      </c>
      <c r="AN45">
        <f ca="1">(DATA!AN49/DATA!AN48)-1</f>
        <v>-3.8750302736739739E-3</v>
      </c>
      <c r="AO45">
        <f ca="1">(DATA!AO49/DATA!AO48)-1</f>
        <v>-4.4994768050226841E-2</v>
      </c>
      <c r="AP45">
        <f ca="1">(DATA!AP49/DATA!AP48)-1</f>
        <v>-8.952367935488259E-3</v>
      </c>
      <c r="AQ45">
        <f ca="1">(DATA!AQ49/DATA!AQ48)-1</f>
        <v>-1.2633120747001847E-2</v>
      </c>
      <c r="AR45">
        <f ca="1">(DATA!AR49/DATA!AR48)-1</f>
        <v>-4.0869054609512623E-2</v>
      </c>
      <c r="AS45">
        <f ca="1">(DATA!AS49/DATA!AS48)-1</f>
        <v>-1.0414143860498881E-2</v>
      </c>
      <c r="AT45">
        <f ca="1">(DATA!AT49/DATA!AT48)-1</f>
        <v>-9.4990418833835188E-2</v>
      </c>
      <c r="AU45">
        <f ca="1">(DATA!AU49/DATA!AU48)-1</f>
        <v>-0.12627419992097988</v>
      </c>
      <c r="AV45">
        <f ca="1">(DATA!AV49/DATA!AV48)-1</f>
        <v>2.854646082143919E-2</v>
      </c>
      <c r="AW45">
        <f ca="1">(DATA!AW49/DATA!AW48)-1</f>
        <v>-9.8229781325928411E-2</v>
      </c>
    </row>
    <row r="46" spans="1:49">
      <c r="A46" vm="11872">
        <f ca="1">DATA!A50</f>
        <v>45200</v>
      </c>
      <c r="B46">
        <f ca="1">(DATA!B50/DATA!B49)-1</f>
        <v>-0.197346335225002</v>
      </c>
      <c r="C46">
        <f ca="1">(DATA!C50/DATA!C49)-1</f>
        <v>-2.5699433444308362E-3</v>
      </c>
      <c r="D46">
        <f ca="1">(DATA!D50/DATA!D49)-1</f>
        <v>-4.9677664012135025E-2</v>
      </c>
      <c r="E46">
        <f ca="1">(DATA!E50/DATA!E49)-1</f>
        <v>7.0815518606492489E-2</v>
      </c>
      <c r="F46">
        <f ca="1">(DATA!F50/DATA!F49)-1</f>
        <v>4.6963499056010161E-2</v>
      </c>
      <c r="G46">
        <f ca="1">(DATA!G50/DATA!G49)-1</f>
        <v>-5.1811095827602127E-2</v>
      </c>
      <c r="H46">
        <f ca="1">(DATA!H50/DATA!H49)-1</f>
        <v>3.5308617301221812E-3</v>
      </c>
      <c r="I46">
        <f ca="1">(DATA!I50/DATA!I49)-1</f>
        <v>-2.5606622894661757E-2</v>
      </c>
      <c r="J46">
        <f ca="1">(DATA!J50/DATA!J49)-1</f>
        <v>-6.2507184073197108E-2</v>
      </c>
      <c r="K46">
        <f ca="1">(DATA!K50/DATA!K49)-1</f>
        <v>-4.7576243980738342E-2</v>
      </c>
      <c r="L46">
        <f ca="1">(DATA!L50/DATA!L49)-1</f>
        <v>2.2129472631624791E-2</v>
      </c>
      <c r="M46">
        <f ca="1">(DATA!M50/DATA!M49)-1</f>
        <v>2.8589058000822565E-2</v>
      </c>
      <c r="N46">
        <f ca="1">(DATA!N50/DATA!N49)-1</f>
        <v>6.2218608064420033E-2</v>
      </c>
      <c r="O46">
        <f ca="1">(DATA!O50/DATA!O49)-1</f>
        <v>-5.7817050569234918E-2</v>
      </c>
      <c r="P46">
        <f ca="1">(DATA!P50/DATA!P49)-1</f>
        <v>-4.940516784117599E-2</v>
      </c>
      <c r="Q46">
        <f ca="1">(DATA!Q50/DATA!Q49)-1</f>
        <v>-7.8685559240277425E-2</v>
      </c>
      <c r="R46">
        <f ca="1">(DATA!R50/DATA!R49)-1</f>
        <v>9.1103965702037382E-3</v>
      </c>
      <c r="S46">
        <f ca="1">(DATA!S50/DATA!S49)-1</f>
        <v>6.6625539790252652E-3</v>
      </c>
      <c r="T46">
        <f ca="1">(DATA!T50/DATA!T49)-1</f>
        <v>9.0280720338983045E-2</v>
      </c>
      <c r="U46">
        <f ca="1">(DATA!U50/DATA!U49)-1</f>
        <v>2.6722925457102864E-2</v>
      </c>
      <c r="V46">
        <f ca="1">(DATA!V50/DATA!V49)-1</f>
        <v>-3.0319940476190355E-2</v>
      </c>
      <c r="W46">
        <f ca="1">(DATA!W50/DATA!W49)-1</f>
        <v>-9.9761864262629785E-2</v>
      </c>
      <c r="X46">
        <f ca="1">(DATA!X50/DATA!X49)-1</f>
        <v>-0.13574902146839052</v>
      </c>
      <c r="Y46">
        <f ca="1">(DATA!Y50/DATA!Y49)-1</f>
        <v>2.1759723876607184E-2</v>
      </c>
      <c r="Z46">
        <f ca="1">(DATA!Z50/DATA!Z49)-1</f>
        <v>2.5299600532623145E-2</v>
      </c>
      <c r="AA46">
        <f ca="1">(DATA!AA50/DATA!AA49)-1</f>
        <v>8.3924714594261207E-2</v>
      </c>
      <c r="AB46">
        <f ca="1">(DATA!AB50/DATA!AB49)-1</f>
        <v>7.4775151641915727E-2</v>
      </c>
      <c r="AC46">
        <f ca="1">(DATA!AC50/DATA!AC49)-1</f>
        <v>-4.8208320680229733E-3</v>
      </c>
      <c r="AD46">
        <f ca="1">(DATA!AD50/DATA!AD49)-1</f>
        <v>1.0627807603812878E-2</v>
      </c>
      <c r="AE46">
        <f ca="1">(DATA!AE50/DATA!AE49)-1</f>
        <v>-2.5354757929883176E-2</v>
      </c>
      <c r="AF46">
        <f ca="1">(DATA!AF50/DATA!AF49)-1</f>
        <v>3.0933713471133162E-2</v>
      </c>
      <c r="AG46">
        <f ca="1">(DATA!AG50/DATA!AG49)-1</f>
        <v>-2.3791540785498499E-2</v>
      </c>
      <c r="AH46">
        <f ca="1">(DATA!AH50/DATA!AH49)-1</f>
        <v>-9.6163329716933976E-3</v>
      </c>
      <c r="AI46">
        <f ca="1">(DATA!AI50/DATA!AI49)-1</f>
        <v>4.3459501863110317E-2</v>
      </c>
      <c r="AJ46">
        <f ca="1">(DATA!AJ50/DATA!AJ49)-1</f>
        <v>-4.2015172145496882E-2</v>
      </c>
      <c r="AK46">
        <f ca="1">(DATA!AK50/DATA!AK49)-1</f>
        <v>-0.11392405063291144</v>
      </c>
      <c r="AL46">
        <f ca="1">(DATA!AL50/DATA!AL49)-1</f>
        <v>-9.0600994125621281E-2</v>
      </c>
      <c r="AM46">
        <f ca="1">(DATA!AM50/DATA!AM49)-1</f>
        <v>-0.10212993494340961</v>
      </c>
      <c r="AN46">
        <f ca="1">(DATA!AN50/DATA!AN49)-1</f>
        <v>-3.9873571602236813E-2</v>
      </c>
      <c r="AO46">
        <f ca="1">(DATA!AO50/DATA!AO49)-1</f>
        <v>-3.7983929875821776E-2</v>
      </c>
      <c r="AP46">
        <f ca="1">(DATA!AP50/DATA!AP49)-1</f>
        <v>-4.1097779616604657E-2</v>
      </c>
      <c r="AQ46">
        <f ca="1">(DATA!AQ50/DATA!AQ49)-1</f>
        <v>-6.1686806564267282E-2</v>
      </c>
      <c r="AR46">
        <f ca="1">(DATA!AR50/DATA!AR49)-1</f>
        <v>-0.13285172033794546</v>
      </c>
      <c r="AS46">
        <f ca="1">(DATA!AS50/DATA!AS49)-1</f>
        <v>-2.6676456191874642E-2</v>
      </c>
      <c r="AT46">
        <f ca="1">(DATA!AT50/DATA!AT49)-1</f>
        <v>-3.5692679975801722E-2</v>
      </c>
      <c r="AU46">
        <f ca="1">(DATA!AU50/DATA!AU49)-1</f>
        <v>1.9896897892739407E-3</v>
      </c>
      <c r="AV46">
        <f ca="1">(DATA!AV50/DATA!AV49)-1</f>
        <v>-2.2160860945907634E-2</v>
      </c>
      <c r="AW46">
        <f ca="1">(DATA!AW50/DATA!AW49)-1</f>
        <v>-8.309276366435725E-2</v>
      </c>
    </row>
    <row r="47" spans="1:49">
      <c r="A47" vm="11906">
        <f ca="1">DATA!A51</f>
        <v>45231</v>
      </c>
      <c r="B47">
        <f ca="1">(DATA!B51/DATA!B50)-1</f>
        <v>0.19537940649273056</v>
      </c>
      <c r="C47">
        <f ca="1">(DATA!C51/DATA!C50)-1</f>
        <v>0.1123148093927504</v>
      </c>
      <c r="D47">
        <f ca="1">(DATA!D51/DATA!D50)-1</f>
        <v>6.8794892258579265E-2</v>
      </c>
      <c r="E47">
        <f ca="1">(DATA!E51/DATA!E50)-1</f>
        <v>0.1206707876134987</v>
      </c>
      <c r="F47">
        <f ca="1">(DATA!F51/DATA!F50)-1</f>
        <v>9.7678262829664186E-2</v>
      </c>
      <c r="G47">
        <f ca="1">(DATA!G51/DATA!G50)-1</f>
        <v>6.8101225016118594E-2</v>
      </c>
      <c r="H47">
        <f ca="1">(DATA!H51/DATA!H50)-1</f>
        <v>8.5903010588508577E-2</v>
      </c>
      <c r="I47">
        <f ca="1">(DATA!I51/DATA!I50)-1</f>
        <v>5.4697799783200995E-2</v>
      </c>
      <c r="J47">
        <f ca="1">(DATA!J51/DATA!J50)-1</f>
        <v>0.14688572829818547</v>
      </c>
      <c r="K47">
        <f ca="1">(DATA!K51/DATA!K50)-1</f>
        <v>4.2604826749359503E-2</v>
      </c>
      <c r="L47">
        <f ca="1">(DATA!L51/DATA!L50)-1</f>
        <v>9.1790727350063772E-2</v>
      </c>
      <c r="M47">
        <f ca="1">(DATA!M51/DATA!M50)-1</f>
        <v>2.3262014263814024E-2</v>
      </c>
      <c r="N47">
        <f ca="1">(DATA!N51/DATA!N50)-1</f>
        <v>3.2508028979012726E-2</v>
      </c>
      <c r="O47">
        <f ca="1">(DATA!O51/DATA!O50)-1</f>
        <v>0.101162668165373</v>
      </c>
      <c r="P47">
        <f ca="1">(DATA!P51/DATA!P50)-1</f>
        <v>9.9588149329081777E-2</v>
      </c>
      <c r="Q47">
        <f ca="1">(DATA!Q51/DATA!Q50)-1</f>
        <v>-2.9450261780105125E-3</v>
      </c>
      <c r="R47">
        <f ca="1">(DATA!R51/DATA!R50)-1</f>
        <v>3.4519383961763017E-2</v>
      </c>
      <c r="S47">
        <f ca="1">(DATA!S51/DATA!S50)-1</f>
        <v>0.13604608407893126</v>
      </c>
      <c r="T47">
        <f ca="1">(DATA!T51/DATA!T50)-1</f>
        <v>0.15127887488158565</v>
      </c>
      <c r="U47">
        <f ca="1">(DATA!U51/DATA!U50)-1</f>
        <v>0.22465753424657553</v>
      </c>
      <c r="V47">
        <f ca="1">(DATA!V51/DATA!V50)-1</f>
        <v>-7.1935545751007135E-2</v>
      </c>
      <c r="W47">
        <f ca="1">(DATA!W51/DATA!W50)-1</f>
        <v>-2.938119981105336E-2</v>
      </c>
      <c r="X47">
        <f ca="1">(DATA!X51/DATA!X50)-1</f>
        <v>-1.4616070815892335E-2</v>
      </c>
      <c r="Y47">
        <f ca="1">(DATA!Y51/DATA!Y50)-1</f>
        <v>-4.7244788367802104E-2</v>
      </c>
      <c r="Z47">
        <f ca="1">(DATA!Z51/DATA!Z50)-1</f>
        <v>7.5974025974026027E-2</v>
      </c>
      <c r="AA47">
        <f ca="1">(DATA!AA51/DATA!AA50)-1</f>
        <v>9.1090236265300106E-2</v>
      </c>
      <c r="AB47">
        <f ca="1">(DATA!AB51/DATA!AB50)-1</f>
        <v>7.2978495669942633E-2</v>
      </c>
      <c r="AC47">
        <f ca="1">(DATA!AC51/DATA!AC50)-1</f>
        <v>7.5027653812411721E-2</v>
      </c>
      <c r="AD47">
        <f ca="1">(DATA!AD51/DATA!AD50)-1</f>
        <v>7.6539462272332992E-2</v>
      </c>
      <c r="AE47">
        <f ca="1">(DATA!AE51/DATA!AE50)-1</f>
        <v>0.23985654640830756</v>
      </c>
      <c r="AF47">
        <f ca="1">(DATA!AF51/DATA!AF50)-1</f>
        <v>9.6238938053097467E-2</v>
      </c>
      <c r="AG47">
        <f ca="1">(DATA!AG51/DATA!AG50)-1</f>
        <v>0.12388781431334617</v>
      </c>
      <c r="AH47">
        <f ca="1">(DATA!AH51/DATA!AH50)-1</f>
        <v>0.25429467709007603</v>
      </c>
      <c r="AI47">
        <f ca="1">(DATA!AI51/DATA!AI50)-1</f>
        <v>0.14838552043002684</v>
      </c>
      <c r="AJ47">
        <f ca="1">(DATA!AJ51/DATA!AJ50)-1</f>
        <v>0.23005076142131986</v>
      </c>
      <c r="AK47">
        <f ca="1">(DATA!AK51/DATA!AK50)-1</f>
        <v>0.11216216216216224</v>
      </c>
      <c r="AL47">
        <f ca="1">(DATA!AL51/DATA!AL50)-1</f>
        <v>0.57590062111801243</v>
      </c>
      <c r="AM47">
        <f ca="1">(DATA!AM51/DATA!AM50)-1</f>
        <v>0.1407444168734493</v>
      </c>
      <c r="AN47">
        <f ca="1">(DATA!AN51/DATA!AN50)-1</f>
        <v>0.16738414788554068</v>
      </c>
      <c r="AO47">
        <f ca="1">(DATA!AO51/DATA!AO50)-1</f>
        <v>0.15755504935459363</v>
      </c>
      <c r="AP47">
        <f ca="1">(DATA!AP51/DATA!AP50)-1</f>
        <v>0.12239321156335392</v>
      </c>
      <c r="AQ47">
        <f ca="1">(DATA!AQ51/DATA!AQ50)-1</f>
        <v>0.12493000889298767</v>
      </c>
      <c r="AR47">
        <f ca="1">(DATA!AR51/DATA!AR50)-1</f>
        <v>0.12030499858796961</v>
      </c>
      <c r="AS47">
        <f ca="1">(DATA!AS51/DATA!AS50)-1</f>
        <v>0.12119688207191359</v>
      </c>
      <c r="AT47">
        <f ca="1">(DATA!AT51/DATA!AT50)-1</f>
        <v>0.19573400250941031</v>
      </c>
      <c r="AU47">
        <f ca="1">(DATA!AU51/DATA!AU50)-1</f>
        <v>0.20778048560339379</v>
      </c>
      <c r="AV47">
        <f ca="1">(DATA!AV51/DATA!AV50)-1</f>
        <v>7.2949098544638158E-2</v>
      </c>
      <c r="AW47">
        <f ca="1">(DATA!AW51/DATA!AW50)-1</f>
        <v>4.334365325077405E-2</v>
      </c>
    </row>
    <row r="48" spans="1:49">
      <c r="A48" vm="11942">
        <f ca="1">DATA!A52</f>
        <v>45261</v>
      </c>
      <c r="B48">
        <f ca="1">(DATA!B52/DATA!B51)-1</f>
        <v>3.4988337220926313E-2</v>
      </c>
      <c r="C48">
        <f ca="1">(DATA!C52/DATA!C51)-1</f>
        <v>1.3582521716241081E-2</v>
      </c>
      <c r="D48">
        <f ca="1">(DATA!D52/DATA!D51)-1</f>
        <v>5.2344683393070746E-2</v>
      </c>
      <c r="E48">
        <f ca="1">(DATA!E52/DATA!E51)-1</f>
        <v>-7.57435802697215E-3</v>
      </c>
      <c r="F48">
        <f ca="1">(DATA!F52/DATA!F51)-1</f>
        <v>4.0043808611130105E-2</v>
      </c>
      <c r="G48">
        <f ca="1">(DATA!G52/DATA!G51)-1</f>
        <v>5.4025503659548724E-2</v>
      </c>
      <c r="H48">
        <f ca="1">(DATA!H52/DATA!H51)-1</f>
        <v>8.1950175760354682E-2</v>
      </c>
      <c r="I48">
        <f ca="1">(DATA!I52/DATA!I51)-1</f>
        <v>-9.2777777777777182E-3</v>
      </c>
      <c r="J48">
        <f ca="1">(DATA!J52/DATA!J51)-1</f>
        <v>5.8841137481291383E-2</v>
      </c>
      <c r="K48">
        <f ca="1">(DATA!K52/DATA!K51)-1</f>
        <v>1.3448855554118788E-2</v>
      </c>
      <c r="L48">
        <f ca="1">(DATA!L52/DATA!L51)-1</f>
        <v>1.4297958547607958E-2</v>
      </c>
      <c r="M48">
        <f ca="1">(DATA!M52/DATA!M51)-1</f>
        <v>-4.5466388744137665E-2</v>
      </c>
      <c r="N48">
        <f ca="1">(DATA!N52/DATA!N51)-1</f>
        <v>-4.7923033799301962E-2</v>
      </c>
      <c r="O48">
        <f ca="1">(DATA!O52/DATA!O51)-1</f>
        <v>0.10545790934320065</v>
      </c>
      <c r="P48">
        <f ca="1">(DATA!P52/DATA!P51)-1</f>
        <v>3.0640601213058449E-2</v>
      </c>
      <c r="Q48">
        <f ca="1">(DATA!Q52/DATA!Q51)-1</f>
        <v>-5.5136199540531616E-2</v>
      </c>
      <c r="R48">
        <f ca="1">(DATA!R52/DATA!R51)-1</f>
        <v>8.3846680355921244E-3</v>
      </c>
      <c r="S48">
        <f ca="1">(DATA!S52/DATA!S51)-1</f>
        <v>-2.5892760815621862E-2</v>
      </c>
      <c r="T48">
        <f ca="1">(DATA!T52/DATA!T51)-1</f>
        <v>2.7238010844568228E-2</v>
      </c>
      <c r="U48">
        <f ca="1">(DATA!U52/DATA!U51)-1</f>
        <v>0.12416107382550323</v>
      </c>
      <c r="V48">
        <f ca="1">(DATA!V52/DATA!V51)-1</f>
        <v>4.4233154195948643E-2</v>
      </c>
      <c r="W48">
        <f ca="1">(DATA!W52/DATA!W51)-1</f>
        <v>-2.6863928362857559E-2</v>
      </c>
      <c r="X48">
        <f ca="1">(DATA!X52/DATA!X51)-1</f>
        <v>3.8718662952646365E-2</v>
      </c>
      <c r="Y48">
        <f ca="1">(DATA!Y52/DATA!Y51)-1</f>
        <v>1.2590541485776541E-2</v>
      </c>
      <c r="Z48">
        <f ca="1">(DATA!Z52/DATA!Z51)-1</f>
        <v>1.2673506336753126E-2</v>
      </c>
      <c r="AA48">
        <f ca="1">(DATA!AA52/DATA!AA51)-1</f>
        <v>-1.6436211844508053E-2</v>
      </c>
      <c r="AB48">
        <f ca="1">(DATA!AB52/DATA!AB51)-1</f>
        <v>-1.5416704452707042E-2</v>
      </c>
      <c r="AC48">
        <f ca="1">(DATA!AC52/DATA!AC51)-1</f>
        <v>5.2050808969628326E-2</v>
      </c>
      <c r="AD48">
        <f ca="1">(DATA!AD52/DATA!AD51)-1</f>
        <v>-3.3131923464249646E-2</v>
      </c>
      <c r="AE48">
        <f ca="1">(DATA!AE52/DATA!AE51)-1</f>
        <v>0.12532918879247079</v>
      </c>
      <c r="AF48">
        <f ca="1">(DATA!AF52/DATA!AF51)-1</f>
        <v>3.1470736629667151E-2</v>
      </c>
      <c r="AG48">
        <f ca="1">(DATA!AG52/DATA!AG51)-1</f>
        <v>-9.2763101282161475E-2</v>
      </c>
      <c r="AH48">
        <f ca="1">(DATA!AH52/DATA!AH51)-1</f>
        <v>4.4620881302103843E-2</v>
      </c>
      <c r="AI48">
        <f ca="1">(DATA!AI52/DATA!AI51)-1</f>
        <v>-2.3583902063795903E-2</v>
      </c>
      <c r="AJ48">
        <f ca="1">(DATA!AJ52/DATA!AJ51)-1</f>
        <v>0.21665566193463182</v>
      </c>
      <c r="AK48">
        <f ca="1">(DATA!AK52/DATA!AK51)-1</f>
        <v>6.5960770699531324E-2</v>
      </c>
      <c r="AL48">
        <f ca="1">(DATA!AL52/DATA!AL51)-1</f>
        <v>0.21945451679016226</v>
      </c>
      <c r="AM48">
        <f ca="1">(DATA!AM52/DATA!AM51)-1</f>
        <v>0.15983642217001659</v>
      </c>
      <c r="AN48">
        <f ca="1">(DATA!AN52/DATA!AN51)-1</f>
        <v>0.11583514099783065</v>
      </c>
      <c r="AO48">
        <f ca="1">(DATA!AO52/DATA!AO51)-1</f>
        <v>0.1042964906526731</v>
      </c>
      <c r="AP48">
        <f ca="1">(DATA!AP52/DATA!AP51)-1</f>
        <v>8.9825730394669234E-2</v>
      </c>
      <c r="AQ48">
        <f ca="1">(DATA!AQ52/DATA!AQ51)-1</f>
        <v>0.12950166891140125</v>
      </c>
      <c r="AR48">
        <f ca="1">(DATA!AR52/DATA!AR51)-1</f>
        <v>0.17532140156289389</v>
      </c>
      <c r="AS48">
        <f ca="1">(DATA!AS52/DATA!AS51)-1</f>
        <v>0.10383494056963438</v>
      </c>
      <c r="AT48">
        <f ca="1">(DATA!AT52/DATA!AT51)-1</f>
        <v>0.13536201469045128</v>
      </c>
      <c r="AU48">
        <f ca="1">(DATA!AU52/DATA!AU51)-1</f>
        <v>6.4344966743890453E-2</v>
      </c>
      <c r="AV48">
        <f ca="1">(DATA!AV52/DATA!AV51)-1</f>
        <v>0.11360799001248445</v>
      </c>
      <c r="AW48">
        <f ca="1">(DATA!AW52/DATA!AW51)-1</f>
        <v>0.11929789267213198</v>
      </c>
    </row>
    <row r="49" spans="1:49">
      <c r="A49" vm="11943">
        <f ca="1">DATA!A53</f>
        <v>45292</v>
      </c>
      <c r="B49">
        <f ca="1">(DATA!B53/DATA!B52)-1</f>
        <v>-0.24625724404378624</v>
      </c>
      <c r="C49">
        <f ca="1">(DATA!C53/DATA!C52)-1</f>
        <v>-4.2227185373707954E-2</v>
      </c>
      <c r="D49">
        <f ca="1">(DATA!D53/DATA!D52)-1</f>
        <v>6.1732775136593698E-3</v>
      </c>
      <c r="E49">
        <f ca="1">(DATA!E53/DATA!E52)-1</f>
        <v>5.7281140304222822E-2</v>
      </c>
      <c r="F49">
        <f ca="1">(DATA!F53/DATA!F52)-1</f>
        <v>2.1455837830722579E-2</v>
      </c>
      <c r="G49">
        <f ca="1">(DATA!G53/DATA!G52)-1</f>
        <v>2.9350705132793475E-3</v>
      </c>
      <c r="H49">
        <f ca="1">(DATA!H53/DATA!H52)-1</f>
        <v>0.1022149395411911</v>
      </c>
      <c r="I49">
        <f ca="1">(DATA!I53/DATA!I52)-1</f>
        <v>7.5926652834632291E-2</v>
      </c>
      <c r="J49">
        <f ca="1">(DATA!J53/DATA!J52)-1</f>
        <v>0.24241751140907075</v>
      </c>
      <c r="K49">
        <f ca="1">(DATA!K53/DATA!K52)-1</f>
        <v>1.3780783463059887E-2</v>
      </c>
      <c r="L49">
        <f ca="1">(DATA!L53/DATA!L52)-1</f>
        <v>4.9587094296139611E-2</v>
      </c>
      <c r="M49">
        <f ca="1">(DATA!M53/DATA!M52)-1</f>
        <v>7.233519858059223E-2</v>
      </c>
      <c r="N49">
        <f ca="1">(DATA!N53/DATA!N52)-1</f>
        <v>-2.7978802210952169E-2</v>
      </c>
      <c r="O49">
        <f ca="1">(DATA!O53/DATA!O52)-1</f>
        <v>1.8496609435867839E-2</v>
      </c>
      <c r="P49">
        <f ca="1">(DATA!P53/DATA!P52)-1</f>
        <v>5.3269559916531817E-2</v>
      </c>
      <c r="Q49">
        <f ca="1">(DATA!Q53/DATA!Q52)-1</f>
        <v>-5.9395623480375193E-2</v>
      </c>
      <c r="R49">
        <f ca="1">(DATA!R53/DATA!R52)-1</f>
        <v>9.5027999321228851E-3</v>
      </c>
      <c r="S49">
        <f ca="1">(DATA!S53/DATA!S52)-1</f>
        <v>6.3794440137335151E-2</v>
      </c>
      <c r="T49">
        <f ca="1">(DATA!T53/DATA!T52)-1</f>
        <v>0.15862224778179423</v>
      </c>
      <c r="U49">
        <f ca="1">(DATA!U53/DATA!U52)-1</f>
        <v>-0.14268656716417916</v>
      </c>
      <c r="V49">
        <f ca="1">(DATA!V53/DATA!V52)-1</f>
        <v>-6.7300079176564331E-3</v>
      </c>
      <c r="W49">
        <f ca="1">(DATA!W53/DATA!W52)-1</f>
        <v>2.8305661132226323E-2</v>
      </c>
      <c r="X49">
        <f ca="1">(DATA!X53/DATA!X52)-1</f>
        <v>-1.1598283722177416E-2</v>
      </c>
      <c r="Y49">
        <f ca="1">(DATA!Y53/DATA!Y52)-1</f>
        <v>4.8207880189155006E-2</v>
      </c>
      <c r="Z49">
        <f ca="1">(DATA!Z53/DATA!Z52)-1</f>
        <v>5.4231227651966529E-2</v>
      </c>
      <c r="AA49">
        <f ca="1">(DATA!AA53/DATA!AA52)-1</f>
        <v>0.12334217506631284</v>
      </c>
      <c r="AB49">
        <f ca="1">(DATA!AB53/DATA!AB52)-1</f>
        <v>-6.4842958459979672E-2</v>
      </c>
      <c r="AC49">
        <f ca="1">(DATA!AC53/DATA!AC52)-1</f>
        <v>-1.2782030960169832E-2</v>
      </c>
      <c r="AD49">
        <f ca="1">(DATA!AD53/DATA!AD52)-1</f>
        <v>-3.1038433496510809E-2</v>
      </c>
      <c r="AE49">
        <f ca="1">(DATA!AE53/DATA!AE52)-1</f>
        <v>-0.19036292488298945</v>
      </c>
      <c r="AF49">
        <f ca="1">(DATA!AF53/DATA!AF52)-1</f>
        <v>0.12295933965148254</v>
      </c>
      <c r="AG49">
        <f ca="1">(DATA!AG53/DATA!AG52)-1</f>
        <v>5.9470738878876883E-2</v>
      </c>
      <c r="AH49">
        <f ca="1">(DATA!AH53/DATA!AH52)-1</f>
        <v>6.8214638595424537E-2</v>
      </c>
      <c r="AI49">
        <f ca="1">(DATA!AI53/DATA!AI52)-1</f>
        <v>3.5501173315454215E-2</v>
      </c>
      <c r="AJ49">
        <f ca="1">(DATA!AJ53/DATA!AJ52)-1</f>
        <v>0.1375754697781697</v>
      </c>
      <c r="AK49">
        <f ca="1">(DATA!AK53/DATA!AK52)-1</f>
        <v>-9.7703957010253362E-4</v>
      </c>
      <c r="AL49">
        <f ca="1">(DATA!AL53/DATA!AL52)-1</f>
        <v>-0.15953458306399471</v>
      </c>
      <c r="AM49">
        <f ca="1">(DATA!AM53/DATA!AM52)-1</f>
        <v>-4.9587396849212428E-2</v>
      </c>
      <c r="AN49">
        <f ca="1">(DATA!AN53/DATA!AN52)-1</f>
        <v>9.1951788491446473E-2</v>
      </c>
      <c r="AO49">
        <f ca="1">(DATA!AO53/DATA!AO52)-1</f>
        <v>1.0098010098009924E-2</v>
      </c>
      <c r="AP49">
        <f ca="1">(DATA!AP53/DATA!AP52)-1</f>
        <v>2.5044091710758387E-2</v>
      </c>
      <c r="AQ49">
        <f ca="1">(DATA!AQ53/DATA!AQ52)-1</f>
        <v>-4.5623039635015461E-3</v>
      </c>
      <c r="AR49">
        <f ca="1">(DATA!AR53/DATA!AR52)-1</f>
        <v>-6.4450402144772156E-2</v>
      </c>
      <c r="AS49">
        <f ca="1">(DATA!AS53/DATA!AS52)-1</f>
        <v>1.9504266558309613E-2</v>
      </c>
      <c r="AT49">
        <f ca="1">(DATA!AT53/DATA!AT52)-1</f>
        <v>-4.0203327171903891E-2</v>
      </c>
      <c r="AU49">
        <f ca="1">(DATA!AU53/DATA!AU52)-1</f>
        <v>-2.3451762392922126E-2</v>
      </c>
      <c r="AV49">
        <f ca="1">(DATA!AV53/DATA!AV52)-1</f>
        <v>5.2720882317294882E-2</v>
      </c>
      <c r="AW49">
        <f ca="1">(DATA!AW53/DATA!AW52)-1</f>
        <v>-4.3630644798921647E-2</v>
      </c>
    </row>
    <row r="50" spans="1:49">
      <c r="A50" vm="82">
        <f ca="1">DATA!A54</f>
        <v>45323</v>
      </c>
      <c r="B50">
        <f ca="1">(DATA!B54/DATA!B53)-1</f>
        <v>7.7900581985156814E-2</v>
      </c>
      <c r="C50">
        <f ca="1">(DATA!C54/DATA!C53)-1</f>
        <v>-1.9793926247288485E-2</v>
      </c>
      <c r="D50">
        <f ca="1">(DATA!D54/DATA!D53)-1</f>
        <v>-1.4245416078984552E-2</v>
      </c>
      <c r="E50">
        <f ca="1">(DATA!E54/DATA!E53)-1</f>
        <v>4.0394386035514929E-2</v>
      </c>
      <c r="F50">
        <f ca="1">(DATA!F54/DATA!F53)-1</f>
        <v>0.13891752577319583</v>
      </c>
      <c r="G50">
        <f ca="1">(DATA!G54/DATA!G53)-1</f>
        <v>-1.1705924339757257E-2</v>
      </c>
      <c r="H50">
        <f ca="1">(DATA!H54/DATA!H53)-1</f>
        <v>0.25629261290818683</v>
      </c>
      <c r="I50">
        <f ca="1">(DATA!I54/DATA!I53)-1</f>
        <v>6.686819200500338E-2</v>
      </c>
      <c r="J50">
        <f ca="1">(DATA!J54/DATA!J53)-1</f>
        <v>0.2858094820160253</v>
      </c>
      <c r="K50">
        <f ca="1">(DATA!K54/DATA!K53)-1</f>
        <v>1.5607300188797968E-2</v>
      </c>
      <c r="L50">
        <f ca="1">(DATA!L54/DATA!L53)-1</f>
        <v>3.4326282661201857E-2</v>
      </c>
      <c r="M50">
        <f ca="1">(DATA!M54/DATA!M53)-1</f>
        <v>1.1454753722795141E-2</v>
      </c>
      <c r="N50">
        <f ca="1">(DATA!N54/DATA!N53)-1</f>
        <v>-3.5447688279204304E-2</v>
      </c>
      <c r="O50">
        <f ca="1">(DATA!O54/DATA!O53)-1</f>
        <v>7.8337488667271193E-2</v>
      </c>
      <c r="P50">
        <f ca="1">(DATA!P54/DATA!P53)-1</f>
        <v>5.6830576764686169E-2</v>
      </c>
      <c r="Q50">
        <f ca="1">(DATA!Q54/DATA!Q53)-1</f>
        <v>-1.9202363367799125E-2</v>
      </c>
      <c r="R50">
        <f ca="1">(DATA!R54/DATA!R53)-1</f>
        <v>8.9090603462766982E-3</v>
      </c>
      <c r="S50">
        <f ca="1">(DATA!S54/DATA!S53)-1</f>
        <v>0.16168662155127533</v>
      </c>
      <c r="T50">
        <f ca="1">(DATA!T54/DATA!T53)-1</f>
        <v>6.8798638563400738E-2</v>
      </c>
      <c r="U50">
        <f ca="1">(DATA!U54/DATA!U53)-1</f>
        <v>-6.9637883008355494E-4</v>
      </c>
      <c r="V50">
        <f ca="1">(DATA!V54/DATA!V53)-1</f>
        <v>-3.6070147469111191E-2</v>
      </c>
      <c r="W50">
        <f ca="1">(DATA!W54/DATA!W53)-1</f>
        <v>1.663262328567261E-2</v>
      </c>
      <c r="X50">
        <f ca="1">(DATA!X54/DATA!X53)-1</f>
        <v>3.1065590449704805E-2</v>
      </c>
      <c r="Y50">
        <f ca="1">(DATA!Y54/DATA!Y53)-1</f>
        <v>6.403450804969979E-2</v>
      </c>
      <c r="Z50">
        <f ca="1">(DATA!Z54/DATA!Z53)-1</f>
        <v>-4.2962125494629855E-2</v>
      </c>
      <c r="AA50">
        <f ca="1">(DATA!AA54/DATA!AA53)-1</f>
        <v>-5.5017709563164097E-2</v>
      </c>
      <c r="AB50">
        <f ca="1">(DATA!AB54/DATA!AB53)-1</f>
        <v>2.3638333497488562E-2</v>
      </c>
      <c r="AC50">
        <f ca="1">(DATA!AC54/DATA!AC53)-1</f>
        <v>-1.5031429352283521E-3</v>
      </c>
      <c r="AD50">
        <f ca="1">(DATA!AD54/DATA!AD53)-1</f>
        <v>2.0101042674406155E-2</v>
      </c>
      <c r="AE50">
        <f ca="1">(DATA!AE54/DATA!AE53)-1</f>
        <v>-3.468536770280517E-2</v>
      </c>
      <c r="AF50">
        <f ca="1">(DATA!AF54/DATA!AF53)-1</f>
        <v>7.4594359141892941E-3</v>
      </c>
      <c r="AG50">
        <f ca="1">(DATA!AG54/DATA!AG53)-1</f>
        <v>-1.790510295434089E-4</v>
      </c>
      <c r="AH50">
        <f ca="1">(DATA!AH54/DATA!AH53)-1</f>
        <v>9.8651677398698068E-2</v>
      </c>
      <c r="AI50">
        <f ca="1">(DATA!AI54/DATA!AI53)-1</f>
        <v>-9.3075204765450503E-2</v>
      </c>
      <c r="AJ50">
        <f ca="1">(DATA!AJ54/DATA!AJ53)-1</f>
        <v>0.1481304788598008</v>
      </c>
      <c r="AK50">
        <f ca="1">(DATA!AK54/DATA!AK53)-1</f>
        <v>-1.6462917685411527E-2</v>
      </c>
      <c r="AL50">
        <f ca="1">(DATA!AL54/DATA!AL53)-1</f>
        <v>0.22242731887401934</v>
      </c>
      <c r="AM50">
        <f ca="1">(DATA!AM54/DATA!AM53)-1</f>
        <v>5.1937800931407541E-2</v>
      </c>
      <c r="AN50">
        <f ca="1">(DATA!AN54/DATA!AN53)-1</f>
        <v>-1.2106106462524524E-2</v>
      </c>
      <c r="AO50">
        <f ca="1">(DATA!AO54/DATA!AO53)-1</f>
        <v>1.4995589532490694E-2</v>
      </c>
      <c r="AP50">
        <f ca="1">(DATA!AP54/DATA!AP53)-1</f>
        <v>6.710254645560898E-2</v>
      </c>
      <c r="AQ50">
        <f ca="1">(DATA!AQ54/DATA!AQ53)-1</f>
        <v>1.3124658212025686E-2</v>
      </c>
      <c r="AR50">
        <f ca="1">(DATA!AR54/DATA!AR53)-1</f>
        <v>-1.3755158184318939E-2</v>
      </c>
      <c r="AS50">
        <f ca="1">(DATA!AS54/DATA!AS53)-1</f>
        <v>0.1078118772419292</v>
      </c>
      <c r="AT50">
        <f ca="1">(DATA!AT54/DATA!AT53)-1</f>
        <v>1.0110736639383777E-2</v>
      </c>
      <c r="AU50">
        <f ca="1">(DATA!AU54/DATA!AU53)-1</f>
        <v>9.9511072763876607E-2</v>
      </c>
      <c r="AV50">
        <f ca="1">(DATA!AV54/DATA!AV53)-1</f>
        <v>7.0530163481464347E-2</v>
      </c>
      <c r="AW50">
        <f ca="1">(DATA!AW54/DATA!AW53)-1</f>
        <v>0.13075549708701373</v>
      </c>
    </row>
    <row r="51" spans="1:49">
      <c r="A51" vm="102">
        <f ca="1">DATA!A55</f>
        <v>45352</v>
      </c>
      <c r="B51">
        <f ca="1">(DATA!B55/DATA!B54)-1</f>
        <v>-0.1292351892213196</v>
      </c>
      <c r="C51">
        <f ca="1">(DATA!C55/DATA!C54)-1</f>
        <v>-5.1286307053941993E-2</v>
      </c>
      <c r="D51">
        <f ca="1">(DATA!D55/DATA!D54)-1</f>
        <v>8.9283159250250321E-2</v>
      </c>
      <c r="E51">
        <f ca="1">(DATA!E55/DATA!E54)-1</f>
        <v>1.7116333043226017E-2</v>
      </c>
      <c r="F51">
        <f ca="1">(DATA!F55/DATA!F54)-1</f>
        <v>2.0479746548992983E-2</v>
      </c>
      <c r="G51">
        <f ca="1">(DATA!G55/DATA!G54)-1</f>
        <v>9.0062111801242128E-2</v>
      </c>
      <c r="H51">
        <f ca="1">(DATA!H55/DATA!H54)-1</f>
        <v>-9.2832513822863616E-3</v>
      </c>
      <c r="I51">
        <f ca="1">(DATA!I55/DATA!I54)-1</f>
        <v>2.7161700048851989E-2</v>
      </c>
      <c r="J51">
        <f ca="1">(DATA!J55/DATA!J54)-1</f>
        <v>0.14212761654363426</v>
      </c>
      <c r="K51">
        <f ca="1">(DATA!K55/DATA!K54)-1</f>
        <v>-1.976700954269428E-2</v>
      </c>
      <c r="L51">
        <f ca="1">(DATA!L55/DATA!L54)-1</f>
        <v>-1.2595527879988633E-2</v>
      </c>
      <c r="M51">
        <f ca="1">(DATA!M55/DATA!M54)-1</f>
        <v>2.0825468730338415E-2</v>
      </c>
      <c r="N51">
        <f ca="1">(DATA!N55/DATA!N54)-1</f>
        <v>2.2285251215559132E-3</v>
      </c>
      <c r="O51">
        <f ca="1">(DATA!O55/DATA!O54)-1</f>
        <v>7.8558104096055903E-3</v>
      </c>
      <c r="P51">
        <f ca="1">(DATA!P55/DATA!P54)-1</f>
        <v>1.4344089645294433E-2</v>
      </c>
      <c r="Q51">
        <f ca="1">(DATA!Q55/DATA!Q54)-1</f>
        <v>4.4804216867469826E-2</v>
      </c>
      <c r="R51">
        <f ca="1">(DATA!R55/DATA!R54)-1</f>
        <v>1.9326891036321125E-2</v>
      </c>
      <c r="S51">
        <f ca="1">(DATA!S55/DATA!S54)-1</f>
        <v>9.6612296110414109E-2</v>
      </c>
      <c r="T51">
        <f ca="1">(DATA!T55/DATA!T54)-1</f>
        <v>7.3144032375773715E-3</v>
      </c>
      <c r="U51">
        <f ca="1">(DATA!U55/DATA!U54)-1</f>
        <v>2.6016260162601723E-2</v>
      </c>
      <c r="V51">
        <f ca="1">(DATA!V55/DATA!V54)-1</f>
        <v>3.183791606367592E-2</v>
      </c>
      <c r="W51">
        <f ca="1">(DATA!W55/DATA!W54)-1</f>
        <v>0.11213164944508236</v>
      </c>
      <c r="X51">
        <f ca="1">(DATA!X55/DATA!X54)-1</f>
        <v>3.7694888494178125E-2</v>
      </c>
      <c r="Y51">
        <f ca="1">(DATA!Y55/DATA!Y54)-1</f>
        <v>2.6616618324518004E-2</v>
      </c>
      <c r="Z51">
        <f ca="1">(DATA!Z55/DATA!Z54)-1</f>
        <v>3.9574719432959427E-2</v>
      </c>
      <c r="AA51">
        <f ca="1">(DATA!AA55/DATA!AA54)-1</f>
        <v>4.8475762118940446E-2</v>
      </c>
      <c r="AB51">
        <f ca="1">(DATA!AB55/DATA!AB54)-1</f>
        <v>-9.5737515635523907E-2</v>
      </c>
      <c r="AC51">
        <f ca="1">(DATA!AC55/DATA!AC54)-1</f>
        <v>-3.5342821951553249E-2</v>
      </c>
      <c r="AD51">
        <f ca="1">(DATA!AD55/DATA!AD54)-1</f>
        <v>-3.6986301369863028E-2</v>
      </c>
      <c r="AE51">
        <f ca="1">(DATA!AE55/DATA!AE54)-1</f>
        <v>-5.2670331827999184E-2</v>
      </c>
      <c r="AF51">
        <f ca="1">(DATA!AF55/DATA!AF54)-1</f>
        <v>3.2048856942117565E-2</v>
      </c>
      <c r="AG51">
        <f ca="1">(DATA!AG55/DATA!AG54)-1</f>
        <v>0.12473137535816603</v>
      </c>
      <c r="AH51">
        <f ca="1">(DATA!AH55/DATA!AH54)-1</f>
        <v>-2.4739330354251576E-2</v>
      </c>
      <c r="AI51">
        <f ca="1">(DATA!AI55/DATA!AI54)-1</f>
        <v>-9.9378881987577605E-2</v>
      </c>
      <c r="AJ51">
        <f ca="1">(DATA!AJ55/DATA!AJ54)-1</f>
        <v>-6.2535708720718786E-2</v>
      </c>
      <c r="AK51">
        <f ca="1">(DATA!AK55/DATA!AK54)-1</f>
        <v>0.11020881670533633</v>
      </c>
      <c r="AL51">
        <f ca="1">(DATA!AL55/DATA!AL54)-1</f>
        <v>6.4300994085818575E-2</v>
      </c>
      <c r="AM51">
        <f ca="1">(DATA!AM55/DATA!AM54)-1</f>
        <v>-2.2885870788624696E-2</v>
      </c>
      <c r="AN51">
        <f ca="1">(DATA!AN55/DATA!AN54)-1</f>
        <v>0.13966480446927365</v>
      </c>
      <c r="AO51">
        <f ca="1">(DATA!AO55/DATA!AO54)-1</f>
        <v>9.8493626882966367E-2</v>
      </c>
      <c r="AP51">
        <f ca="1">(DATA!AP55/DATA!AP54)-1</f>
        <v>7.6534451252284308E-2</v>
      </c>
      <c r="AQ51">
        <f ca="1">(DATA!AQ55/DATA!AQ54)-1</f>
        <v>7.3615216553142293E-2</v>
      </c>
      <c r="AR51">
        <f ca="1">(DATA!AR55/DATA!AR54)-1</f>
        <v>9.4374709437470727E-2</v>
      </c>
      <c r="AS51">
        <f ca="1">(DATA!AS55/DATA!AS54)-1</f>
        <v>4.2633567188343102E-2</v>
      </c>
      <c r="AT51">
        <f ca="1">(DATA!AT55/DATA!AT54)-1</f>
        <v>6.530028598665405E-2</v>
      </c>
      <c r="AU51">
        <f ca="1">(DATA!AU55/DATA!AU54)-1</f>
        <v>0.15884122416950053</v>
      </c>
      <c r="AV51">
        <f ca="1">(DATA!AV55/DATA!AV54)-1</f>
        <v>-1.5136646547204591E-2</v>
      </c>
      <c r="AW51">
        <f ca="1">(DATA!AW55/DATA!AW54)-1</f>
        <v>5.8420243486932311E-2</v>
      </c>
    </row>
    <row r="52" spans="1:49">
      <c r="A52" vm="122">
        <f ca="1">DATA!A56</f>
        <v>45383</v>
      </c>
      <c r="B52">
        <f ca="1">(DATA!B56/DATA!B55)-1</f>
        <v>4.2607656863302923E-2</v>
      </c>
      <c r="C52">
        <f ca="1">(DATA!C56/DATA!C55)-1</f>
        <v>-6.7063214369020852E-3</v>
      </c>
      <c r="D52">
        <f ca="1">(DATA!D56/DATA!D55)-1</f>
        <v>8.1308288453960209E-2</v>
      </c>
      <c r="E52">
        <f ca="1">(DATA!E56/DATA!E55)-1</f>
        <v>-7.4610192051720925E-2</v>
      </c>
      <c r="F52">
        <f ca="1">(DATA!F56/DATA!F55)-1</f>
        <v>-2.9825923051336023E-2</v>
      </c>
      <c r="G52">
        <f ca="1">(DATA!G56/DATA!G55)-1</f>
        <v>7.851321804810163E-2</v>
      </c>
      <c r="H52">
        <f ca="1">(DATA!H56/DATA!H55)-1</f>
        <v>-0.11411096008896571</v>
      </c>
      <c r="I52">
        <f ca="1">(DATA!I56/DATA!I55)-1</f>
        <v>-5.6572814610482136E-2</v>
      </c>
      <c r="J52">
        <f ca="1">(DATA!J56/DATA!J55)-1</f>
        <v>-4.3760237283633541E-2</v>
      </c>
      <c r="K52">
        <f ca="1">(DATA!K56/DATA!K55)-1</f>
        <v>-8.597256463746128E-2</v>
      </c>
      <c r="L52">
        <f ca="1">(DATA!L56/DATA!L55)-1</f>
        <v>-3.7516124408771612E-2</v>
      </c>
      <c r="M52">
        <f ca="1">(DATA!M56/DATA!M55)-1</f>
        <v>5.8551617873650041E-3</v>
      </c>
      <c r="N52">
        <f ca="1">(DATA!N56/DATA!N55)-1</f>
        <v>-2.2235698403072601E-2</v>
      </c>
      <c r="O52">
        <f ca="1">(DATA!O56/DATA!O55)-1</f>
        <v>-0.12872784150156413</v>
      </c>
      <c r="P52">
        <f ca="1">(DATA!P56/DATA!P55)-1</f>
        <v>-6.3064559669414599E-2</v>
      </c>
      <c r="Q52">
        <f ca="1">(DATA!Q56/DATA!Q55)-1</f>
        <v>-7.675675675675675E-2</v>
      </c>
      <c r="R52">
        <f ca="1">(DATA!R56/DATA!R55)-1</f>
        <v>9.64367440339986E-3</v>
      </c>
      <c r="S52">
        <f ca="1">(DATA!S56/DATA!S55)-1</f>
        <v>-9.202353710362865E-2</v>
      </c>
      <c r="T52">
        <f ca="1">(DATA!T56/DATA!T55)-1</f>
        <v>-9.3342993100950178E-2</v>
      </c>
      <c r="U52">
        <f ca="1">(DATA!U56/DATA!U55)-1</f>
        <v>-0.31016527054561926</v>
      </c>
      <c r="V52">
        <f ca="1">(DATA!V56/DATA!V55)-1</f>
        <v>-5.8705670206371519E-2</v>
      </c>
      <c r="W52">
        <f ca="1">(DATA!W56/DATA!W55)-1</f>
        <v>1.7463867859600857E-2</v>
      </c>
      <c r="X52">
        <f ca="1">(DATA!X56/DATA!X55)-1</f>
        <v>2.2378597692405133E-2</v>
      </c>
      <c r="Y52">
        <f ca="1">(DATA!Y56/DATA!Y55)-1</f>
        <v>-1.3628053847432264E-2</v>
      </c>
      <c r="Z52">
        <f ca="1">(DATA!Z56/DATA!Z55)-1</f>
        <v>-4.0340909090909149E-2</v>
      </c>
      <c r="AA52">
        <f ca="1">(DATA!AA56/DATA!AA55)-1</f>
        <v>-5.8865586272640602E-2</v>
      </c>
      <c r="AB52">
        <f ca="1">(DATA!AB56/DATA!AB55)-1</f>
        <v>-1.8301766333262415E-2</v>
      </c>
      <c r="AC52">
        <f ca="1">(DATA!AC56/DATA!AC55)-1</f>
        <v>-3.160134775669432E-2</v>
      </c>
      <c r="AD52">
        <f ca="1">(DATA!AD56/DATA!AD55)-1</f>
        <v>-3.1732136995294979E-2</v>
      </c>
      <c r="AE52">
        <f ca="1">(DATA!AE56/DATA!AE55)-1</f>
        <v>-0.13031763303798127</v>
      </c>
      <c r="AF52">
        <f ca="1">(DATA!AF56/DATA!AF55)-1</f>
        <v>-0.12966066191872649</v>
      </c>
      <c r="AG52">
        <f ca="1">(DATA!AG56/DATA!AG55)-1</f>
        <v>-9.4419234137409491E-2</v>
      </c>
      <c r="AH52">
        <f ca="1">(DATA!AH56/DATA!AH55)-1</f>
        <v>-0.10704562055913414</v>
      </c>
      <c r="AI52">
        <f ca="1">(DATA!AI56/DATA!AI55)-1</f>
        <v>-8.2778438367023477E-2</v>
      </c>
      <c r="AJ52">
        <f ca="1">(DATA!AJ56/DATA!AJ55)-1</f>
        <v>-0.12249986148817116</v>
      </c>
      <c r="AK52">
        <f ca="1">(DATA!AK56/DATA!AK55)-1</f>
        <v>1.3882669055082841E-2</v>
      </c>
      <c r="AL52">
        <f ca="1">(DATA!AL56/DATA!AL55)-1</f>
        <v>-0.13691179947978249</v>
      </c>
      <c r="AM52">
        <f ca="1">(DATA!AM56/DATA!AM55)-1</f>
        <v>-0.21632621717094147</v>
      </c>
      <c r="AN52">
        <f ca="1">(DATA!AN56/DATA!AN55)-1</f>
        <v>-3.0202403542062051E-2</v>
      </c>
      <c r="AO52">
        <f ca="1">(DATA!AO56/DATA!AO55)-1</f>
        <v>-2.3997890295358704E-2</v>
      </c>
      <c r="AP52">
        <f ca="1">(DATA!AP56/DATA!AP55)-1</f>
        <v>-4.273589615576634E-2</v>
      </c>
      <c r="AQ52">
        <f ca="1">(DATA!AQ56/DATA!AQ55)-1</f>
        <v>2.1594962771433357E-2</v>
      </c>
      <c r="AR52">
        <f ca="1">(DATA!AR56/DATA!AR55)-1</f>
        <v>-3.525913338997444E-2</v>
      </c>
      <c r="AS52">
        <f ca="1">(DATA!AS56/DATA!AS55)-1</f>
        <v>2.3464458247066888E-2</v>
      </c>
      <c r="AT52">
        <f ca="1">(DATA!AT56/DATA!AT55)-1</f>
        <v>-9.1051454138702415E-2</v>
      </c>
      <c r="AU52">
        <f ca="1">(DATA!AU56/DATA!AU55)-1</f>
        <v>-9.1586253597426892E-2</v>
      </c>
      <c r="AV52">
        <f ca="1">(DATA!AV56/DATA!AV55)-1</f>
        <v>-1.3280919427268945E-2</v>
      </c>
      <c r="AW52">
        <f ca="1">(DATA!AW56/DATA!AW55)-1</f>
        <v>-0.10497389392690293</v>
      </c>
    </row>
    <row r="53" spans="1:49">
      <c r="A53" vm="144">
        <f ca="1">DATA!A57</f>
        <v>45413</v>
      </c>
      <c r="B53">
        <f ca="1">(DATA!B57/DATA!B56)-1</f>
        <v>-2.8371890004364797E-2</v>
      </c>
      <c r="C53">
        <f ca="1">(DATA!C57/DATA!C56)-1</f>
        <v>0.12869136382316682</v>
      </c>
      <c r="D53">
        <f ca="1">(DATA!D57/DATA!D56)-1</f>
        <v>5.6608357628765926E-2</v>
      </c>
      <c r="E53">
        <f ca="1">(DATA!E57/DATA!E56)-1</f>
        <v>6.6267690648036393E-2</v>
      </c>
      <c r="F53">
        <f ca="1">(DATA!F57/DATA!F56)-1</f>
        <v>8.2285714285714739E-3</v>
      </c>
      <c r="G53">
        <f ca="1">(DATA!G57/DATA!G56)-1</f>
        <v>5.9712495392554299E-2</v>
      </c>
      <c r="H53">
        <f ca="1">(DATA!H57/DATA!H56)-1</f>
        <v>8.5222121486854041E-2</v>
      </c>
      <c r="I53">
        <f ca="1">(DATA!I57/DATA!I56)-1</f>
        <v>4.4539107201370998E-2</v>
      </c>
      <c r="J53">
        <f ca="1">(DATA!J57/DATA!J56)-1</f>
        <v>0.2688710909469687</v>
      </c>
      <c r="K53">
        <f ca="1">(DATA!K57/DATA!K56)-1</f>
        <v>1.4385503838439506E-2</v>
      </c>
      <c r="L53">
        <f ca="1">(DATA!L57/DATA!L56)-1</f>
        <v>1.4333047913331454E-2</v>
      </c>
      <c r="M53">
        <f ca="1">(DATA!M57/DATA!M56)-1</f>
        <v>8.210784313725572E-3</v>
      </c>
      <c r="N53">
        <f ca="1">(DATA!N57/DATA!N56)-1</f>
        <v>2.4126524705395891E-2</v>
      </c>
      <c r="O53">
        <f ca="1">(DATA!O57/DATA!O56)-1</f>
        <v>1.9448267608161984E-3</v>
      </c>
      <c r="P53">
        <f ca="1">(DATA!P57/DATA!P56)-1</f>
        <v>-9.1533687943262665E-3</v>
      </c>
      <c r="Q53">
        <f ca="1">(DATA!Q57/DATA!Q56)-1</f>
        <v>0.11865729898516775</v>
      </c>
      <c r="R53">
        <f ca="1">(DATA!R57/DATA!R56)-1</f>
        <v>1.8779342723004744E-2</v>
      </c>
      <c r="S53">
        <f ca="1">(DATA!S57/DATA!S56)-1</f>
        <v>-6.4716471647164653E-2</v>
      </c>
      <c r="T53">
        <f ca="1">(DATA!T57/DATA!T56)-1</f>
        <v>0.16522591893069882</v>
      </c>
      <c r="U53">
        <f ca="1">(DATA!U57/DATA!U56)-1</f>
        <v>1.2471283229406049E-2</v>
      </c>
      <c r="V53">
        <f ca="1">(DATA!V57/DATA!V56)-1</f>
        <v>-1.0217113665389466E-2</v>
      </c>
      <c r="W53">
        <f ca="1">(DATA!W57/DATA!W56)-1</f>
        <v>-8.5397818550773108E-3</v>
      </c>
      <c r="X53">
        <f ca="1">(DATA!X57/DATA!X56)-1</f>
        <v>6.386804737396945E-3</v>
      </c>
      <c r="Y53">
        <f ca="1">(DATA!Y57/DATA!Y56)-1</f>
        <v>0.10800336983993275</v>
      </c>
      <c r="Z53">
        <f ca="1">(DATA!Z57/DATA!Z56)-1</f>
        <v>7.8744819419774847E-2</v>
      </c>
      <c r="AA53">
        <f ca="1">(DATA!AA57/DATA!AA56)-1</f>
        <v>4.2035958470498791E-2</v>
      </c>
      <c r="AB53">
        <f ca="1">(DATA!AB57/DATA!AB56)-1</f>
        <v>3.0240624322566578E-2</v>
      </c>
      <c r="AC53">
        <f ca="1">(DATA!AC57/DATA!AC56)-1</f>
        <v>-5.1823908584822886E-2</v>
      </c>
      <c r="AD53">
        <f ca="1">(DATA!AD57/DATA!AD56)-1</f>
        <v>-9.3456887783930354E-2</v>
      </c>
      <c r="AE53">
        <f ca="1">(DATA!AE57/DATA!AE56)-1</f>
        <v>5.8210200190657924E-2</v>
      </c>
      <c r="AF53">
        <f ca="1">(DATA!AF57/DATA!AF56)-1</f>
        <v>3.9109506618533185E-3</v>
      </c>
      <c r="AG53">
        <f ca="1">(DATA!AG57/DATA!AG56)-1</f>
        <v>3.0241758241758232E-2</v>
      </c>
      <c r="AH53">
        <f ca="1">(DATA!AH57/DATA!AH56)-1</f>
        <v>-0.12828140105599761</v>
      </c>
      <c r="AI53">
        <f ca="1">(DATA!AI57/DATA!AI56)-1</f>
        <v>-3.9042412981008079E-2</v>
      </c>
      <c r="AJ53">
        <f ca="1">(DATA!AJ57/DATA!AJ56)-1</f>
        <v>5.3794671044323783E-2</v>
      </c>
      <c r="AK53">
        <f ca="1">(DATA!AK57/DATA!AK56)-1</f>
        <v>-7.2585394581860974E-2</v>
      </c>
      <c r="AL53">
        <f ca="1">(DATA!AL57/DATA!AL56)-1</f>
        <v>-0.12219178082191784</v>
      </c>
      <c r="AM53">
        <f ca="1">(DATA!AM57/DATA!AM56)-1</f>
        <v>8.2704556589906941E-2</v>
      </c>
      <c r="AN53">
        <f ca="1">(DATA!AN57/DATA!AN56)-1</f>
        <v>1.5979129300505601E-2</v>
      </c>
      <c r="AO53">
        <f ca="1">(DATA!AO57/DATA!AO56)-1</f>
        <v>8.0518778708457361E-2</v>
      </c>
      <c r="AP53">
        <f ca="1">(DATA!AP57/DATA!AP56)-1</f>
        <v>5.6795660790653901E-2</v>
      </c>
      <c r="AQ53">
        <f ca="1">(DATA!AQ57/DATA!AQ56)-1</f>
        <v>6.9860092334372403E-2</v>
      </c>
      <c r="AR53">
        <f ca="1">(DATA!AR57/DATA!AR56)-1</f>
        <v>7.7058564509026928E-2</v>
      </c>
      <c r="AS53">
        <f ca="1">(DATA!AS57/DATA!AS56)-1</f>
        <v>1.0114632501685872E-2</v>
      </c>
      <c r="AT53">
        <f ca="1">(DATA!AT57/DATA!AT56)-1</f>
        <v>-1.968988432193064E-3</v>
      </c>
      <c r="AU53">
        <f ca="1">(DATA!AU57/DATA!AU56)-1</f>
        <v>-2.9941607653124591E-2</v>
      </c>
      <c r="AV53">
        <f ca="1">(DATA!AV57/DATA!AV56)-1</f>
        <v>0.12033476276110111</v>
      </c>
      <c r="AW53">
        <f ca="1">(DATA!AW57/DATA!AW56)-1</f>
        <v>-2.938725382692231E-2</v>
      </c>
    </row>
    <row r="54" spans="1:49">
      <c r="A54" vm="11947">
        <f ca="1">DATA!A58</f>
        <v>45444</v>
      </c>
      <c r="B54">
        <f ca="1">(DATA!B58/DATA!B57)-1</f>
        <v>0.11118598382749312</v>
      </c>
      <c r="C54">
        <f ca="1">(DATA!C58/DATA!C57)-1</f>
        <v>9.5552665799739867E-2</v>
      </c>
      <c r="D54">
        <f ca="1">(DATA!D58/DATA!D57)-1</f>
        <v>5.4380317314324911E-2</v>
      </c>
      <c r="E54">
        <f ca="1">(DATA!E58/DATA!E57)-1</f>
        <v>7.6650687736371736E-2</v>
      </c>
      <c r="F54">
        <f ca="1">(DATA!F58/DATA!F57)-1</f>
        <v>9.527318068465207E-2</v>
      </c>
      <c r="G54">
        <f ca="1">(DATA!G58/DATA!G57)-1</f>
        <v>5.5942028985507264E-2</v>
      </c>
      <c r="H54">
        <f ca="1">(DATA!H58/DATA!H57)-1</f>
        <v>8.0093395882869567E-2</v>
      </c>
      <c r="I54">
        <f ca="1">(DATA!I58/DATA!I57)-1</f>
        <v>-1.8339768339768248E-2</v>
      </c>
      <c r="J54">
        <f ca="1">(DATA!J58/DATA!J57)-1</f>
        <v>0.12685049209635801</v>
      </c>
      <c r="K54">
        <f ca="1">(DATA!K58/DATA!K57)-1</f>
        <v>-3.4771937001430997E-3</v>
      </c>
      <c r="L54">
        <f ca="1">(DATA!L58/DATA!L57)-1</f>
        <v>-3.666593261396156E-2</v>
      </c>
      <c r="M54">
        <f ca="1">(DATA!M58/DATA!M57)-1</f>
        <v>2.3094688221709792E-3</v>
      </c>
      <c r="N54">
        <f ca="1">(DATA!N58/DATA!N57)-1</f>
        <v>2.8039647132446444E-2</v>
      </c>
      <c r="O54">
        <f ca="1">(DATA!O58/DATA!O57)-1</f>
        <v>2.7981007555170745E-2</v>
      </c>
      <c r="P54">
        <f ca="1">(DATA!P58/DATA!P57)-1</f>
        <v>-1.3219406356946295E-2</v>
      </c>
      <c r="Q54">
        <f ca="1">(DATA!Q58/DATA!Q57)-1</f>
        <v>-2.3726448011165413E-2</v>
      </c>
      <c r="R54">
        <f ca="1">(DATA!R58/DATA!R57)-1</f>
        <v>1.1441283966311833E-2</v>
      </c>
      <c r="S54">
        <f ca="1">(DATA!S58/DATA!S57)-1</f>
        <v>-4.4461553267250431E-2</v>
      </c>
      <c r="T54">
        <f ca="1">(DATA!T58/DATA!T57)-1</f>
        <v>5.1837536236401638E-2</v>
      </c>
      <c r="U54">
        <f ca="1">(DATA!U58/DATA!U57)-1</f>
        <v>3.8897893030793718E-3</v>
      </c>
      <c r="V54">
        <f ca="1">(DATA!V58/DATA!V57)-1</f>
        <v>2.1720430107526889E-2</v>
      </c>
      <c r="W54">
        <f ca="1">(DATA!W58/DATA!W57)-1</f>
        <v>-1.8250042640286512E-2</v>
      </c>
      <c r="X54">
        <f ca="1">(DATA!X58/DATA!X57)-1</f>
        <v>-3.6229205175600909E-2</v>
      </c>
      <c r="Y54">
        <f ca="1">(DATA!Y58/DATA!Y57)-1</f>
        <v>2.965328467153272E-2</v>
      </c>
      <c r="Z54">
        <f ca="1">(DATA!Z58/DATA!Z57)-1</f>
        <v>4.8847420417124088E-2</v>
      </c>
      <c r="AA54">
        <f ca="1">(DATA!AA58/DATA!AA57)-1</f>
        <v>2.1871202916161625E-3</v>
      </c>
      <c r="AB54">
        <f ca="1">(DATA!AB58/DATA!AB57)-1</f>
        <v>-0.20704892162019983</v>
      </c>
      <c r="AC54">
        <f ca="1">(DATA!AC58/DATA!AC57)-1</f>
        <v>-1.5643709683649365E-2</v>
      </c>
      <c r="AD54">
        <f ca="1">(DATA!AD58/DATA!AD57)-1</f>
        <v>-2.9543754674644762E-2</v>
      </c>
      <c r="AE54">
        <f ca="1">(DATA!AE58/DATA!AE57)-1</f>
        <v>2.4773379877259138E-2</v>
      </c>
      <c r="AF54">
        <f ca="1">(DATA!AF58/DATA!AF57)-1</f>
        <v>3.6559784237338855E-2</v>
      </c>
      <c r="AG54">
        <f ca="1">(DATA!AG58/DATA!AG57)-1</f>
        <v>0.20488096253946586</v>
      </c>
      <c r="AH54">
        <f ca="1">(DATA!AH58/DATA!AH57)-1</f>
        <v>9.6655860774611968E-2</v>
      </c>
      <c r="AI54">
        <f ca="1">(DATA!AI58/DATA!AI57)-1</f>
        <v>0.24907815451029758</v>
      </c>
      <c r="AJ54">
        <f ca="1">(DATA!AJ58/DATA!AJ57)-1</f>
        <v>-2.8100659077291756E-2</v>
      </c>
      <c r="AK54">
        <f ca="1">(DATA!AK58/DATA!AK57)-1</f>
        <v>-7.8742657564692786E-2</v>
      </c>
      <c r="AL54">
        <f ca="1">(DATA!AL58/DATA!AL57)-1</f>
        <v>6.3982521847689711E-3</v>
      </c>
      <c r="AM54">
        <f ca="1">(DATA!AM58/DATA!AM57)-1</f>
        <v>1.647207892116942E-2</v>
      </c>
      <c r="AN54">
        <f ca="1">(DATA!AN58/DATA!AN57)-1</f>
        <v>1.8456106563954355E-2</v>
      </c>
      <c r="AO54">
        <f ca="1">(DATA!AO58/DATA!AO57)-1</f>
        <v>-5.5013753438358792E-3</v>
      </c>
      <c r="AP54">
        <f ca="1">(DATA!AP58/DATA!AP57)-1</f>
        <v>-1.825988254453903E-3</v>
      </c>
      <c r="AQ54">
        <f ca="1">(DATA!AQ58/DATA!AQ57)-1</f>
        <v>-9.200035047752575E-3</v>
      </c>
      <c r="AR54">
        <f ca="1">(DATA!AR58/DATA!AR57)-1</f>
        <v>-6.6434995911692774E-3</v>
      </c>
      <c r="AS54">
        <f ca="1">(DATA!AS58/DATA!AS57)-1</f>
        <v>-8.8451268357810919E-3</v>
      </c>
      <c r="AT54">
        <f ca="1">(DATA!AT58/DATA!AT57)-1</f>
        <v>-2.0961775585696563E-2</v>
      </c>
      <c r="AU54">
        <f ca="1">(DATA!AU58/DATA!AU57)-1</f>
        <v>-5.1997950819672178E-2</v>
      </c>
      <c r="AV54">
        <f ca="1">(DATA!AV58/DATA!AV57)-1</f>
        <v>4.9512896813147522E-2</v>
      </c>
      <c r="AW54">
        <f ca="1">(DATA!AW58/DATA!AW57)-1</f>
        <v>-3.7507343305164254E-3</v>
      </c>
    </row>
    <row r="55" spans="1:49">
      <c r="A55" vm="185">
        <f ca="1">DATA!A59</f>
        <v>45474</v>
      </c>
      <c r="B55">
        <f ca="1">(DATA!B59/DATA!B58)-1</f>
        <v>0.17278148372751168</v>
      </c>
      <c r="C55">
        <f ca="1">(DATA!C59/DATA!C58)-1</f>
        <v>5.4410787199696165E-2</v>
      </c>
      <c r="D55">
        <f ca="1">(DATA!D59/DATA!D58)-1</f>
        <v>-5.5991713008395894E-2</v>
      </c>
      <c r="E55">
        <f ca="1">(DATA!E59/DATA!E58)-1</f>
        <v>-6.3989260543684923E-2</v>
      </c>
      <c r="F55">
        <f ca="1">(DATA!F59/DATA!F58)-1</f>
        <v>-3.2445019404915953E-2</v>
      </c>
      <c r="G55">
        <f ca="1">(DATA!G59/DATA!G58)-1</f>
        <v>-5.8248696129563626E-2</v>
      </c>
      <c r="H55">
        <f ca="1">(DATA!H59/DATA!H58)-1</f>
        <v>-5.8288048867557896E-2</v>
      </c>
      <c r="I55">
        <f ca="1">(DATA!I59/DATA!I58)-1</f>
        <v>7.7925270403146563E-2</v>
      </c>
      <c r="J55">
        <f ca="1">(DATA!J59/DATA!J58)-1</f>
        <v>-5.2776428687065002E-2</v>
      </c>
      <c r="K55">
        <f ca="1">(DATA!K59/DATA!K58)-1</f>
        <v>7.9980842911877348E-2</v>
      </c>
      <c r="L55">
        <f ca="1">(DATA!L59/DATA!L58)-1</f>
        <v>1.2191869546995804E-2</v>
      </c>
      <c r="M55">
        <f ca="1">(DATA!M59/DATA!M58)-1</f>
        <v>-2.5224351200582085E-2</v>
      </c>
      <c r="N55">
        <f ca="1">(DATA!N59/DATA!N58)-1</f>
        <v>0.13136708164788113</v>
      </c>
      <c r="O55">
        <f ca="1">(DATA!O59/DATA!O58)-1</f>
        <v>6.9486404833836835E-2</v>
      </c>
      <c r="P55">
        <f ca="1">(DATA!P59/DATA!P58)-1</f>
        <v>5.1115241635687703E-2</v>
      </c>
      <c r="Q55">
        <f ca="1">(DATA!Q59/DATA!Q58)-1</f>
        <v>9.149392423159397E-2</v>
      </c>
      <c r="R55">
        <f ca="1">(DATA!R59/DATA!R58)-1</f>
        <v>4.8546739984288934E-2</v>
      </c>
      <c r="S55">
        <f ca="1">(DATA!S59/DATA!S58)-1</f>
        <v>-5.6400443146339074E-2</v>
      </c>
      <c r="T55">
        <f ca="1">(DATA!T59/DATA!T58)-1</f>
        <v>-6.8945590327169182E-2</v>
      </c>
      <c r="U55">
        <f ca="1">(DATA!U59/DATA!U58)-1</f>
        <v>-7.4265418146594042E-3</v>
      </c>
      <c r="V55">
        <f ca="1">(DATA!V59/DATA!V58)-1</f>
        <v>1.9785308356135678E-2</v>
      </c>
      <c r="W55">
        <f ca="1">(DATA!W59/DATA!W58)-1</f>
        <v>3.0142460041695518E-2</v>
      </c>
      <c r="X55">
        <f ca="1">(DATA!X59/DATA!X58)-1</f>
        <v>2.589182968929804E-2</v>
      </c>
      <c r="Y55">
        <f ca="1">(DATA!Y59/DATA!Y58)-1</f>
        <v>1.3735046521931915E-2</v>
      </c>
      <c r="Z55">
        <f ca="1">(DATA!Z59/DATA!Z58)-1</f>
        <v>7.3260073260073E-3</v>
      </c>
      <c r="AA55">
        <f ca="1">(DATA!AA59/DATA!AA58)-1</f>
        <v>-1.7458777885547949E-2</v>
      </c>
      <c r="AB55">
        <f ca="1">(DATA!AB59/DATA!AB58)-1</f>
        <v>-6.7666180177790025E-3</v>
      </c>
      <c r="AC55">
        <f ca="1">(DATA!AC59/DATA!AC58)-1</f>
        <v>4.143776487207651E-2</v>
      </c>
      <c r="AD55">
        <f ca="1">(DATA!AD59/DATA!AD58)-1</f>
        <v>1.2845215157355483E-3</v>
      </c>
      <c r="AE55">
        <f ca="1">(DATA!AE59/DATA!AE58)-1</f>
        <v>4.7195209054447629E-2</v>
      </c>
      <c r="AF55">
        <f ca="1">(DATA!AF59/DATA!AF58)-1</f>
        <v>0.11095692396646428</v>
      </c>
      <c r="AG55">
        <f ca="1">(DATA!AG59/DATA!AG58)-1</f>
        <v>-1.2393767705382475E-2</v>
      </c>
      <c r="AH55">
        <f ca="1">(DATA!AH59/DATA!AH58)-1</f>
        <v>6.612213146635515E-3</v>
      </c>
      <c r="AI55">
        <f ca="1">(DATA!AI59/DATA!AI58)-1</f>
        <v>-7.0021960614896628E-3</v>
      </c>
      <c r="AJ55">
        <f ca="1">(DATA!AJ59/DATA!AJ58)-1</f>
        <v>-0.10930275568707237</v>
      </c>
      <c r="AK55">
        <f ca="1">(DATA!AK59/DATA!AK58)-1</f>
        <v>0.13355161123556791</v>
      </c>
      <c r="AL55">
        <f ca="1">(DATA!AL59/DATA!AL58)-1</f>
        <v>-4.0471390913319749E-2</v>
      </c>
      <c r="AM55">
        <f ca="1">(DATA!AM59/DATA!AM58)-1</f>
        <v>0.12233995191879621</v>
      </c>
      <c r="AN55">
        <f ca="1">(DATA!AN59/DATA!AN58)-1</f>
        <v>2.2376300031515806E-2</v>
      </c>
      <c r="AO55">
        <f ca="1">(DATA!AO59/DATA!AO58)-1</f>
        <v>1.3578073925069045E-2</v>
      </c>
      <c r="AP55">
        <f ca="1">(DATA!AP59/DATA!AP58)-1</f>
        <v>5.2111144071986581E-2</v>
      </c>
      <c r="AQ55">
        <f ca="1">(DATA!AQ59/DATA!AQ58)-1</f>
        <v>0.12537584011319414</v>
      </c>
      <c r="AR55">
        <f ca="1">(DATA!AR59/DATA!AR58)-1</f>
        <v>6.1940528860993993E-2</v>
      </c>
      <c r="AS55">
        <f ca="1">(DATA!AS59/DATA!AS58)-1</f>
        <v>-8.4189257450739685E-4</v>
      </c>
      <c r="AT55">
        <f ca="1">(DATA!AT59/DATA!AT58)-1</f>
        <v>0.13047858942065482</v>
      </c>
      <c r="AU55">
        <f ca="1">(DATA!AU59/DATA!AU58)-1</f>
        <v>1.6009186706295697E-2</v>
      </c>
      <c r="AV55">
        <f ca="1">(DATA!AV59/DATA!AV58)-1</f>
        <v>-3.2929799174107988E-2</v>
      </c>
      <c r="AW55">
        <f ca="1">(DATA!AW59/DATA!AW58)-1</f>
        <v>0.11362605461308162</v>
      </c>
    </row>
    <row r="56" spans="1:49">
      <c r="A56" vm="207">
        <f ca="1">DATA!A60</f>
        <v>45505</v>
      </c>
      <c r="B56">
        <f ca="1">(DATA!B60/DATA!B59)-1</f>
        <v>-7.7390442538889048E-2</v>
      </c>
      <c r="C56">
        <f ca="1">(DATA!C60/DATA!C59)-1</f>
        <v>3.115994236311237E-2</v>
      </c>
      <c r="D56">
        <f ca="1">(DATA!D60/DATA!D59)-1</f>
        <v>-4.6433727981518902E-2</v>
      </c>
      <c r="E56">
        <f ca="1">(DATA!E60/DATA!E59)-1</f>
        <v>-2.8923150472093262E-3</v>
      </c>
      <c r="F56">
        <f ca="1">(DATA!F60/DATA!F59)-1</f>
        <v>-4.535244411166961E-2</v>
      </c>
      <c r="G56">
        <f ca="1">(DATA!G60/DATA!G59)-1</f>
        <v>-4.7569080097936367E-2</v>
      </c>
      <c r="H56">
        <f ca="1">(DATA!H60/DATA!H59)-1</f>
        <v>9.7887665059073647E-2</v>
      </c>
      <c r="I56">
        <f ca="1">(DATA!I60/DATA!I59)-1</f>
        <v>8.5336374002280557E-2</v>
      </c>
      <c r="J56">
        <f ca="1">(DATA!J60/DATA!J59)-1</f>
        <v>2.008203725858837E-2</v>
      </c>
      <c r="K56">
        <f ca="1">(DATA!K60/DATA!K59)-1</f>
        <v>5.0744377573646027E-2</v>
      </c>
      <c r="L56">
        <f ca="1">(DATA!L60/DATA!L59)-1</f>
        <v>4.0275529792599851E-2</v>
      </c>
      <c r="M56">
        <f ca="1">(DATA!M60/DATA!M59)-1</f>
        <v>6.7056481711868621E-2</v>
      </c>
      <c r="N56">
        <f ca="1">(DATA!N60/DATA!N59)-1</f>
        <v>2.4368231046931532E-2</v>
      </c>
      <c r="O56">
        <f ca="1">(DATA!O60/DATA!O59)-1</f>
        <v>9.2351151673186749E-4</v>
      </c>
      <c r="P56">
        <f ca="1">(DATA!P60/DATA!P59)-1</f>
        <v>4.2332492290440227E-2</v>
      </c>
      <c r="Q56">
        <f ca="1">(DATA!Q60/DATA!Q59)-1</f>
        <v>-5.0098231827111928E-2</v>
      </c>
      <c r="R56">
        <f ca="1">(DATA!R60/DATA!R59)-1</f>
        <v>8.5855558885226335E-2</v>
      </c>
      <c r="S56">
        <f ca="1">(DATA!S60/DATA!S59)-1</f>
        <v>-3.5329277404205328E-2</v>
      </c>
      <c r="T56">
        <f ca="1">(DATA!T60/DATA!T59)-1</f>
        <v>0.11617728972706298</v>
      </c>
      <c r="U56">
        <f ca="1">(DATA!U60/DATA!U59)-1</f>
        <v>-0.28301886792452824</v>
      </c>
      <c r="V56">
        <f ca="1">(DATA!V60/DATA!V59)-1</f>
        <v>4.3137254901960631E-2</v>
      </c>
      <c r="W56">
        <f ca="1">(DATA!W60/DATA!W59)-1</f>
        <v>-5.4810692301205943E-3</v>
      </c>
      <c r="X56">
        <f ca="1">(DATA!X60/DATA!X59)-1</f>
        <v>-7.8020813859288385E-2</v>
      </c>
      <c r="Y56">
        <f ca="1">(DATA!Y60/DATA!Y59)-1</f>
        <v>0.12514568764568779</v>
      </c>
      <c r="Z56">
        <f ca="1">(DATA!Z60/DATA!Z59)-1</f>
        <v>3.3766233766233666E-2</v>
      </c>
      <c r="AA56">
        <f ca="1">(DATA!AA60/DATA!AA59)-1</f>
        <v>3.1095755182625862E-2</v>
      </c>
      <c r="AB56">
        <f ca="1">(DATA!AB60/DATA!AB59)-1</f>
        <v>0.11301095378039006</v>
      </c>
      <c r="AC56">
        <f ca="1">(DATA!AC60/DATA!AC59)-1</f>
        <v>8.7641296156744763E-2</v>
      </c>
      <c r="AD56">
        <f ca="1">(DATA!AD60/DATA!AD59)-1</f>
        <v>0.21321359846055143</v>
      </c>
      <c r="AE56">
        <f ca="1">(DATA!AE60/DATA!AE59)-1</f>
        <v>-8.845750262329477E-2</v>
      </c>
      <c r="AF56">
        <f ca="1">(DATA!AF60/DATA!AF59)-1</f>
        <v>5.1993338190902572E-2</v>
      </c>
      <c r="AG56">
        <f ca="1">(DATA!AG60/DATA!AG59)-1</f>
        <v>1.3194693438508542E-2</v>
      </c>
      <c r="AH56">
        <f ca="1">(DATA!AH60/DATA!AH59)-1</f>
        <v>-2.2797527047913491E-2</v>
      </c>
      <c r="AI56">
        <f ca="1">(DATA!AI60/DATA!AI59)-1</f>
        <v>4.1258044049669262E-2</v>
      </c>
      <c r="AJ56">
        <f ca="1">(DATA!AJ60/DATA!AJ59)-1</f>
        <v>2.8239202657807327E-2</v>
      </c>
      <c r="AK56">
        <f ca="1">(DATA!AK60/DATA!AK59)-1</f>
        <v>0.10109455761629693</v>
      </c>
      <c r="AL56">
        <f ca="1">(DATA!AL60/DATA!AL59)-1</f>
        <v>6.7873303167420795E-2</v>
      </c>
      <c r="AM56">
        <f ca="1">(DATA!AM60/DATA!AM59)-1</f>
        <v>1.404204680682275E-2</v>
      </c>
      <c r="AN56">
        <f ca="1">(DATA!AN60/DATA!AN59)-1</f>
        <v>-3.4525277435265012E-2</v>
      </c>
      <c r="AO56">
        <f ca="1">(DATA!AO60/DATA!AO59)-1</f>
        <v>1.0915405606549244E-2</v>
      </c>
      <c r="AP56">
        <f ca="1">(DATA!AP60/DATA!AP59)-1</f>
        <v>5.6390977443609103E-2</v>
      </c>
      <c r="AQ56">
        <f ca="1">(DATA!AQ60/DATA!AQ59)-1</f>
        <v>2.3967153212973713E-3</v>
      </c>
      <c r="AR56">
        <f ca="1">(DATA!AR60/DATA!AR59)-1</f>
        <v>3.8755934502470168E-3</v>
      </c>
      <c r="AS56">
        <f ca="1">(DATA!AS60/DATA!AS59)-1</f>
        <v>-1.4661274014155734E-2</v>
      </c>
      <c r="AT56">
        <f ca="1">(DATA!AT60/DATA!AT59)-1</f>
        <v>5.2361853832441962E-2</v>
      </c>
      <c r="AU56">
        <f ca="1">(DATA!AU60/DATA!AU59)-1</f>
        <v>2.1341666112625557E-2</v>
      </c>
      <c r="AV56">
        <f ca="1">(DATA!AV60/DATA!AV59)-1</f>
        <v>8.5620437956204443E-2</v>
      </c>
      <c r="AW56">
        <f ca="1">(DATA!AW60/DATA!AW59)-1</f>
        <v>1.2178729990631743E-2</v>
      </c>
    </row>
    <row r="57" spans="1:49">
      <c r="A57" vm="11950">
        <f ca="1">DATA!A61</f>
        <v>45536</v>
      </c>
      <c r="B57">
        <f ca="1">(DATA!B61/DATA!B60)-1</f>
        <v>0.22194199243379553</v>
      </c>
      <c r="C57">
        <f ca="1">(DATA!C61/DATA!C60)-1</f>
        <v>1.7467248908296984E-2</v>
      </c>
      <c r="D57">
        <f ca="1">(DATA!D61/DATA!D60)-1</f>
        <v>1.2597662164617329E-2</v>
      </c>
      <c r="E57">
        <f ca="1">(DATA!E61/DATA!E60)-1</f>
        <v>3.1548161288776022E-2</v>
      </c>
      <c r="F57">
        <f ca="1">(DATA!F61/DATA!F60)-1</f>
        <v>4.3865546218487372E-2</v>
      </c>
      <c r="G57">
        <f ca="1">(DATA!G61/DATA!G60)-1</f>
        <v>1.5118129514016365E-2</v>
      </c>
      <c r="H57">
        <f ca="1">(DATA!H61/DATA!H60)-1</f>
        <v>9.8079837332873065E-2</v>
      </c>
      <c r="I57">
        <f ca="1">(DATA!I61/DATA!I60)-1</f>
        <v>-3.2904689863842762E-2</v>
      </c>
      <c r="J57">
        <f ca="1">(DATA!J61/DATA!J60)-1</f>
        <v>1.7341040462427681E-2</v>
      </c>
      <c r="K57">
        <f ca="1">(DATA!K61/DATA!K60)-1</f>
        <v>-2.2910888701314414E-2</v>
      </c>
      <c r="L57">
        <f ca="1">(DATA!L61/DATA!L60)-1</f>
        <v>-5.1380395846148952E-3</v>
      </c>
      <c r="M57">
        <f ca="1">(DATA!M61/DATA!M60)-1</f>
        <v>9.6770432552173435E-3</v>
      </c>
      <c r="N57">
        <f ca="1">(DATA!N61/DATA!N60)-1</f>
        <v>-9.3527617756694603E-3</v>
      </c>
      <c r="O57">
        <f ca="1">(DATA!O61/DATA!O60)-1</f>
        <v>9.9592944369063741E-2</v>
      </c>
      <c r="P57">
        <f ca="1">(DATA!P61/DATA!P60)-1</f>
        <v>2.164108081267857E-2</v>
      </c>
      <c r="Q57">
        <f ca="1">(DATA!Q61/DATA!Q60)-1</f>
        <v>-2.4129610479145525E-3</v>
      </c>
      <c r="R57">
        <f ca="1">(DATA!R61/DATA!R60)-1</f>
        <v>-8.4172761142541352E-3</v>
      </c>
      <c r="S57">
        <f ca="1">(DATA!S61/DATA!S60)-1</f>
        <v>6.4284133657888987E-2</v>
      </c>
      <c r="T57">
        <f ca="1">(DATA!T61/DATA!T60)-1</f>
        <v>1.1292507307335775E-2</v>
      </c>
      <c r="U57">
        <f ca="1">(DATA!U61/DATA!U60)-1</f>
        <v>6.4428312159709789E-2</v>
      </c>
      <c r="V57">
        <f ca="1">(DATA!V61/DATA!V60)-1</f>
        <v>5.3027305104867528E-2</v>
      </c>
      <c r="W57">
        <f ca="1">(DATA!W61/DATA!W60)-1</f>
        <v>-6.10479905036454E-3</v>
      </c>
      <c r="X57">
        <f ca="1">(DATA!X61/DATA!X60)-1</f>
        <v>-4.5961473470765846E-3</v>
      </c>
      <c r="Y57">
        <f ca="1">(DATA!Y61/DATA!Y60)-1</f>
        <v>4.5578143208597544E-2</v>
      </c>
      <c r="Z57">
        <f ca="1">(DATA!Z61/DATA!Z60)-1</f>
        <v>0.1055276381909549</v>
      </c>
      <c r="AA57">
        <f ca="1">(DATA!AA61/DATA!AA60)-1</f>
        <v>7.4916227860220008E-2</v>
      </c>
      <c r="AB57">
        <f ca="1">(DATA!AB61/DATA!AB60)-1</f>
        <v>6.0969755160825923E-2</v>
      </c>
      <c r="AC57">
        <f ca="1">(DATA!AC61/DATA!AC60)-1</f>
        <v>5.4908889350793189E-2</v>
      </c>
      <c r="AD57">
        <f ca="1">(DATA!AD61/DATA!AD60)-1</f>
        <v>3.0876599344400901E-2</v>
      </c>
      <c r="AE57">
        <f ca="1">(DATA!AE61/DATA!AE60)-1</f>
        <v>-0.12489927477840457</v>
      </c>
      <c r="AF57">
        <f ca="1">(DATA!AF61/DATA!AF60)-1</f>
        <v>9.3751546034730238E-2</v>
      </c>
      <c r="AG57">
        <f ca="1">(DATA!AG61/DATA!AG60)-1</f>
        <v>0.20603015075376896</v>
      </c>
      <c r="AH57">
        <f ca="1">(DATA!AH61/DATA!AH60)-1</f>
        <v>8.2285488335310353E-2</v>
      </c>
      <c r="AI57">
        <f ca="1">(DATA!AI61/DATA!AI60)-1</f>
        <v>-9.8588116502150047E-2</v>
      </c>
      <c r="AJ57">
        <f ca="1">(DATA!AJ61/DATA!AJ60)-1</f>
        <v>0.10446957458266026</v>
      </c>
      <c r="AK57">
        <f ca="1">(DATA!AK61/DATA!AK60)-1</f>
        <v>7.7316029269639541E-2</v>
      </c>
      <c r="AL57">
        <f ca="1">(DATA!AL61/DATA!AL60)-1</f>
        <v>1.5889830508474478E-2</v>
      </c>
      <c r="AM57">
        <f ca="1">(DATA!AM61/DATA!AM60)-1</f>
        <v>-1.2048192771084265E-2</v>
      </c>
      <c r="AN57">
        <f ca="1">(DATA!AN61/DATA!AN60)-1</f>
        <v>-6.3856960408681385E-4</v>
      </c>
      <c r="AO57">
        <f ca="1">(DATA!AO61/DATA!AO60)-1</f>
        <v>-2.6257668711656468E-2</v>
      </c>
      <c r="AP57">
        <f ca="1">(DATA!AP61/DATA!AP60)-1</f>
        <v>-6.2010676156583622E-2</v>
      </c>
      <c r="AQ57">
        <f ca="1">(DATA!AQ61/DATA!AQ60)-1</f>
        <v>-2.9671729544340941E-2</v>
      </c>
      <c r="AR57">
        <f ca="1">(DATA!AR61/DATA!AR60)-1</f>
        <v>6.0804941607952578E-3</v>
      </c>
      <c r="AS57">
        <f ca="1">(DATA!AS61/DATA!AS60)-1</f>
        <v>-3.3863519753719817E-2</v>
      </c>
      <c r="AT57">
        <f ca="1">(DATA!AT61/DATA!AT60)-1</f>
        <v>-3.1759474910014851E-2</v>
      </c>
      <c r="AU57">
        <f ca="1">(DATA!AU61/DATA!AU60)-1</f>
        <v>1.458143470902229E-2</v>
      </c>
      <c r="AV57">
        <f ca="1">(DATA!AV61/DATA!AV60)-1</f>
        <v>-6.5667092494229307E-3</v>
      </c>
      <c r="AW57">
        <f ca="1">(DATA!AW61/DATA!AW60)-1</f>
        <v>8.9939637826961905E-2</v>
      </c>
    </row>
    <row r="58" spans="1:49">
      <c r="A58" vm="249">
        <f ca="1">DATA!A62</f>
        <v>45566</v>
      </c>
      <c r="B58">
        <f ca="1">(DATA!B62/DATA!B61)-1</f>
        <v>-4.5025417574437232E-2</v>
      </c>
      <c r="C58">
        <f ca="1">(DATA!C62/DATA!C61)-1</f>
        <v>-3.0429184549356281E-2</v>
      </c>
      <c r="D58">
        <f ca="1">(DATA!D62/DATA!D61)-1</f>
        <v>3.2896704348346129E-2</v>
      </c>
      <c r="E58">
        <f ca="1">(DATA!E62/DATA!E61)-1</f>
        <v>-5.5658842667906105E-2</v>
      </c>
      <c r="F58">
        <f ca="1">(DATA!F62/DATA!F61)-1</f>
        <v>3.7567756131595686E-4</v>
      </c>
      <c r="G58">
        <f ca="1">(DATA!G62/DATA!G61)-1</f>
        <v>3.1715405486885784E-2</v>
      </c>
      <c r="H58">
        <f ca="1">(DATA!H62/DATA!H61)-1</f>
        <v>-8.4899727482355969E-3</v>
      </c>
      <c r="I58">
        <f ca="1">(DATA!I62/DATA!I61)-1</f>
        <v>-2.0292877938556386E-2</v>
      </c>
      <c r="J58">
        <f ca="1">(DATA!J62/DATA!J61)-1</f>
        <v>9.3214756258234388E-2</v>
      </c>
      <c r="K58">
        <f ca="1">(DATA!K62/DATA!K61)-1</f>
        <v>-1.3575219054671073E-2</v>
      </c>
      <c r="L58">
        <f ca="1">(DATA!L62/DATA!L61)-1</f>
        <v>5.4191671212947989E-2</v>
      </c>
      <c r="M58">
        <f ca="1">(DATA!M62/DATA!M61)-1</f>
        <v>-4.6304849884526433E-2</v>
      </c>
      <c r="N58">
        <f ca="1">(DATA!N62/DATA!N61)-1</f>
        <v>-3.4514606280358406E-2</v>
      </c>
      <c r="O58">
        <f ca="1">(DATA!O62/DATA!O61)-1</f>
        <v>-2.8257650542941715E-2</v>
      </c>
      <c r="P58">
        <f ca="1">(DATA!P62/DATA!P61)-1</f>
        <v>1.172539489671931E-2</v>
      </c>
      <c r="Q58">
        <f ca="1">(DATA!Q62/DATA!Q61)-1</f>
        <v>-2.2114720110573582E-2</v>
      </c>
      <c r="R58">
        <f ca="1">(DATA!R62/DATA!R61)-1</f>
        <v>-9.114945727804058E-2</v>
      </c>
      <c r="S58">
        <f ca="1">(DATA!S62/DATA!S61)-1</f>
        <v>1.0396091069764246E-4</v>
      </c>
      <c r="T58">
        <f ca="1">(DATA!T62/DATA!T61)-1</f>
        <v>6.5926938965415127E-2</v>
      </c>
      <c r="U58">
        <f ca="1">(DATA!U62/DATA!U61)-1</f>
        <v>-8.2693947144075075E-2</v>
      </c>
      <c r="V58">
        <f ca="1">(DATA!V62/DATA!V61)-1</f>
        <v>2.9124389327320532E-2</v>
      </c>
      <c r="W58">
        <f ca="1">(DATA!W62/DATA!W61)-1</f>
        <v>-3.7536256611500063E-3</v>
      </c>
      <c r="X58">
        <f ca="1">(DATA!X62/DATA!X61)-1</f>
        <v>1.0524886263325817E-2</v>
      </c>
      <c r="Y58">
        <f ca="1">(DATA!Y62/DATA!Y61)-1</f>
        <v>1.4860681114551078E-2</v>
      </c>
      <c r="Z58">
        <f ca="1">(DATA!Z62/DATA!Z61)-1</f>
        <v>2.4545454545454426E-2</v>
      </c>
      <c r="AA58">
        <f ca="1">(DATA!AA62/DATA!AA61)-1</f>
        <v>-6.1901580939656919E-2</v>
      </c>
      <c r="AB58">
        <f ca="1">(DATA!AB62/DATA!AB61)-1</f>
        <v>-0.12748868778280553</v>
      </c>
      <c r="AC58">
        <f ca="1">(DATA!AC62/DATA!AC61)-1</f>
        <v>-4.0721158582640915E-2</v>
      </c>
      <c r="AD58">
        <f ca="1">(DATA!AD62/DATA!AD61)-1</f>
        <v>2.1540670838036124E-3</v>
      </c>
      <c r="AE58">
        <f ca="1">(DATA!AE62/DATA!AE61)-1</f>
        <v>-1.7955801104972302E-2</v>
      </c>
      <c r="AF58">
        <f ca="1">(DATA!AF62/DATA!AF61)-1</f>
        <v>-6.4953862855075095E-2</v>
      </c>
      <c r="AG58">
        <f ca="1">(DATA!AG62/DATA!AG61)-1</f>
        <v>-1.5023474178403773E-2</v>
      </c>
      <c r="AH58">
        <f ca="1">(DATA!AH62/DATA!AH61)-1</f>
        <v>6.4520843228234259E-2</v>
      </c>
      <c r="AI58">
        <f ca="1">(DATA!AI62/DATA!AI61)-1</f>
        <v>-7.6673490671713806E-2</v>
      </c>
      <c r="AJ58">
        <f ca="1">(DATA!AJ62/DATA!AJ61)-1</f>
        <v>-0.12195270599707475</v>
      </c>
      <c r="AK58">
        <f ca="1">(DATA!AK62/DATA!AK61)-1</f>
        <v>1.6275791362296399E-2</v>
      </c>
      <c r="AL58">
        <f ca="1">(DATA!AL62/DATA!AL61)-1</f>
        <v>7.7312676895575638E-2</v>
      </c>
      <c r="AM58">
        <f ca="1">(DATA!AM62/DATA!AM61)-1</f>
        <v>-0.10563826417484956</v>
      </c>
      <c r="AN58">
        <f ca="1">(DATA!AN62/DATA!AN61)-1</f>
        <v>2.5079872204472942E-2</v>
      </c>
      <c r="AO58">
        <f ca="1">(DATA!AO62/DATA!AO61)-1</f>
        <v>5.3931451612903247E-2</v>
      </c>
      <c r="AP58">
        <f ca="1">(DATA!AP62/DATA!AP61)-1</f>
        <v>5.2451863795883291E-2</v>
      </c>
      <c r="AQ58">
        <f ca="1">(DATA!AQ62/DATA!AQ61)-1</f>
        <v>4.5808002262123448E-2</v>
      </c>
      <c r="AR58">
        <f ca="1">(DATA!AR62/DATA!AR61)-1</f>
        <v>0.1152148887183424</v>
      </c>
      <c r="AS58">
        <f ca="1">(DATA!AS62/DATA!AS61)-1</f>
        <v>0.14922995220392998</v>
      </c>
      <c r="AT58">
        <f ca="1">(DATA!AT62/DATA!AT61)-1</f>
        <v>5.6418106275967661E-2</v>
      </c>
      <c r="AU58">
        <f ca="1">(DATA!AU62/DATA!AU61)-1</f>
        <v>-3.7341203644296272E-2</v>
      </c>
      <c r="AV58">
        <f ca="1">(DATA!AV62/DATA!AV61)-1</f>
        <v>-1.3919595722600819E-2</v>
      </c>
      <c r="AW58">
        <f ca="1">(DATA!AW62/DATA!AW61)-1</f>
        <v>-3.3302565995938838E-2</v>
      </c>
    </row>
    <row r="59" spans="1:49">
      <c r="A59" vm="272">
        <f ca="1">DATA!A63</f>
        <v>45597</v>
      </c>
      <c r="B59">
        <f ca="1">(DATA!B63/DATA!B62)-1</f>
        <v>0.38146888132879742</v>
      </c>
      <c r="C59">
        <f ca="1">(DATA!C63/DATA!C62)-1</f>
        <v>5.0551104422114967E-2</v>
      </c>
      <c r="D59">
        <f ca="1">(DATA!D63/DATA!D62)-1</f>
        <v>-1.2739591174937726E-2</v>
      </c>
      <c r="E59">
        <f ca="1">(DATA!E63/DATA!E62)-1</f>
        <v>4.2106558385627935E-2</v>
      </c>
      <c r="F59">
        <f ca="1">(DATA!F63/DATA!F62)-1</f>
        <v>0.11528969957081525</v>
      </c>
      <c r="G59">
        <f ca="1">(DATA!G63/DATA!G62)-1</f>
        <v>-1.2623458593887138E-2</v>
      </c>
      <c r="H59">
        <f ca="1">(DATA!H63/DATA!H62)-1</f>
        <v>1.1874977976672918E-2</v>
      </c>
      <c r="I59">
        <f ca="1">(DATA!I63/DATA!I62)-1</f>
        <v>7.1187793843697333E-2</v>
      </c>
      <c r="J59">
        <f ca="1">(DATA!J63/DATA!J62)-1</f>
        <v>4.1352817113588403E-2</v>
      </c>
      <c r="K59">
        <f ca="1">(DATA!K63/DATA!K62)-1</f>
        <v>-3.0339046665832758E-2</v>
      </c>
      <c r="L59">
        <f ca="1">(DATA!L63/DATA!L62)-1</f>
        <v>8.7045023287907419E-2</v>
      </c>
      <c r="M59">
        <f ca="1">(DATA!M63/DATA!M62)-1</f>
        <v>8.5240343867296176E-2</v>
      </c>
      <c r="N59">
        <f ca="1">(DATA!N63/DATA!N62)-1</f>
        <v>8.0956598759964749E-2</v>
      </c>
      <c r="O59">
        <f ca="1">(DATA!O63/DATA!O62)-1</f>
        <v>8.9853968253968297E-2</v>
      </c>
      <c r="P59">
        <f ca="1">(DATA!P63/DATA!P62)-1</f>
        <v>6.6754738885886677E-2</v>
      </c>
      <c r="Q59">
        <f ca="1">(DATA!Q63/DATA!Q62)-1</f>
        <v>-7.3851590106007059E-2</v>
      </c>
      <c r="R59">
        <f ca="1">(DATA!R63/DATA!R62)-1</f>
        <v>-1.8833256775379059E-2</v>
      </c>
      <c r="S59">
        <f ca="1">(DATA!S63/DATA!S62)-1</f>
        <v>0.22110187110187107</v>
      </c>
      <c r="T59">
        <f ca="1">(DATA!T63/DATA!T62)-1</f>
        <v>0.17298255360237014</v>
      </c>
      <c r="U59">
        <f ca="1">(DATA!U63/DATA!U62)-1</f>
        <v>0.11756505576208176</v>
      </c>
      <c r="V59">
        <f ca="1">(DATA!V63/DATA!V62)-1</f>
        <v>8.1066277159028699E-2</v>
      </c>
      <c r="W59">
        <f ca="1">(DATA!W63/DATA!W62)-1</f>
        <v>1.0104469943483352E-2</v>
      </c>
      <c r="X59">
        <f ca="1">(DATA!X63/DATA!X62)-1</f>
        <v>8.8092998252923049E-2</v>
      </c>
      <c r="Y59">
        <f ca="1">(DATA!Y63/DATA!Y62)-1</f>
        <v>0.12873703477730314</v>
      </c>
      <c r="Z59">
        <f ca="1">(DATA!Z63/DATA!Z62)-1</f>
        <v>2.7506654835847355E-2</v>
      </c>
      <c r="AA59">
        <f ca="1">(DATA!AA63/DATA!AA62)-1</f>
        <v>5.2456681699501573E-2</v>
      </c>
      <c r="AB59">
        <f ca="1">(DATA!AB63/DATA!AB62)-1</f>
        <v>2.1262803059769242E-2</v>
      </c>
      <c r="AC59">
        <f ca="1">(DATA!AC63/DATA!AC62)-1</f>
        <v>1.3351134846461887E-2</v>
      </c>
      <c r="AD59">
        <f ca="1">(DATA!AD63/DATA!AD62)-1</f>
        <v>4.8720573183213878E-2</v>
      </c>
      <c r="AE59">
        <f ca="1">(DATA!AE63/DATA!AE62)-1</f>
        <v>4.1055522068180306E-2</v>
      </c>
      <c r="AF59">
        <f ca="1">(DATA!AF63/DATA!AF62)-1</f>
        <v>0.10008707430340547</v>
      </c>
      <c r="AG59">
        <f ca="1">(DATA!AG63/DATA!AG62)-1</f>
        <v>0.10128693994280269</v>
      </c>
      <c r="AH59">
        <f ca="1">(DATA!AH63/DATA!AH62)-1</f>
        <v>0.13254624703984619</v>
      </c>
      <c r="AI59">
        <f ca="1">(DATA!AI63/DATA!AI62)-1</f>
        <v>7.9170850066934362E-2</v>
      </c>
      <c r="AJ59">
        <f ca="1">(DATA!AJ63/DATA!AJ62)-1</f>
        <v>-4.7858679808426285E-2</v>
      </c>
      <c r="AK59">
        <f ca="1">(DATA!AK63/DATA!AK62)-1</f>
        <v>9.4199243379571307E-2</v>
      </c>
      <c r="AL59">
        <f ca="1">(DATA!AL63/DATA!AL62)-1</f>
        <v>0.2244192477876108</v>
      </c>
      <c r="AM59">
        <f ca="1">(DATA!AM63/DATA!AM62)-1</f>
        <v>3.4000354170355962E-2</v>
      </c>
      <c r="AN59">
        <f ca="1">(DATA!AN63/DATA!AN62)-1</f>
        <v>0.10441016051114227</v>
      </c>
      <c r="AO59">
        <f ca="1">(DATA!AO63/DATA!AO62)-1</f>
        <v>0.13605930176948822</v>
      </c>
      <c r="AP59">
        <f ca="1">(DATA!AP63/DATA!AP62)-1</f>
        <v>0.12527036770007216</v>
      </c>
      <c r="AQ59">
        <f ca="1">(DATA!AQ63/DATA!AQ62)-1</f>
        <v>0.17532204175437927</v>
      </c>
      <c r="AR59">
        <f ca="1">(DATA!AR63/DATA!AR62)-1</f>
        <v>0.1321290322580646</v>
      </c>
      <c r="AS59">
        <f ca="1">(DATA!AS63/DATA!AS62)-1</f>
        <v>0.17329020332717193</v>
      </c>
      <c r="AT59">
        <f ca="1">(DATA!AT63/DATA!AT62)-1</f>
        <v>0.10308424756779133</v>
      </c>
      <c r="AU59">
        <f ca="1">(DATA!AU63/DATA!AU62)-1</f>
        <v>-0.11816848840309246</v>
      </c>
      <c r="AV59">
        <f ca="1">(DATA!AV63/DATA!AV62)-1</f>
        <v>0.11176187970440865</v>
      </c>
      <c r="AW59">
        <f ca="1">(DATA!AW63/DATA!AW62)-1</f>
        <v>4.0484283695527701E-2</v>
      </c>
    </row>
    <row r="60" spans="1:49">
      <c r="A60" vm="11954">
        <f ca="1">DATA!A64</f>
        <v>45627</v>
      </c>
      <c r="B60">
        <f ca="1">(DATA!B64/DATA!B63)-1</f>
        <v>0.16175107196662419</v>
      </c>
      <c r="C60">
        <f ca="1">(DATA!C64/DATA!C63)-1</f>
        <v>4.3989381873341005E-2</v>
      </c>
      <c r="D60">
        <f ca="1">(DATA!D64/DATA!D63)-1</f>
        <v>9.4081764326353401E-2</v>
      </c>
      <c r="E60">
        <f ca="1">(DATA!E64/DATA!E63)-1</f>
        <v>4.6922967930855375E-2</v>
      </c>
      <c r="F60">
        <f ca="1">(DATA!F64/DATA!F63)-1</f>
        <v>8.2495550531531237E-2</v>
      </c>
      <c r="G60">
        <f ca="1">(DATA!G64/DATA!G63)-1</f>
        <v>9.6004735128736307E-2</v>
      </c>
      <c r="H60">
        <f ca="1">(DATA!H64/DATA!H63)-1</f>
        <v>7.8353531132469678E-2</v>
      </c>
      <c r="I60">
        <f ca="1">(DATA!I64/DATA!I63)-1</f>
        <v>-4.2503416007618644E-2</v>
      </c>
      <c r="J60">
        <f ca="1">(DATA!J64/DATA!J63)-1</f>
        <v>-2.3001808318264039E-2</v>
      </c>
      <c r="K60">
        <f ca="1">(DATA!K64/DATA!K63)-1</f>
        <v>-3.7287916908586571E-2</v>
      </c>
      <c r="L60">
        <f ca="1">(DATA!L64/DATA!L63)-1</f>
        <v>-8.569252253395887E-3</v>
      </c>
      <c r="M60">
        <f ca="1">(DATA!M64/DATA!M63)-1</f>
        <v>-3.8937855628695672E-2</v>
      </c>
      <c r="N60">
        <f ca="1">(DATA!N64/DATA!N63)-1</f>
        <v>-7.3762700753851163E-2</v>
      </c>
      <c r="O60">
        <f ca="1">(DATA!O64/DATA!O63)-1</f>
        <v>-1.5240137021415467E-2</v>
      </c>
      <c r="P60">
        <f ca="1">(DATA!P64/DATA!P63)-1</f>
        <v>-7.3741884639922928E-3</v>
      </c>
      <c r="Q60">
        <f ca="1">(DATA!Q64/DATA!Q63)-1</f>
        <v>-2.441816100724914E-2</v>
      </c>
      <c r="R60">
        <f ca="1">(DATA!R64/DATA!R63)-1</f>
        <v>-1.8258426966292207E-2</v>
      </c>
      <c r="S60">
        <f ca="1">(DATA!S64/DATA!S63)-1</f>
        <v>-2.3325104281944231E-2</v>
      </c>
      <c r="T60">
        <f ca="1">(DATA!T64/DATA!T63)-1</f>
        <v>2.992749292407626E-2</v>
      </c>
      <c r="U60">
        <f ca="1">(DATA!U64/DATA!U63)-1</f>
        <v>-0.16174636174636181</v>
      </c>
      <c r="V60">
        <f ca="1">(DATA!V64/DATA!V63)-1</f>
        <v>-8.2756291167033202E-3</v>
      </c>
      <c r="W60">
        <f ca="1">(DATA!W64/DATA!W63)-1</f>
        <v>-4.4845710410308492E-2</v>
      </c>
      <c r="X60">
        <f ca="1">(DATA!X64/DATA!X63)-1</f>
        <v>-3.0445254122151599E-2</v>
      </c>
      <c r="Y60">
        <f ca="1">(DATA!Y64/DATA!Y63)-1</f>
        <v>2.2162162162162158E-2</v>
      </c>
      <c r="Z60">
        <f ca="1">(DATA!Z64/DATA!Z63)-1</f>
        <v>1.5112262521588926E-2</v>
      </c>
      <c r="AA60">
        <f ca="1">(DATA!AA64/DATA!AA63)-1</f>
        <v>-4.6008119079837706E-2</v>
      </c>
      <c r="AB60">
        <f ca="1">(DATA!AB64/DATA!AB63)-1</f>
        <v>-2.577123270280568E-2</v>
      </c>
      <c r="AC60">
        <f ca="1">(DATA!AC64/DATA!AC63)-1</f>
        <v>1.5877841964798467E-2</v>
      </c>
      <c r="AD60">
        <f ca="1">(DATA!AD64/DATA!AD63)-1</f>
        <v>-4.1967597111067678E-2</v>
      </c>
      <c r="AE60">
        <f ca="1">(DATA!AE64/DATA!AE63)-1</f>
        <v>5.5712815234173929E-2</v>
      </c>
      <c r="AF60">
        <f ca="1">(DATA!AF64/DATA!AF63)-1</f>
        <v>1.8952552658194399E-2</v>
      </c>
      <c r="AG60">
        <f ca="1">(DATA!AG64/DATA!AG63)-1</f>
        <v>-3.8411599220947834E-2</v>
      </c>
      <c r="AH60">
        <f ca="1">(DATA!AH64/DATA!AH63)-1</f>
        <v>5.7062335222279437E-2</v>
      </c>
      <c r="AI60">
        <f ca="1">(DATA!AI64/DATA!AI63)-1</f>
        <v>7.1773302579807519E-2</v>
      </c>
      <c r="AJ60">
        <f ca="1">(DATA!AJ64/DATA!AJ63)-1</f>
        <v>-0.90340805540368141</v>
      </c>
      <c r="AK60">
        <f ca="1">(DATA!AK64/DATA!AK63)-1</f>
        <v>2.2934193845799422E-2</v>
      </c>
      <c r="AL60">
        <f ca="1">(DATA!AL64/DATA!AL63)-1</f>
        <v>6.1998870694522923E-2</v>
      </c>
      <c r="AM60">
        <f ca="1">(DATA!AM64/DATA!AM63)-1</f>
        <v>-3.1084089741393983E-2</v>
      </c>
      <c r="AN60">
        <f ca="1">(DATA!AN64/DATA!AN63)-1</f>
        <v>2.299985889657119E-2</v>
      </c>
      <c r="AO60">
        <f ca="1">(DATA!AO64/DATA!AO63)-1</f>
        <v>-3.7044832666806915E-2</v>
      </c>
      <c r="AP60">
        <f ca="1">(DATA!AP64/DATA!AP63)-1</f>
        <v>-2.7470767259330398E-2</v>
      </c>
      <c r="AQ60">
        <f ca="1">(DATA!AQ64/DATA!AQ63)-1</f>
        <v>-3.8680841973807611E-2</v>
      </c>
      <c r="AR60">
        <f ca="1">(DATA!AR64/DATA!AR63)-1</f>
        <v>-3.6623356887774516E-2</v>
      </c>
      <c r="AS60">
        <f ca="1">(DATA!AS64/DATA!AS63)-1</f>
        <v>-5.4089536562951346E-2</v>
      </c>
      <c r="AT60">
        <f ca="1">(DATA!AT64/DATA!AT63)-1</f>
        <v>-3.227622443235123E-2</v>
      </c>
      <c r="AU60">
        <f ca="1">(DATA!AU64/DATA!AU63)-1</f>
        <v>2.070894112312005E-2</v>
      </c>
      <c r="AV60">
        <f ca="1">(DATA!AV64/DATA!AV63)-1</f>
        <v>2.2142651356134468E-2</v>
      </c>
      <c r="AW60">
        <f ca="1">(DATA!AW64/DATA!AW63)-1</f>
        <v>-8.5159490511323988E-3</v>
      </c>
    </row>
    <row r="63" spans="1:49">
      <c r="B63" s="2">
        <f ca="1">AVERAGE(B2:B60)</f>
        <v>5.851810451486044E-2</v>
      </c>
      <c r="C63" s="2">
        <f t="shared" ref="C63:AW63" ca="1" si="0">AVERAGE(C2:C60)</f>
        <v>2.3311689210996363E-2</v>
      </c>
      <c r="D63" s="2">
        <f t="shared" ca="1" si="0"/>
        <v>1.9367583782975189E-2</v>
      </c>
      <c r="E63" s="2">
        <f t="shared" ca="1" si="0"/>
        <v>1.8368679461885133E-2</v>
      </c>
      <c r="F63" s="2">
        <f t="shared" ca="1" si="0"/>
        <v>1.8131252394959302E-2</v>
      </c>
      <c r="G63" s="2">
        <f t="shared" ca="1" si="0"/>
        <v>1.9222015821701126E-2</v>
      </c>
      <c r="H63" s="2">
        <f t="shared" ca="1" si="0"/>
        <v>2.6521151585887508E-2</v>
      </c>
      <c r="I63" s="2">
        <f t="shared" ca="1" si="0"/>
        <v>1.4115929187241284E-2</v>
      </c>
      <c r="J63" s="2">
        <f t="shared" ca="1" si="0"/>
        <v>6.4544084529740378E-2</v>
      </c>
      <c r="K63" s="2">
        <f t="shared" ca="1" si="0"/>
        <v>1.2708772778383332E-3</v>
      </c>
      <c r="L63" s="2">
        <f t="shared" ca="1" si="0"/>
        <v>9.9710679430424186E-3</v>
      </c>
      <c r="M63" s="2">
        <f t="shared" ca="1" si="0"/>
        <v>6.8056616190055562E-3</v>
      </c>
      <c r="N63" s="2">
        <f t="shared" ca="1" si="0"/>
        <v>1.4109869171668002E-2</v>
      </c>
      <c r="O63" s="2">
        <f t="shared" ca="1" si="0"/>
        <v>1.3186483131233162E-2</v>
      </c>
      <c r="P63" s="2">
        <f t="shared" ca="1" si="0"/>
        <v>1.1819068740641177E-2</v>
      </c>
      <c r="Q63" s="2">
        <f t="shared" ca="1" si="0"/>
        <v>-2.4195006480764907E-3</v>
      </c>
      <c r="R63" s="2">
        <f t="shared" ca="1" si="0"/>
        <v>2.7664948395334709E-3</v>
      </c>
      <c r="S63" s="2">
        <f t="shared" ca="1" si="0"/>
        <v>2.036387043859627E-3</v>
      </c>
      <c r="T63" s="2">
        <f t="shared" ca="1" si="0"/>
        <v>2.4810706397217226E-2</v>
      </c>
      <c r="U63" s="2">
        <f t="shared" ca="1" si="0"/>
        <v>-1.3020701077353916E-2</v>
      </c>
      <c r="V63" s="2">
        <f t="shared" ca="1" si="0"/>
        <v>6.7502129997872124E-3</v>
      </c>
      <c r="W63" s="2">
        <f t="shared" ca="1" si="0"/>
        <v>1.4721101879585731E-2</v>
      </c>
      <c r="X63" s="2">
        <f t="shared" ca="1" si="0"/>
        <v>1.0819979365406077E-2</v>
      </c>
      <c r="Y63" s="2">
        <f t="shared" ca="1" si="0"/>
        <v>1.7030883923662473E-2</v>
      </c>
      <c r="Z63" s="2">
        <f t="shared" ca="1" si="0"/>
        <v>-9.9186448582786997E-4</v>
      </c>
      <c r="AA63" s="2">
        <f t="shared" ca="1" si="0"/>
        <v>-4.2897169357205408E-3</v>
      </c>
      <c r="AB63" s="2">
        <f t="shared" ca="1" si="0"/>
        <v>2.8715078397170739E-4</v>
      </c>
      <c r="AC63" s="2">
        <f t="shared" ca="1" si="0"/>
        <v>7.308156041639602E-3</v>
      </c>
      <c r="AD63" s="2">
        <f t="shared" ca="1" si="0"/>
        <v>5.669342939051792E-3</v>
      </c>
      <c r="AE63" s="2">
        <f t="shared" ca="1" si="0"/>
        <v>-1.3398656340927973E-3</v>
      </c>
      <c r="AF63" s="2">
        <f t="shared" ca="1" si="0"/>
        <v>1.047667104138124E-2</v>
      </c>
      <c r="AG63" s="2">
        <f t="shared" ca="1" si="0"/>
        <v>2.4337829536848116E-2</v>
      </c>
      <c r="AH63" s="2">
        <f t="shared" ca="1" si="0"/>
        <v>1.6800814752007679E-2</v>
      </c>
      <c r="AI63" s="2">
        <f t="shared" ca="1" si="0"/>
        <v>1.3063489900227215E-2</v>
      </c>
      <c r="AJ63" s="2">
        <f t="shared" ca="1" si="0"/>
        <v>1.3956285467117637E-2</v>
      </c>
      <c r="AK63" s="2">
        <f t="shared" ca="1" si="0"/>
        <v>3.3745999745336099E-3</v>
      </c>
      <c r="AL63" s="2">
        <f t="shared" ca="1" si="0"/>
        <v>2.0284035957285253E-2</v>
      </c>
      <c r="AM63" s="2">
        <f t="shared" ca="1" si="0"/>
        <v>7.020379471502405E-3</v>
      </c>
      <c r="AN63" s="2">
        <f t="shared" ca="1" si="0"/>
        <v>5.1463844956330862E-3</v>
      </c>
      <c r="AO63" s="2">
        <f t="shared" ca="1" si="0"/>
        <v>9.9112664170939498E-3</v>
      </c>
      <c r="AP63" s="2">
        <f t="shared" ca="1" si="0"/>
        <v>1.3491773961325393E-2</v>
      </c>
      <c r="AQ63" s="2">
        <f t="shared" ca="1" si="0"/>
        <v>1.9488160363721998E-2</v>
      </c>
      <c r="AR63" s="2">
        <f t="shared" ca="1" si="0"/>
        <v>1.9571435715929376E-2</v>
      </c>
      <c r="AS63" s="2">
        <f t="shared" ca="1" si="0"/>
        <v>1.2430685915308066E-2</v>
      </c>
      <c r="AT63" s="2">
        <f t="shared" ca="1" si="0"/>
        <v>3.9857069479623574E-3</v>
      </c>
      <c r="AU63" s="2">
        <f t="shared" ca="1" si="0"/>
        <v>8.2036574219987758E-3</v>
      </c>
      <c r="AV63" s="2">
        <f t="shared" ca="1" si="0"/>
        <v>2.2309350464605932E-2</v>
      </c>
      <c r="AW63" s="2">
        <f t="shared" ca="1" si="0"/>
        <v>1.7678519688886396E-2</v>
      </c>
    </row>
    <row r="64" spans="1:49">
      <c r="B64" s="33">
        <f t="shared" ref="B64:AW64" ca="1" si="1">B63</f>
        <v>5.851810451486044E-2</v>
      </c>
      <c r="C64" s="33">
        <f t="shared" ca="1" si="1"/>
        <v>2.3311689210996363E-2</v>
      </c>
      <c r="D64" s="33">
        <f t="shared" ca="1" si="1"/>
        <v>1.9367583782975189E-2</v>
      </c>
      <c r="E64" s="33">
        <f t="shared" ca="1" si="1"/>
        <v>1.8368679461885133E-2</v>
      </c>
      <c r="F64" s="33">
        <f t="shared" ca="1" si="1"/>
        <v>1.8131252394959302E-2</v>
      </c>
      <c r="G64" s="33">
        <f t="shared" ca="1" si="1"/>
        <v>1.9222015821701126E-2</v>
      </c>
      <c r="H64" s="33">
        <f t="shared" ca="1" si="1"/>
        <v>2.6521151585887508E-2</v>
      </c>
      <c r="I64" s="33">
        <f t="shared" ca="1" si="1"/>
        <v>1.4115929187241284E-2</v>
      </c>
      <c r="J64" s="33">
        <f t="shared" ca="1" si="1"/>
        <v>6.4544084529740378E-2</v>
      </c>
      <c r="K64" s="33">
        <f t="shared" ca="1" si="1"/>
        <v>1.2708772778383332E-3</v>
      </c>
      <c r="L64" s="33">
        <f t="shared" ca="1" si="1"/>
        <v>9.9710679430424186E-3</v>
      </c>
      <c r="M64" s="33">
        <f t="shared" ca="1" si="1"/>
        <v>6.8056616190055562E-3</v>
      </c>
      <c r="N64" s="33">
        <f t="shared" ca="1" si="1"/>
        <v>1.4109869171668002E-2</v>
      </c>
      <c r="O64" s="33">
        <f t="shared" ca="1" si="1"/>
        <v>1.3186483131233162E-2</v>
      </c>
      <c r="P64" s="33">
        <f t="shared" ca="1" si="1"/>
        <v>1.1819068740641177E-2</v>
      </c>
      <c r="Q64" s="33">
        <f t="shared" ca="1" si="1"/>
        <v>-2.4195006480764907E-3</v>
      </c>
      <c r="R64" s="33">
        <f t="shared" ca="1" si="1"/>
        <v>2.7664948395334709E-3</v>
      </c>
      <c r="S64" s="33">
        <f t="shared" ca="1" si="1"/>
        <v>2.036387043859627E-3</v>
      </c>
      <c r="T64" s="33">
        <f t="shared" ca="1" si="1"/>
        <v>2.4810706397217226E-2</v>
      </c>
      <c r="U64" s="33">
        <f t="shared" ca="1" si="1"/>
        <v>-1.3020701077353916E-2</v>
      </c>
      <c r="V64" s="33">
        <f t="shared" ca="1" si="1"/>
        <v>6.7502129997872124E-3</v>
      </c>
      <c r="W64" s="33">
        <f t="shared" ca="1" si="1"/>
        <v>1.4721101879585731E-2</v>
      </c>
      <c r="X64" s="33">
        <f t="shared" ca="1" si="1"/>
        <v>1.0819979365406077E-2</v>
      </c>
      <c r="Y64" s="33">
        <f t="shared" ca="1" si="1"/>
        <v>1.7030883923662473E-2</v>
      </c>
      <c r="Z64" s="33">
        <f t="shared" ca="1" si="1"/>
        <v>-9.9186448582786997E-4</v>
      </c>
      <c r="AA64" s="33">
        <f t="shared" ca="1" si="1"/>
        <v>-4.2897169357205408E-3</v>
      </c>
      <c r="AB64" s="33">
        <f t="shared" ca="1" si="1"/>
        <v>2.8715078397170739E-4</v>
      </c>
      <c r="AC64" s="33">
        <f t="shared" ca="1" si="1"/>
        <v>7.308156041639602E-3</v>
      </c>
      <c r="AD64" s="33">
        <f t="shared" ca="1" si="1"/>
        <v>5.669342939051792E-3</v>
      </c>
      <c r="AE64" s="33">
        <f t="shared" ca="1" si="1"/>
        <v>-1.3398656340927973E-3</v>
      </c>
      <c r="AF64" s="33">
        <f t="shared" ca="1" si="1"/>
        <v>1.047667104138124E-2</v>
      </c>
      <c r="AG64" s="33">
        <f t="shared" ca="1" si="1"/>
        <v>2.4337829536848116E-2</v>
      </c>
      <c r="AH64" s="33">
        <f t="shared" ca="1" si="1"/>
        <v>1.6800814752007679E-2</v>
      </c>
      <c r="AI64" s="33">
        <f t="shared" ca="1" si="1"/>
        <v>1.3063489900227215E-2</v>
      </c>
      <c r="AJ64" s="33">
        <f t="shared" ca="1" si="1"/>
        <v>1.3956285467117637E-2</v>
      </c>
      <c r="AK64" s="33">
        <f t="shared" ca="1" si="1"/>
        <v>3.3745999745336099E-3</v>
      </c>
      <c r="AL64" s="33">
        <f t="shared" ca="1" si="1"/>
        <v>2.0284035957285253E-2</v>
      </c>
      <c r="AM64" s="33">
        <f t="shared" ca="1" si="1"/>
        <v>7.020379471502405E-3</v>
      </c>
      <c r="AN64" s="33">
        <f t="shared" ca="1" si="1"/>
        <v>5.1463844956330862E-3</v>
      </c>
      <c r="AO64" s="33">
        <f t="shared" ca="1" si="1"/>
        <v>9.9112664170939498E-3</v>
      </c>
      <c r="AP64" s="33">
        <f t="shared" ca="1" si="1"/>
        <v>1.3491773961325393E-2</v>
      </c>
      <c r="AQ64" s="33">
        <f t="shared" ca="1" si="1"/>
        <v>1.9488160363721998E-2</v>
      </c>
      <c r="AR64" s="33">
        <f t="shared" ca="1" si="1"/>
        <v>1.9571435715929376E-2</v>
      </c>
      <c r="AS64" s="33">
        <f t="shared" ca="1" si="1"/>
        <v>1.2430685915308066E-2</v>
      </c>
      <c r="AT64" s="33">
        <f t="shared" ca="1" si="1"/>
        <v>3.9857069479623574E-3</v>
      </c>
      <c r="AU64" s="33">
        <f t="shared" ca="1" si="1"/>
        <v>8.2036574219987758E-3</v>
      </c>
      <c r="AV64" s="33">
        <f t="shared" ca="1" si="1"/>
        <v>2.2309350464605932E-2</v>
      </c>
      <c r="AW64" s="33">
        <f t="shared" ca="1" si="1"/>
        <v>1.7678519688886396E-2</v>
      </c>
    </row>
  </sheetData>
  <sheetProtection algorithmName="SHA-512" hashValue="OUVZJ8Ur4FePUtCGZ1r0avRfNT1qXSqXfUrr6Dzia3mDNMv4iVJvIz/shUsuZQdB19b+YAaeu10vAgi5wYW2TA==" saltValue="wbwEdakzjy5q69e884USV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00AA4-C3E2-42C2-9E3E-C02A06010DCE}">
  <sheetPr codeName="Sheet4"/>
  <dimension ref="A1:AW49"/>
  <sheetViews>
    <sheetView workbookViewId="0">
      <selection activeCell="D5" sqref="D5"/>
    </sheetView>
  </sheetViews>
  <sheetFormatPr baseColWidth="10" defaultColWidth="8.6640625" defaultRowHeight="15"/>
  <sheetData>
    <row r="1" spans="1:49">
      <c r="B1" t="s">
        <v>0</v>
      </c>
      <c r="C1" t="s">
        <v>1</v>
      </c>
      <c r="D1" t="s">
        <v>4</v>
      </c>
      <c r="E1" t="s">
        <v>6</v>
      </c>
      <c r="F1" t="s">
        <v>8</v>
      </c>
      <c r="G1" t="s">
        <v>11</v>
      </c>
      <c r="H1" t="s">
        <v>12</v>
      </c>
      <c r="I1" t="s">
        <v>13</v>
      </c>
      <c r="J1" t="s">
        <v>15</v>
      </c>
      <c r="K1" t="s">
        <v>17</v>
      </c>
      <c r="L1" t="s">
        <v>18</v>
      </c>
      <c r="M1" t="s">
        <v>19</v>
      </c>
      <c r="N1" t="s">
        <v>20</v>
      </c>
      <c r="O1" t="s">
        <v>21</v>
      </c>
      <c r="P1" t="s">
        <v>23</v>
      </c>
      <c r="Q1" t="s">
        <v>24</v>
      </c>
      <c r="R1" t="s">
        <v>25</v>
      </c>
      <c r="S1" t="s">
        <v>26</v>
      </c>
      <c r="T1" t="s">
        <v>27</v>
      </c>
      <c r="U1" t="s">
        <v>28</v>
      </c>
      <c r="V1" t="s">
        <v>30</v>
      </c>
      <c r="W1" t="s">
        <v>31</v>
      </c>
      <c r="X1" t="s">
        <v>32</v>
      </c>
      <c r="Y1" t="s">
        <v>33</v>
      </c>
      <c r="Z1" t="s">
        <v>34</v>
      </c>
      <c r="AA1" t="s">
        <v>35</v>
      </c>
      <c r="AB1" t="s">
        <v>36</v>
      </c>
      <c r="AC1" t="s">
        <v>37</v>
      </c>
      <c r="AD1" t="s">
        <v>38</v>
      </c>
      <c r="AE1" t="s">
        <v>39</v>
      </c>
      <c r="AF1" t="s">
        <v>40</v>
      </c>
      <c r="AG1" t="s">
        <v>41</v>
      </c>
      <c r="AH1" t="s">
        <v>42</v>
      </c>
      <c r="AI1" t="s">
        <v>43</v>
      </c>
      <c r="AJ1" t="s">
        <v>44</v>
      </c>
      <c r="AK1" t="s">
        <v>45</v>
      </c>
      <c r="AL1" t="s">
        <v>46</v>
      </c>
      <c r="AM1" t="s">
        <v>48</v>
      </c>
      <c r="AN1" t="s">
        <v>50</v>
      </c>
      <c r="AO1" t="s">
        <v>51</v>
      </c>
      <c r="AP1" t="s">
        <v>52</v>
      </c>
      <c r="AQ1" t="s">
        <v>53</v>
      </c>
      <c r="AR1" t="s">
        <v>10</v>
      </c>
      <c r="AS1" t="s">
        <v>54</v>
      </c>
      <c r="AT1" t="s">
        <v>55</v>
      </c>
      <c r="AU1" t="s">
        <v>56</v>
      </c>
      <c r="AV1" t="s">
        <v>57</v>
      </c>
      <c r="AW1" t="s">
        <v>3</v>
      </c>
    </row>
    <row r="2" spans="1:49">
      <c r="A2" t="s">
        <v>0</v>
      </c>
      <c r="B2">
        <v>4.8619917856745402E-2</v>
      </c>
      <c r="C2">
        <v>1.27078604906732E-2</v>
      </c>
      <c r="D2">
        <v>7.6297375130725698E-3</v>
      </c>
      <c r="E2">
        <v>7.4468179276303299E-3</v>
      </c>
      <c r="F2">
        <v>1.34615887007223E-2</v>
      </c>
      <c r="G2">
        <v>7.4975007979183302E-3</v>
      </c>
      <c r="H2">
        <v>8.0951323378053008E-3</v>
      </c>
      <c r="I2">
        <v>4.04298745333767E-3</v>
      </c>
      <c r="J2">
        <v>1.2708267340744201E-2</v>
      </c>
      <c r="K2">
        <v>2.2788712794787999E-3</v>
      </c>
      <c r="L2">
        <v>4.9694966191124604E-3</v>
      </c>
      <c r="M2">
        <v>2.6065981802935302E-4</v>
      </c>
      <c r="N2">
        <v>3.0368500326637998E-3</v>
      </c>
      <c r="O2">
        <v>6.9233647591898503E-3</v>
      </c>
      <c r="P2">
        <v>6.4082873574244003E-3</v>
      </c>
      <c r="Q2">
        <v>1.61297747787927E-3</v>
      </c>
      <c r="R2">
        <v>1.8035964841440399E-3</v>
      </c>
      <c r="S2">
        <v>9.3209263292570697E-3</v>
      </c>
      <c r="T2">
        <v>1.0030850433633999E-2</v>
      </c>
      <c r="U2">
        <v>6.4800954836358102E-3</v>
      </c>
      <c r="V2">
        <v>2.9367478888396299E-3</v>
      </c>
      <c r="W2">
        <v>1.4861499586755901E-3</v>
      </c>
      <c r="X2">
        <v>4.5360902612572003E-3</v>
      </c>
      <c r="Y2">
        <v>3.2566286449864802E-3</v>
      </c>
      <c r="Z2">
        <v>3.7640087006924499E-4</v>
      </c>
      <c r="AA2">
        <v>1.9977990367921699E-4</v>
      </c>
      <c r="AB2">
        <v>4.9615262217271097E-3</v>
      </c>
      <c r="AC2">
        <v>4.5498664458220699E-3</v>
      </c>
      <c r="AD2">
        <v>4.2141365167057496E-3</v>
      </c>
      <c r="AE2">
        <v>8.3591897555628999E-3</v>
      </c>
      <c r="AF2">
        <v>2.0495069992867098E-3</v>
      </c>
      <c r="AG2">
        <v>5.3266301966448798E-3</v>
      </c>
      <c r="AH2">
        <v>1.5949838211152E-2</v>
      </c>
      <c r="AI2">
        <v>9.8636287743156595E-3</v>
      </c>
      <c r="AJ2">
        <v>1.40614395068074E-2</v>
      </c>
      <c r="AK2">
        <v>1.19392475879659E-2</v>
      </c>
      <c r="AL2">
        <v>2.4859638542326899E-2</v>
      </c>
      <c r="AM2">
        <v>7.2053655793962697E-3</v>
      </c>
      <c r="AN2">
        <v>7.1255073485461196E-3</v>
      </c>
      <c r="AO2">
        <v>6.3305482909786302E-3</v>
      </c>
      <c r="AP2">
        <v>3.73317717587868E-3</v>
      </c>
      <c r="AQ2">
        <v>7.3731135536411804E-3</v>
      </c>
      <c r="AR2">
        <v>8.8572043209929705E-3</v>
      </c>
      <c r="AS2">
        <v>5.1533012113719199E-3</v>
      </c>
      <c r="AT2">
        <v>3.7427311166487701E-3</v>
      </c>
      <c r="AU2">
        <v>7.8730989257757497E-3</v>
      </c>
      <c r="AV2">
        <v>6.1423719307504496E-3</v>
      </c>
      <c r="AW2">
        <v>7.9218812560513507E-3</v>
      </c>
    </row>
    <row r="3" spans="1:49">
      <c r="A3" t="s">
        <v>1</v>
      </c>
      <c r="B3">
        <v>1.27078604906732E-2</v>
      </c>
      <c r="C3">
        <v>6.9524436623779303E-3</v>
      </c>
      <c r="D3">
        <v>3.4402420512841701E-3</v>
      </c>
      <c r="E3">
        <v>3.7359386408157302E-3</v>
      </c>
      <c r="F3">
        <v>5.4344871896053401E-3</v>
      </c>
      <c r="G3">
        <v>3.4119651484253999E-3</v>
      </c>
      <c r="H3">
        <v>3.9670482299074697E-3</v>
      </c>
      <c r="I3">
        <v>2.4888022796929598E-3</v>
      </c>
      <c r="J3">
        <v>6.3135970034381202E-3</v>
      </c>
      <c r="K3">
        <v>1.6678360194017599E-3</v>
      </c>
      <c r="L3">
        <v>3.1264915757691402E-3</v>
      </c>
      <c r="M3">
        <v>1.5269567348731999E-3</v>
      </c>
      <c r="N3">
        <v>1.8594985880155701E-3</v>
      </c>
      <c r="O3">
        <v>3.1163469714724601E-3</v>
      </c>
      <c r="P3">
        <v>3.59352705757939E-3</v>
      </c>
      <c r="Q3">
        <v>2.24702452751149E-3</v>
      </c>
      <c r="R3">
        <v>1.7933458032536201E-3</v>
      </c>
      <c r="S3">
        <v>4.0978244736778902E-3</v>
      </c>
      <c r="T3">
        <v>4.7071673664017596E-3</v>
      </c>
      <c r="U3">
        <v>3.1166450752484502E-3</v>
      </c>
      <c r="V3">
        <v>2.35391548695896E-3</v>
      </c>
      <c r="W3">
        <v>1.58011991212173E-3</v>
      </c>
      <c r="X3">
        <v>2.2625040300570999E-3</v>
      </c>
      <c r="Y3">
        <v>1.9702556876090901E-3</v>
      </c>
      <c r="Z3">
        <v>1.26360845622717E-3</v>
      </c>
      <c r="AA3">
        <v>8.6476100556704197E-4</v>
      </c>
      <c r="AB3">
        <v>3.4510278706977402E-3</v>
      </c>
      <c r="AC3">
        <v>2.7188405858811502E-3</v>
      </c>
      <c r="AD3">
        <v>2.5765434158545302E-3</v>
      </c>
      <c r="AE3">
        <v>4.6719521019144804E-3</v>
      </c>
      <c r="AF3">
        <v>1.66855386163021E-3</v>
      </c>
      <c r="AG3">
        <v>3.41214281306478E-3</v>
      </c>
      <c r="AH3">
        <v>5.5706611331619998E-3</v>
      </c>
      <c r="AI3">
        <v>5.7375462558726404E-3</v>
      </c>
      <c r="AJ3">
        <v>6.86910883845089E-3</v>
      </c>
      <c r="AK3">
        <v>5.2188611421191801E-3</v>
      </c>
      <c r="AL3">
        <v>8.2057311835554599E-3</v>
      </c>
      <c r="AM3">
        <v>4.2222010243270899E-3</v>
      </c>
      <c r="AN3">
        <v>3.3275177163371501E-3</v>
      </c>
      <c r="AO3">
        <v>3.0583644300395301E-3</v>
      </c>
      <c r="AP3">
        <v>2.05241894113283E-3</v>
      </c>
      <c r="AQ3">
        <v>3.43027938262668E-3</v>
      </c>
      <c r="AR3">
        <v>3.6448699230631899E-3</v>
      </c>
      <c r="AS3">
        <v>2.07826353488411E-3</v>
      </c>
      <c r="AT3">
        <v>1.6840224838060201E-3</v>
      </c>
      <c r="AU3">
        <v>3.8410667304701498E-3</v>
      </c>
      <c r="AV3">
        <v>3.2294257135701701E-3</v>
      </c>
      <c r="AW3">
        <v>3.4395831582896201E-3</v>
      </c>
    </row>
    <row r="4" spans="1:49">
      <c r="A4" t="s">
        <v>4</v>
      </c>
      <c r="B4">
        <v>7.6297375130725698E-3</v>
      </c>
      <c r="C4">
        <v>3.4402420512841701E-3</v>
      </c>
      <c r="D4">
        <v>6.0092212672773499E-3</v>
      </c>
      <c r="E4">
        <v>3.2988358739751301E-3</v>
      </c>
      <c r="F4">
        <v>4.5645665786188099E-3</v>
      </c>
      <c r="G4">
        <v>5.9443788943722197E-3</v>
      </c>
      <c r="H4">
        <v>4.2323787531977804E-3</v>
      </c>
      <c r="I4">
        <v>1.87978013343489E-3</v>
      </c>
      <c r="J4">
        <v>6.3421139252451599E-3</v>
      </c>
      <c r="K4">
        <v>6.1165447330131101E-4</v>
      </c>
      <c r="L4">
        <v>2.2678024314349899E-3</v>
      </c>
      <c r="M4">
        <v>4.5460312975079202E-4</v>
      </c>
      <c r="N4">
        <v>1.21194166282072E-3</v>
      </c>
      <c r="O4">
        <v>2.1401257080435302E-3</v>
      </c>
      <c r="P4">
        <v>2.2411783239913402E-3</v>
      </c>
      <c r="Q4">
        <v>1.58372772417927E-3</v>
      </c>
      <c r="R4">
        <v>1.27854008598751E-3</v>
      </c>
      <c r="S4">
        <v>3.5529795815858298E-3</v>
      </c>
      <c r="T4">
        <v>3.8644962601017399E-3</v>
      </c>
      <c r="U4">
        <v>3.1124970752896201E-3</v>
      </c>
      <c r="V4">
        <v>2.1432767534919801E-3</v>
      </c>
      <c r="W4">
        <v>1.84173703523705E-3</v>
      </c>
      <c r="X4">
        <v>2.5717880020537402E-3</v>
      </c>
      <c r="Y4">
        <v>9.0724232712047605E-4</v>
      </c>
      <c r="Z4">
        <v>8.8507788615579497E-4</v>
      </c>
      <c r="AA4">
        <v>8.2579102557368302E-4</v>
      </c>
      <c r="AB4">
        <v>1.85696435702477E-3</v>
      </c>
      <c r="AC4">
        <v>1.43056390094832E-3</v>
      </c>
      <c r="AD4">
        <v>2.43576865512546E-3</v>
      </c>
      <c r="AE4">
        <v>3.65885726002635E-3</v>
      </c>
      <c r="AF4">
        <v>1.0043434224626499E-3</v>
      </c>
      <c r="AG4">
        <v>2.6735514356987498E-3</v>
      </c>
      <c r="AH4">
        <v>5.0768893749127998E-3</v>
      </c>
      <c r="AI4">
        <v>4.2118984092335597E-3</v>
      </c>
      <c r="AJ4">
        <v>5.9767864199760804E-3</v>
      </c>
      <c r="AK4">
        <v>4.0816801291282999E-3</v>
      </c>
      <c r="AL4">
        <v>6.9412826174322503E-3</v>
      </c>
      <c r="AM4">
        <v>2.71950744689948E-3</v>
      </c>
      <c r="AN4">
        <v>3.5230964600925698E-3</v>
      </c>
      <c r="AO4">
        <v>3.3159385856154399E-3</v>
      </c>
      <c r="AP4">
        <v>2.3942945713845499E-3</v>
      </c>
      <c r="AQ4">
        <v>3.7324113813105098E-3</v>
      </c>
      <c r="AR4">
        <v>3.7855783152510201E-3</v>
      </c>
      <c r="AS4">
        <v>2.7469624374852398E-3</v>
      </c>
      <c r="AT4">
        <v>2.0733998286907901E-3</v>
      </c>
      <c r="AU4">
        <v>2.6752473623644401E-3</v>
      </c>
      <c r="AV4">
        <v>2.4515011824148298E-3</v>
      </c>
      <c r="AW4">
        <v>2.2000545902958598E-3</v>
      </c>
    </row>
    <row r="5" spans="1:49">
      <c r="A5" t="s">
        <v>6</v>
      </c>
      <c r="B5">
        <v>7.4468179276303299E-3</v>
      </c>
      <c r="C5">
        <v>3.7359386408157302E-3</v>
      </c>
      <c r="D5">
        <v>3.2988358739751301E-3</v>
      </c>
      <c r="E5">
        <v>4.1741422547527003E-3</v>
      </c>
      <c r="F5">
        <v>4.1566189108168299E-3</v>
      </c>
      <c r="G5">
        <v>3.2536701641319001E-3</v>
      </c>
      <c r="H5">
        <v>4.2153530710648899E-3</v>
      </c>
      <c r="I5">
        <v>1.6324406026592699E-3</v>
      </c>
      <c r="J5">
        <v>5.8890711282063701E-3</v>
      </c>
      <c r="K5">
        <v>9.7903573929610898E-4</v>
      </c>
      <c r="L5">
        <v>1.83348088586125E-3</v>
      </c>
      <c r="M5">
        <v>1.20717593581823E-3</v>
      </c>
      <c r="N5">
        <v>1.3316315952566599E-3</v>
      </c>
      <c r="O5">
        <v>2.3938959715398399E-3</v>
      </c>
      <c r="P5">
        <v>1.9959888427262501E-3</v>
      </c>
      <c r="Q5">
        <v>1.1036439612997599E-3</v>
      </c>
      <c r="R5">
        <v>1.14947810807036E-3</v>
      </c>
      <c r="S5">
        <v>2.7672711522979E-3</v>
      </c>
      <c r="T5">
        <v>4.2924781866857196E-3</v>
      </c>
      <c r="U5">
        <v>3.4870622367684299E-3</v>
      </c>
      <c r="V5">
        <v>1.71304049893594E-3</v>
      </c>
      <c r="W5">
        <v>7.7569650306843205E-4</v>
      </c>
      <c r="X5">
        <v>1.3419874368135801E-3</v>
      </c>
      <c r="Y5">
        <v>1.2993630412227999E-3</v>
      </c>
      <c r="Z5">
        <v>6.9957545614042396E-4</v>
      </c>
      <c r="AA5">
        <v>1.1738977727259201E-3</v>
      </c>
      <c r="AB5">
        <v>2.8243918391128199E-3</v>
      </c>
      <c r="AC5">
        <v>1.4990493663545E-3</v>
      </c>
      <c r="AD5">
        <v>1.8277245289174901E-3</v>
      </c>
      <c r="AE5">
        <v>3.0723163925133901E-3</v>
      </c>
      <c r="AF5">
        <v>1.1919353810639899E-3</v>
      </c>
      <c r="AG5">
        <v>3.0805598170612599E-3</v>
      </c>
      <c r="AH5">
        <v>4.5635567649357604E-3</v>
      </c>
      <c r="AI5">
        <v>4.7232819388659097E-3</v>
      </c>
      <c r="AJ5">
        <v>5.8679786511873899E-3</v>
      </c>
      <c r="AK5">
        <v>2.8205356637183601E-3</v>
      </c>
      <c r="AL5">
        <v>6.0297797148295001E-3</v>
      </c>
      <c r="AM5">
        <v>2.9095359836656602E-3</v>
      </c>
      <c r="AN5">
        <v>2.2948352295079099E-3</v>
      </c>
      <c r="AO5">
        <v>1.9696258496469301E-3</v>
      </c>
      <c r="AP5">
        <v>1.44236814244668E-3</v>
      </c>
      <c r="AQ5">
        <v>2.4291024467171301E-3</v>
      </c>
      <c r="AR5">
        <v>2.18823402268686E-3</v>
      </c>
      <c r="AS5">
        <v>1.2599622071224701E-3</v>
      </c>
      <c r="AT5">
        <v>5.7485278105527996E-4</v>
      </c>
      <c r="AU5">
        <v>2.4824842453019299E-3</v>
      </c>
      <c r="AV5">
        <v>2.2694084330068102E-3</v>
      </c>
      <c r="AW5">
        <v>2.17965324098309E-3</v>
      </c>
    </row>
    <row r="6" spans="1:49">
      <c r="A6" t="s">
        <v>8</v>
      </c>
      <c r="B6">
        <v>1.34615887007223E-2</v>
      </c>
      <c r="C6">
        <v>5.4344871896053401E-3</v>
      </c>
      <c r="D6">
        <v>4.5645665786188099E-3</v>
      </c>
      <c r="E6">
        <v>4.1566189108168299E-3</v>
      </c>
      <c r="F6">
        <v>8.9756124606151701E-3</v>
      </c>
      <c r="G6">
        <v>4.4685773706743996E-3</v>
      </c>
      <c r="H6">
        <v>5.2890895471214899E-3</v>
      </c>
      <c r="I6">
        <v>1.91550792143038E-3</v>
      </c>
      <c r="J6">
        <v>8.3894137096312497E-3</v>
      </c>
      <c r="K6">
        <v>4.6383861977213899E-4</v>
      </c>
      <c r="L6">
        <v>2.3841375445628802E-3</v>
      </c>
      <c r="M6">
        <v>3.7580785842384403E-4</v>
      </c>
      <c r="N6">
        <v>9.2929266466474302E-4</v>
      </c>
      <c r="O6">
        <v>2.8571533171258701E-3</v>
      </c>
      <c r="P6">
        <v>2.4330326484864901E-3</v>
      </c>
      <c r="Q6">
        <v>8.8110549173762195E-4</v>
      </c>
      <c r="R6">
        <v>1.4738726673359199E-4</v>
      </c>
      <c r="S6">
        <v>4.91653286170595E-3</v>
      </c>
      <c r="T6">
        <v>7.1874455948275802E-3</v>
      </c>
      <c r="U6">
        <v>3.6185341008325399E-3</v>
      </c>
      <c r="V6">
        <v>1.98775692039331E-3</v>
      </c>
      <c r="W6">
        <v>5.8166369446798697E-4</v>
      </c>
      <c r="X6">
        <v>1.6400265413962199E-3</v>
      </c>
      <c r="Y6">
        <v>1.6352971089892E-3</v>
      </c>
      <c r="Z6" s="6">
        <v>-8.7381567889182398E-5</v>
      </c>
      <c r="AA6">
        <v>1.12560088148312E-3</v>
      </c>
      <c r="AB6">
        <v>1.9007558633458001E-3</v>
      </c>
      <c r="AC6">
        <v>1.48675463343125E-3</v>
      </c>
      <c r="AD6">
        <v>2.4372618426706299E-3</v>
      </c>
      <c r="AE6">
        <v>2.7050117921904402E-3</v>
      </c>
      <c r="AF6">
        <v>8.0415277009686099E-4</v>
      </c>
      <c r="AG6">
        <v>3.4553320102909098E-3</v>
      </c>
      <c r="AH6">
        <v>6.6506277420631098E-3</v>
      </c>
      <c r="AI6">
        <v>5.4772786024569796E-3</v>
      </c>
      <c r="AJ6">
        <v>8.6154638813056E-3</v>
      </c>
      <c r="AK6">
        <v>5.7028005075391696E-3</v>
      </c>
      <c r="AL6">
        <v>1.0143568167330599E-2</v>
      </c>
      <c r="AM6">
        <v>3.6991092085441298E-3</v>
      </c>
      <c r="AN6">
        <v>3.0665942291586402E-3</v>
      </c>
      <c r="AO6">
        <v>2.6088571372226001E-3</v>
      </c>
      <c r="AP6">
        <v>1.4023389786090501E-3</v>
      </c>
      <c r="AQ6">
        <v>2.7665697878821302E-3</v>
      </c>
      <c r="AR6">
        <v>2.7568676710196102E-3</v>
      </c>
      <c r="AS6">
        <v>2.11704340050558E-3</v>
      </c>
      <c r="AT6">
        <v>1.54670395443645E-3</v>
      </c>
      <c r="AU6">
        <v>2.8512961431182101E-3</v>
      </c>
      <c r="AV6">
        <v>3.4681300009763599E-3</v>
      </c>
      <c r="AW6">
        <v>2.9813037482264299E-3</v>
      </c>
    </row>
    <row r="7" spans="1:49">
      <c r="A7" t="s">
        <v>11</v>
      </c>
      <c r="B7">
        <v>7.4975007979183302E-3</v>
      </c>
      <c r="C7">
        <v>3.4119651484253999E-3</v>
      </c>
      <c r="D7">
        <v>5.9443788943722197E-3</v>
      </c>
      <c r="E7">
        <v>3.2536701641319001E-3</v>
      </c>
      <c r="F7">
        <v>4.4685773706743996E-3</v>
      </c>
      <c r="G7">
        <v>5.91270930698134E-3</v>
      </c>
      <c r="H7">
        <v>4.1668036838282997E-3</v>
      </c>
      <c r="I7">
        <v>1.82736507215026E-3</v>
      </c>
      <c r="J7">
        <v>6.2752236634227802E-3</v>
      </c>
      <c r="K7">
        <v>6.1973677271599998E-4</v>
      </c>
      <c r="L7">
        <v>2.22818137250997E-3</v>
      </c>
      <c r="M7">
        <v>4.6791088612653498E-4</v>
      </c>
      <c r="N7">
        <v>1.2162950280791599E-3</v>
      </c>
      <c r="O7">
        <v>2.1359487260047402E-3</v>
      </c>
      <c r="P7">
        <v>2.2209839022708502E-3</v>
      </c>
      <c r="Q7">
        <v>1.61509846536042E-3</v>
      </c>
      <c r="R7">
        <v>1.2962022353579801E-3</v>
      </c>
      <c r="S7">
        <v>3.5516865361099399E-3</v>
      </c>
      <c r="T7">
        <v>3.89953026615293E-3</v>
      </c>
      <c r="U7">
        <v>3.1632832968739198E-3</v>
      </c>
      <c r="V7">
        <v>2.2155726902258199E-3</v>
      </c>
      <c r="W7">
        <v>1.7676122613003401E-3</v>
      </c>
      <c r="X7">
        <v>2.5708751032784399E-3</v>
      </c>
      <c r="Y7">
        <v>8.6409838283272797E-4</v>
      </c>
      <c r="Z7">
        <v>8.6272170599338398E-4</v>
      </c>
      <c r="AA7">
        <v>8.0686928710140102E-4</v>
      </c>
      <c r="AB7">
        <v>1.82569756955986E-3</v>
      </c>
      <c r="AC7">
        <v>1.4273127273001899E-3</v>
      </c>
      <c r="AD7">
        <v>2.42803471054735E-3</v>
      </c>
      <c r="AE7">
        <v>3.7055846928688799E-3</v>
      </c>
      <c r="AF7">
        <v>9.9821350831830104E-4</v>
      </c>
      <c r="AG7">
        <v>2.6993809085534902E-3</v>
      </c>
      <c r="AH7">
        <v>4.9935034550144999E-3</v>
      </c>
      <c r="AI7">
        <v>4.1452213481248303E-3</v>
      </c>
      <c r="AJ7">
        <v>6.0493533955457901E-3</v>
      </c>
      <c r="AK7">
        <v>4.0009751421516996E-3</v>
      </c>
      <c r="AL7">
        <v>6.9276759718653498E-3</v>
      </c>
      <c r="AM7">
        <v>2.6825633841802E-3</v>
      </c>
      <c r="AN7">
        <v>3.5374144132886498E-3</v>
      </c>
      <c r="AO7">
        <v>3.30204037567956E-3</v>
      </c>
      <c r="AP7">
        <v>2.4187049563742301E-3</v>
      </c>
      <c r="AQ7">
        <v>3.7060572203964802E-3</v>
      </c>
      <c r="AR7">
        <v>3.7739943223256299E-3</v>
      </c>
      <c r="AS7">
        <v>2.71003337264366E-3</v>
      </c>
      <c r="AT7">
        <v>2.0753014109536399E-3</v>
      </c>
      <c r="AU7">
        <v>2.62242171596216E-3</v>
      </c>
      <c r="AV7">
        <v>2.4484286013435499E-3</v>
      </c>
      <c r="AW7">
        <v>2.2061489477893802E-3</v>
      </c>
    </row>
    <row r="8" spans="1:49">
      <c r="A8" t="s">
        <v>12</v>
      </c>
      <c r="B8">
        <v>8.0951323378053008E-3</v>
      </c>
      <c r="C8">
        <v>3.9670482299074697E-3</v>
      </c>
      <c r="D8">
        <v>4.2323787531977804E-3</v>
      </c>
      <c r="E8">
        <v>4.2153530710648899E-3</v>
      </c>
      <c r="F8">
        <v>5.2890895471214899E-3</v>
      </c>
      <c r="G8">
        <v>4.1668036838282997E-3</v>
      </c>
      <c r="H8">
        <v>1.40850942119934E-2</v>
      </c>
      <c r="I8">
        <v>2.2705040912672E-3</v>
      </c>
      <c r="J8">
        <v>9.0638873279830501E-3</v>
      </c>
      <c r="K8">
        <v>1.18191694747251E-3</v>
      </c>
      <c r="L8">
        <v>2.49980709510929E-3</v>
      </c>
      <c r="M8">
        <v>1.9157548260250799E-3</v>
      </c>
      <c r="N8">
        <v>3.61099215485508E-4</v>
      </c>
      <c r="O8">
        <v>4.0898998975908299E-3</v>
      </c>
      <c r="P8">
        <v>3.2181227154230601E-3</v>
      </c>
      <c r="Q8">
        <v>1.8038149670042999E-3</v>
      </c>
      <c r="R8">
        <v>1.44437113664657E-3</v>
      </c>
      <c r="S8">
        <v>3.6413523427677899E-3</v>
      </c>
      <c r="T8">
        <v>3.3293155674260599E-3</v>
      </c>
      <c r="U8">
        <v>3.3879919325030001E-3</v>
      </c>
      <c r="V8">
        <v>1.9195690376432901E-3</v>
      </c>
      <c r="W8">
        <v>-3.2855970821520899E-4</v>
      </c>
      <c r="X8">
        <v>1.4173327794289901E-4</v>
      </c>
      <c r="Y8">
        <v>2.0091043571630498E-3</v>
      </c>
      <c r="Z8">
        <v>1.20800683581339E-3</v>
      </c>
      <c r="AA8">
        <v>1.62519940251029E-3</v>
      </c>
      <c r="AB8">
        <v>3.4874641601104102E-3</v>
      </c>
      <c r="AC8">
        <v>1.68627474046623E-3</v>
      </c>
      <c r="AD8">
        <v>4.0111736783017297E-3</v>
      </c>
      <c r="AE8">
        <v>3.7545040056695799E-3</v>
      </c>
      <c r="AF8">
        <v>2.2435507408846401E-3</v>
      </c>
      <c r="AG8">
        <v>2.2398148735660599E-3</v>
      </c>
      <c r="AH8">
        <v>5.3968102764427499E-3</v>
      </c>
      <c r="AI8">
        <v>4.5840110857606302E-3</v>
      </c>
      <c r="AJ8">
        <v>8.8881448698934808E-3</v>
      </c>
      <c r="AK8">
        <v>6.44344383633809E-3</v>
      </c>
      <c r="AL8">
        <v>8.4963939389438494E-3</v>
      </c>
      <c r="AM8">
        <v>3.8147870087186101E-3</v>
      </c>
      <c r="AN8">
        <v>4.0630266941314797E-3</v>
      </c>
      <c r="AO8">
        <v>2.4460516082116198E-3</v>
      </c>
      <c r="AP8">
        <v>2.5019481000084099E-3</v>
      </c>
      <c r="AQ8">
        <v>2.5912749741023098E-3</v>
      </c>
      <c r="AR8">
        <v>4.2225482364413496E-3</v>
      </c>
      <c r="AS8">
        <v>1.89490959663597E-3</v>
      </c>
      <c r="AT8">
        <v>2.4576337841158498E-3</v>
      </c>
      <c r="AU8">
        <v>3.8428201159336301E-3</v>
      </c>
      <c r="AV8">
        <v>2.7238132351818599E-3</v>
      </c>
      <c r="AW8">
        <v>4.4990937233736301E-3</v>
      </c>
    </row>
    <row r="9" spans="1:49">
      <c r="A9" t="s">
        <v>13</v>
      </c>
      <c r="B9">
        <v>4.04298745333767E-3</v>
      </c>
      <c r="C9">
        <v>2.4888022796929598E-3</v>
      </c>
      <c r="D9">
        <v>1.87978013343489E-3</v>
      </c>
      <c r="E9">
        <v>1.6324406026592699E-3</v>
      </c>
      <c r="F9">
        <v>1.91550792143038E-3</v>
      </c>
      <c r="G9">
        <v>1.82736507215026E-3</v>
      </c>
      <c r="H9">
        <v>2.2705040912672E-3</v>
      </c>
      <c r="I9">
        <v>3.5208650460527599E-3</v>
      </c>
      <c r="J9">
        <v>3.3180382457472899E-3</v>
      </c>
      <c r="K9">
        <v>1.7179450479463199E-3</v>
      </c>
      <c r="L9">
        <v>2.7787476417039801E-3</v>
      </c>
      <c r="M9">
        <v>1.4207731804107299E-3</v>
      </c>
      <c r="N9">
        <v>1.7167345300987799E-3</v>
      </c>
      <c r="O9">
        <v>2.07017189410332E-3</v>
      </c>
      <c r="P9">
        <v>3.3212057679780399E-3</v>
      </c>
      <c r="Q9">
        <v>1.65215429179803E-3</v>
      </c>
      <c r="R9">
        <v>2.0847997830374799E-3</v>
      </c>
      <c r="S9">
        <v>3.4523748466885398E-3</v>
      </c>
      <c r="T9">
        <v>2.3879545665155002E-3</v>
      </c>
      <c r="U9">
        <v>1.80966805834304E-3</v>
      </c>
      <c r="V9">
        <v>1.9895381406145802E-3</v>
      </c>
      <c r="W9">
        <v>2.8602604208183601E-3</v>
      </c>
      <c r="X9">
        <v>3.3061759673153799E-3</v>
      </c>
      <c r="Y9">
        <v>1.88540564426416E-3</v>
      </c>
      <c r="Z9">
        <v>1.35041416202664E-3</v>
      </c>
      <c r="AA9">
        <v>1.2080456149471E-3</v>
      </c>
      <c r="AB9">
        <v>2.5415832062238601E-3</v>
      </c>
      <c r="AC9">
        <v>1.89604356242622E-3</v>
      </c>
      <c r="AD9">
        <v>2.5005854169347498E-3</v>
      </c>
      <c r="AE9">
        <v>3.83307474632697E-3</v>
      </c>
      <c r="AF9">
        <v>2.1557154368308999E-3</v>
      </c>
      <c r="AG9">
        <v>2.2208942795561202E-3</v>
      </c>
      <c r="AH9">
        <v>2.58167058595761E-3</v>
      </c>
      <c r="AI9">
        <v>2.3578380306076502E-3</v>
      </c>
      <c r="AJ9">
        <v>3.0929252637910301E-3</v>
      </c>
      <c r="AK9">
        <v>2.7820094856466598E-3</v>
      </c>
      <c r="AL9">
        <v>4.8869019344716901E-3</v>
      </c>
      <c r="AM9">
        <v>2.60159633867526E-3</v>
      </c>
      <c r="AN9">
        <v>3.5640284649572601E-3</v>
      </c>
      <c r="AO9">
        <v>3.5888840677830301E-3</v>
      </c>
      <c r="AP9">
        <v>3.1871968012645198E-3</v>
      </c>
      <c r="AQ9">
        <v>3.30223545314379E-3</v>
      </c>
      <c r="AR9">
        <v>3.0744655180135198E-3</v>
      </c>
      <c r="AS9">
        <v>3.5406655135281199E-3</v>
      </c>
      <c r="AT9">
        <v>2.8814486677290999E-3</v>
      </c>
      <c r="AU9">
        <v>2.8361671086070202E-3</v>
      </c>
      <c r="AV9">
        <v>1.8721878315464101E-3</v>
      </c>
      <c r="AW9">
        <v>2.17357576490505E-3</v>
      </c>
    </row>
    <row r="10" spans="1:49">
      <c r="A10" t="s">
        <v>15</v>
      </c>
      <c r="B10">
        <v>1.2708267340744201E-2</v>
      </c>
      <c r="C10">
        <v>6.3135970034381202E-3</v>
      </c>
      <c r="D10">
        <v>6.3421139252451599E-3</v>
      </c>
      <c r="E10">
        <v>5.8890711282063701E-3</v>
      </c>
      <c r="F10">
        <v>8.3894137096312497E-3</v>
      </c>
      <c r="G10">
        <v>6.2752236634227802E-3</v>
      </c>
      <c r="H10">
        <v>9.0638873279830501E-3</v>
      </c>
      <c r="I10">
        <v>3.3180382457472899E-3</v>
      </c>
      <c r="J10">
        <v>2.0587056364941202E-2</v>
      </c>
      <c r="K10">
        <v>-1.4813125113553801E-4</v>
      </c>
      <c r="L10">
        <v>2.87918555130608E-3</v>
      </c>
      <c r="M10">
        <v>2.7566907317601498E-4</v>
      </c>
      <c r="N10" s="6">
        <v>3.5616070306311899E-5</v>
      </c>
      <c r="O10">
        <v>3.90093155787429E-3</v>
      </c>
      <c r="P10">
        <v>3.1024694934042901E-3</v>
      </c>
      <c r="Q10">
        <v>2.4171391364165001E-3</v>
      </c>
      <c r="R10">
        <v>1.8292030914050201E-4</v>
      </c>
      <c r="S10">
        <v>4.5555172371904602E-3</v>
      </c>
      <c r="T10">
        <v>1.06646566240326E-2</v>
      </c>
      <c r="U10">
        <v>4.8443222512438901E-3</v>
      </c>
      <c r="V10">
        <v>3.1585736306515102E-3</v>
      </c>
      <c r="W10" s="6">
        <v>-6.9766057894551196E-5</v>
      </c>
      <c r="X10">
        <v>1.61023206278208E-3</v>
      </c>
      <c r="Y10">
        <v>2.3743950438174801E-3</v>
      </c>
      <c r="Z10">
        <v>3.4380970769928002E-4</v>
      </c>
      <c r="AA10">
        <v>1.1980795225885899E-3</v>
      </c>
      <c r="AB10">
        <v>4.7228635300654897E-3</v>
      </c>
      <c r="AC10">
        <v>1.0944199156743401E-3</v>
      </c>
      <c r="AD10">
        <v>2.5913196509160801E-3</v>
      </c>
      <c r="AE10">
        <v>5.1499821092971703E-3</v>
      </c>
      <c r="AF10">
        <v>6.6551100541522397E-4</v>
      </c>
      <c r="AG10">
        <v>5.5954849347037497E-3</v>
      </c>
      <c r="AH10">
        <v>9.3921732350968692E-3</v>
      </c>
      <c r="AI10">
        <v>8.4816451171297099E-3</v>
      </c>
      <c r="AJ10">
        <v>1.53959323283269E-2</v>
      </c>
      <c r="AK10">
        <v>4.4645134168832196E-3</v>
      </c>
      <c r="AL10">
        <v>1.31328625859442E-2</v>
      </c>
      <c r="AM10">
        <v>4.9692783274092097E-3</v>
      </c>
      <c r="AN10">
        <v>3.7976328080557699E-3</v>
      </c>
      <c r="AO10">
        <v>4.0442822832988503E-3</v>
      </c>
      <c r="AP10">
        <v>3.5829890025083498E-3</v>
      </c>
      <c r="AQ10">
        <v>3.8627179436053201E-3</v>
      </c>
      <c r="AR10">
        <v>3.6883036516639502E-3</v>
      </c>
      <c r="AS10">
        <v>3.15436786087983E-3</v>
      </c>
      <c r="AT10">
        <v>1.5922363721942701E-3</v>
      </c>
      <c r="AU10">
        <v>4.8122028609217399E-3</v>
      </c>
      <c r="AV10">
        <v>5.0802367541241704E-3</v>
      </c>
      <c r="AW10">
        <v>4.2557274257383699E-3</v>
      </c>
    </row>
    <row r="11" spans="1:49">
      <c r="A11" t="s">
        <v>17</v>
      </c>
      <c r="B11">
        <v>2.2788712794787999E-3</v>
      </c>
      <c r="C11">
        <v>1.6678360194017599E-3</v>
      </c>
      <c r="D11">
        <v>6.1165447330131101E-4</v>
      </c>
      <c r="E11">
        <v>9.7903573929610898E-4</v>
      </c>
      <c r="F11">
        <v>4.6383861977213899E-4</v>
      </c>
      <c r="G11">
        <v>6.1973677271599998E-4</v>
      </c>
      <c r="H11">
        <v>1.18191694747251E-3</v>
      </c>
      <c r="I11">
        <v>1.7179450479463199E-3</v>
      </c>
      <c r="J11">
        <v>-1.4813125113553801E-4</v>
      </c>
      <c r="K11">
        <v>2.4658507058453599E-3</v>
      </c>
      <c r="L11">
        <v>1.5926814716236699E-3</v>
      </c>
      <c r="M11">
        <v>1.2310986331037399E-3</v>
      </c>
      <c r="N11">
        <v>1.6989800907525E-3</v>
      </c>
      <c r="O11">
        <v>1.6847617616487401E-3</v>
      </c>
      <c r="P11">
        <v>2.04892107714175E-3</v>
      </c>
      <c r="Q11">
        <v>2.11838491506038E-3</v>
      </c>
      <c r="R11">
        <v>1.56135709016716E-3</v>
      </c>
      <c r="S11">
        <v>1.32424836727028E-3</v>
      </c>
      <c r="T11">
        <v>3.30210193523328E-4</v>
      </c>
      <c r="U11">
        <v>1.660540745718E-3</v>
      </c>
      <c r="V11">
        <v>1.2681874906295501E-3</v>
      </c>
      <c r="W11">
        <v>1.6797985234933599E-3</v>
      </c>
      <c r="X11">
        <v>1.8493753034097399E-3</v>
      </c>
      <c r="Y11">
        <v>1.0802780290306601E-3</v>
      </c>
      <c r="Z11">
        <v>1.0573374813702E-3</v>
      </c>
      <c r="AA11">
        <v>7.5894858493262497E-4</v>
      </c>
      <c r="AB11">
        <v>1.33535311008422E-3</v>
      </c>
      <c r="AC11">
        <v>1.6323275100982701E-3</v>
      </c>
      <c r="AD11">
        <v>1.6075494023591E-3</v>
      </c>
      <c r="AE11">
        <v>1.2773940268292099E-3</v>
      </c>
      <c r="AF11">
        <v>1.9966392809872102E-3</v>
      </c>
      <c r="AG11">
        <v>1.1727105077654601E-3</v>
      </c>
      <c r="AH11">
        <v>8.5923078139619005E-4</v>
      </c>
      <c r="AI11">
        <v>1.1073963038160199E-3</v>
      </c>
      <c r="AJ11">
        <v>5.2697330931840403E-4</v>
      </c>
      <c r="AK11">
        <v>1.9168583769505201E-3</v>
      </c>
      <c r="AL11">
        <v>1.5756173499842101E-3</v>
      </c>
      <c r="AM11">
        <v>1.90912364422583E-3</v>
      </c>
      <c r="AN11">
        <v>1.58103578592472E-3</v>
      </c>
      <c r="AO11">
        <v>1.45479099119821E-3</v>
      </c>
      <c r="AP11">
        <v>1.43786094287435E-3</v>
      </c>
      <c r="AQ11">
        <v>1.9328508452556899E-3</v>
      </c>
      <c r="AR11">
        <v>1.70820349261881E-3</v>
      </c>
      <c r="AS11">
        <v>9.0045863520232697E-4</v>
      </c>
      <c r="AT11">
        <v>1.14697420433651E-3</v>
      </c>
      <c r="AU11">
        <v>1.90355270282841E-3</v>
      </c>
      <c r="AV11">
        <v>8.1486117445446103E-4</v>
      </c>
      <c r="AW11">
        <v>1.7227715038318E-3</v>
      </c>
    </row>
    <row r="12" spans="1:49">
      <c r="A12" t="s">
        <v>18</v>
      </c>
      <c r="B12">
        <v>4.9694966191124604E-3</v>
      </c>
      <c r="C12">
        <v>3.1264915757691402E-3</v>
      </c>
      <c r="D12">
        <v>2.2678024314349899E-3</v>
      </c>
      <c r="E12">
        <v>1.83348088586125E-3</v>
      </c>
      <c r="F12">
        <v>2.3841375445628802E-3</v>
      </c>
      <c r="G12">
        <v>2.22818137250997E-3</v>
      </c>
      <c r="H12">
        <v>2.49980709510929E-3</v>
      </c>
      <c r="I12">
        <v>2.7787476417039801E-3</v>
      </c>
      <c r="J12">
        <v>2.87918555130608E-3</v>
      </c>
      <c r="K12">
        <v>1.5926814716236699E-3</v>
      </c>
      <c r="L12">
        <v>4.6668997711746497E-3</v>
      </c>
      <c r="M12">
        <v>1.4573705983980899E-3</v>
      </c>
      <c r="N12">
        <v>1.46075272583707E-3</v>
      </c>
      <c r="O12">
        <v>2.3375454665388201E-3</v>
      </c>
      <c r="P12">
        <v>4.9888562931959899E-3</v>
      </c>
      <c r="Q12">
        <v>8.8250557115420705E-4</v>
      </c>
      <c r="R12">
        <v>2.2211856457136502E-3</v>
      </c>
      <c r="S12">
        <v>4.8941471912666299E-3</v>
      </c>
      <c r="T12">
        <v>2.7310003793209799E-3</v>
      </c>
      <c r="U12">
        <v>3.0472915434527599E-3</v>
      </c>
      <c r="V12">
        <v>2.3433148861022801E-3</v>
      </c>
      <c r="W12">
        <v>3.4225798639743099E-3</v>
      </c>
      <c r="X12">
        <v>3.5817750299357199E-3</v>
      </c>
      <c r="Y12">
        <v>1.4462467812214001E-3</v>
      </c>
      <c r="Z12">
        <v>2.5964279532576201E-3</v>
      </c>
      <c r="AA12">
        <v>1.72012994986189E-3</v>
      </c>
      <c r="AB12">
        <v>3.1989013023656101E-3</v>
      </c>
      <c r="AC12">
        <v>2.5558486083165702E-3</v>
      </c>
      <c r="AD12">
        <v>3.21026674730629E-3</v>
      </c>
      <c r="AE12">
        <v>5.0012802810341503E-3</v>
      </c>
      <c r="AF12">
        <v>2.86217046913321E-3</v>
      </c>
      <c r="AG12">
        <v>2.8498559995608799E-3</v>
      </c>
      <c r="AH12">
        <v>3.6861628506762402E-3</v>
      </c>
      <c r="AI12">
        <v>3.3868203535935798E-3</v>
      </c>
      <c r="AJ12">
        <v>2.4871940975421301E-3</v>
      </c>
      <c r="AK12">
        <v>4.44179871614652E-3</v>
      </c>
      <c r="AL12">
        <v>6.3974476293188103E-3</v>
      </c>
      <c r="AM12">
        <v>2.2871586702701398E-3</v>
      </c>
      <c r="AN12">
        <v>4.2761184597621604E-3</v>
      </c>
      <c r="AO12">
        <v>3.6528240654511101E-3</v>
      </c>
      <c r="AP12">
        <v>3.1447570802898201E-3</v>
      </c>
      <c r="AQ12">
        <v>3.8948499497852601E-3</v>
      </c>
      <c r="AR12">
        <v>4.0937780789597799E-3</v>
      </c>
      <c r="AS12">
        <v>4.0230645161554697E-3</v>
      </c>
      <c r="AT12">
        <v>3.21201951526309E-3</v>
      </c>
      <c r="AU12">
        <v>3.2178843487418E-3</v>
      </c>
      <c r="AV12">
        <v>1.7685497542961001E-3</v>
      </c>
      <c r="AW12">
        <v>2.1055075703013599E-3</v>
      </c>
    </row>
    <row r="13" spans="1:49">
      <c r="A13" t="s">
        <v>19</v>
      </c>
      <c r="B13">
        <v>2.6065981802935302E-4</v>
      </c>
      <c r="C13">
        <v>1.5269567348731999E-3</v>
      </c>
      <c r="D13">
        <v>4.5460312975079202E-4</v>
      </c>
      <c r="E13">
        <v>1.20717593581823E-3</v>
      </c>
      <c r="F13">
        <v>3.7580785842384403E-4</v>
      </c>
      <c r="G13">
        <v>4.6791088612653498E-4</v>
      </c>
      <c r="H13">
        <v>1.9157548260250799E-3</v>
      </c>
      <c r="I13">
        <v>1.4207731804107299E-3</v>
      </c>
      <c r="J13">
        <v>2.7566907317601498E-4</v>
      </c>
      <c r="K13">
        <v>1.2310986331037399E-3</v>
      </c>
      <c r="L13">
        <v>1.4573705983980899E-3</v>
      </c>
      <c r="M13">
        <v>2.59890989720172E-3</v>
      </c>
      <c r="N13">
        <v>1.2830544273069299E-3</v>
      </c>
      <c r="O13">
        <v>1.7079195576327501E-3</v>
      </c>
      <c r="P13">
        <v>1.8418757389776701E-3</v>
      </c>
      <c r="Q13">
        <v>1.3578117570885501E-3</v>
      </c>
      <c r="R13">
        <v>1.87714880417876E-3</v>
      </c>
      <c r="S13">
        <v>1.42399058851095E-3</v>
      </c>
      <c r="T13">
        <v>2.57496465592883E-4</v>
      </c>
      <c r="U13">
        <v>7.5261911098282704E-4</v>
      </c>
      <c r="V13">
        <v>1.4490114943193301E-3</v>
      </c>
      <c r="W13">
        <v>6.5826137832693504E-4</v>
      </c>
      <c r="X13">
        <v>9.4735634654480403E-4</v>
      </c>
      <c r="Y13">
        <v>1.5264107332182001E-3</v>
      </c>
      <c r="Z13">
        <v>1.1271387426795699E-3</v>
      </c>
      <c r="AA13">
        <v>1.2313617113487399E-3</v>
      </c>
      <c r="AB13">
        <v>2.0419947396328902E-3</v>
      </c>
      <c r="AC13">
        <v>1.63733083199861E-3</v>
      </c>
      <c r="AD13">
        <v>1.624133142297E-3</v>
      </c>
      <c r="AE13">
        <v>1.6010554602142E-3</v>
      </c>
      <c r="AF13">
        <v>1.8227033871496901E-3</v>
      </c>
      <c r="AG13">
        <v>1.4940632178199E-3</v>
      </c>
      <c r="AH13">
        <v>7.8513045032575996E-4</v>
      </c>
      <c r="AI13">
        <v>1.6114759573899E-3</v>
      </c>
      <c r="AJ13">
        <v>1.2207625059822301E-3</v>
      </c>
      <c r="AK13">
        <v>1.0221635146651701E-3</v>
      </c>
      <c r="AL13">
        <v>1.15781680251445E-3</v>
      </c>
      <c r="AM13">
        <v>1.5236223702557901E-3</v>
      </c>
      <c r="AN13">
        <v>1.0145779177578101E-3</v>
      </c>
      <c r="AO13">
        <v>1.1092935602386601E-3</v>
      </c>
      <c r="AP13">
        <v>9.3366369688112198E-4</v>
      </c>
      <c r="AQ13">
        <v>1.0422950999552699E-3</v>
      </c>
      <c r="AR13">
        <v>8.0855525880767502E-4</v>
      </c>
      <c r="AS13">
        <v>4.14563620486145E-4</v>
      </c>
      <c r="AT13">
        <v>8.1839834692749695E-4</v>
      </c>
      <c r="AU13">
        <v>1.5223760610869801E-3</v>
      </c>
      <c r="AV13">
        <v>1.2807620600106999E-3</v>
      </c>
      <c r="AW13">
        <v>1.55686068684616E-3</v>
      </c>
    </row>
    <row r="14" spans="1:49">
      <c r="A14" t="s">
        <v>20</v>
      </c>
      <c r="B14">
        <v>3.0368500326637998E-3</v>
      </c>
      <c r="C14">
        <v>1.8594985880155701E-3</v>
      </c>
      <c r="D14">
        <v>1.21194166282072E-3</v>
      </c>
      <c r="E14">
        <v>1.3316315952566599E-3</v>
      </c>
      <c r="F14">
        <v>9.2929266466474302E-4</v>
      </c>
      <c r="G14">
        <v>1.2162950280791599E-3</v>
      </c>
      <c r="H14">
        <v>3.61099215485508E-4</v>
      </c>
      <c r="I14">
        <v>1.7167345300987799E-3</v>
      </c>
      <c r="J14" s="6">
        <v>3.5616070306311899E-5</v>
      </c>
      <c r="K14">
        <v>1.6989800907525E-3</v>
      </c>
      <c r="L14">
        <v>1.46075272583707E-3</v>
      </c>
      <c r="M14">
        <v>1.2830544273069299E-3</v>
      </c>
      <c r="N14">
        <v>3.4648212818999299E-3</v>
      </c>
      <c r="O14">
        <v>1.89939798306558E-3</v>
      </c>
      <c r="P14">
        <v>1.63213470235006E-3</v>
      </c>
      <c r="Q14">
        <v>2.22978673652051E-3</v>
      </c>
      <c r="R14">
        <v>1.8108854030034201E-3</v>
      </c>
      <c r="S14">
        <v>1.9725175629709399E-3</v>
      </c>
      <c r="T14">
        <v>8.3371519744961195E-4</v>
      </c>
      <c r="U14">
        <v>1.20015616899186E-3</v>
      </c>
      <c r="V14">
        <v>1.97420088797985E-3</v>
      </c>
      <c r="W14">
        <v>1.78622799679288E-3</v>
      </c>
      <c r="X14">
        <v>2.59212076456761E-3</v>
      </c>
      <c r="Y14">
        <v>1.5134153790755901E-3</v>
      </c>
      <c r="Z14">
        <v>9.2687624339184203E-4</v>
      </c>
      <c r="AA14">
        <v>6.7586971390893799E-4</v>
      </c>
      <c r="AB14">
        <v>1.9178444056133701E-3</v>
      </c>
      <c r="AC14">
        <v>1.59827599056959E-3</v>
      </c>
      <c r="AD14">
        <v>1.71620010444292E-3</v>
      </c>
      <c r="AE14">
        <v>1.9552795463108402E-3</v>
      </c>
      <c r="AF14">
        <v>1.81046143257634E-3</v>
      </c>
      <c r="AG14">
        <v>1.81617902130915E-3</v>
      </c>
      <c r="AH14">
        <v>1.19434633568996E-3</v>
      </c>
      <c r="AI14">
        <v>1.635630902227E-3</v>
      </c>
      <c r="AJ14">
        <v>4.4006669430912698E-4</v>
      </c>
      <c r="AK14">
        <v>1.8586258588587201E-3</v>
      </c>
      <c r="AL14">
        <v>1.8300598656214701E-3</v>
      </c>
      <c r="AM14">
        <v>2.1866823262693502E-3</v>
      </c>
      <c r="AN14">
        <v>1.86696106731662E-3</v>
      </c>
      <c r="AO14">
        <v>2.3627292411903399E-3</v>
      </c>
      <c r="AP14">
        <v>1.6272216514411201E-3</v>
      </c>
      <c r="AQ14">
        <v>2.6212039130120899E-3</v>
      </c>
      <c r="AR14">
        <v>1.7236062280107101E-3</v>
      </c>
      <c r="AS14">
        <v>1.76755117354182E-3</v>
      </c>
      <c r="AT14">
        <v>1.6078204518220299E-3</v>
      </c>
      <c r="AU14">
        <v>2.2368261155943101E-3</v>
      </c>
      <c r="AV14">
        <v>1.5036526252686199E-3</v>
      </c>
      <c r="AW14">
        <v>1.9786550180050902E-3</v>
      </c>
    </row>
    <row r="15" spans="1:49">
      <c r="A15" t="s">
        <v>21</v>
      </c>
      <c r="B15">
        <v>6.9233647591898503E-3</v>
      </c>
      <c r="C15">
        <v>3.1163469714724601E-3</v>
      </c>
      <c r="D15">
        <v>2.1401257080435302E-3</v>
      </c>
      <c r="E15">
        <v>2.3938959715398399E-3</v>
      </c>
      <c r="F15">
        <v>2.8571533171258701E-3</v>
      </c>
      <c r="G15">
        <v>2.1359487260047402E-3</v>
      </c>
      <c r="H15">
        <v>4.0898998975908299E-3</v>
      </c>
      <c r="I15">
        <v>2.07017189410332E-3</v>
      </c>
      <c r="J15">
        <v>3.90093155787429E-3</v>
      </c>
      <c r="K15">
        <v>1.6847617616487401E-3</v>
      </c>
      <c r="L15">
        <v>2.3375454665388201E-3</v>
      </c>
      <c r="M15">
        <v>1.7079195576327501E-3</v>
      </c>
      <c r="N15">
        <v>1.89939798306558E-3</v>
      </c>
      <c r="O15">
        <v>5.4112028661803101E-3</v>
      </c>
      <c r="P15">
        <v>3.22340244409281E-3</v>
      </c>
      <c r="Q15">
        <v>2.5289510034330301E-3</v>
      </c>
      <c r="R15">
        <v>1.73396229221892E-3</v>
      </c>
      <c r="S15">
        <v>3.0484204829380498E-3</v>
      </c>
      <c r="T15">
        <v>3.0726151163837198E-3</v>
      </c>
      <c r="U15">
        <v>3.3138214281512798E-3</v>
      </c>
      <c r="V15">
        <v>2.4053897356330501E-3</v>
      </c>
      <c r="W15">
        <v>1.72908378783212E-3</v>
      </c>
      <c r="X15">
        <v>2.6749745758270198E-3</v>
      </c>
      <c r="Y15">
        <v>1.5958307837731201E-3</v>
      </c>
      <c r="Z15">
        <v>1.7998769844025501E-3</v>
      </c>
      <c r="AA15">
        <v>1.18997025002297E-3</v>
      </c>
      <c r="AB15">
        <v>3.2250808177906E-3</v>
      </c>
      <c r="AC15">
        <v>2.7658844913303802E-3</v>
      </c>
      <c r="AD15">
        <v>2.7788477119517802E-3</v>
      </c>
      <c r="AE15">
        <v>4.0053404863867603E-3</v>
      </c>
      <c r="AF15">
        <v>2.7011198932636702E-3</v>
      </c>
      <c r="AG15">
        <v>2.8034635709036E-3</v>
      </c>
      <c r="AH15">
        <v>4.03841524524352E-3</v>
      </c>
      <c r="AI15">
        <v>3.7441174310260802E-3</v>
      </c>
      <c r="AJ15">
        <v>4.5355454731771496E-3</v>
      </c>
      <c r="AK15">
        <v>4.3833944959242198E-3</v>
      </c>
      <c r="AL15">
        <v>7.53663274138772E-3</v>
      </c>
      <c r="AM15">
        <v>4.0248995901859099E-3</v>
      </c>
      <c r="AN15">
        <v>3.5321912841138501E-3</v>
      </c>
      <c r="AO15">
        <v>3.6542826445034198E-3</v>
      </c>
      <c r="AP15">
        <v>2.82682669012425E-3</v>
      </c>
      <c r="AQ15">
        <v>3.6390311927351699E-3</v>
      </c>
      <c r="AR15">
        <v>3.7071736418455401E-3</v>
      </c>
      <c r="AS15">
        <v>2.5942025033524399E-3</v>
      </c>
      <c r="AT15">
        <v>3.3388204029952801E-3</v>
      </c>
      <c r="AU15">
        <v>3.91902395452809E-3</v>
      </c>
      <c r="AV15">
        <v>2.3008427785206199E-3</v>
      </c>
      <c r="AW15">
        <v>5.3536038588326701E-3</v>
      </c>
    </row>
    <row r="16" spans="1:49">
      <c r="A16" t="s">
        <v>23</v>
      </c>
      <c r="B16">
        <v>6.4082873574244003E-3</v>
      </c>
      <c r="C16">
        <v>3.59352705757939E-3</v>
      </c>
      <c r="D16">
        <v>2.2411783239913402E-3</v>
      </c>
      <c r="E16">
        <v>1.9959888427262501E-3</v>
      </c>
      <c r="F16">
        <v>2.4330326484864901E-3</v>
      </c>
      <c r="G16">
        <v>2.2209839022708502E-3</v>
      </c>
      <c r="H16">
        <v>3.2181227154230601E-3</v>
      </c>
      <c r="I16">
        <v>3.3212057679780399E-3</v>
      </c>
      <c r="J16">
        <v>3.1024694934042901E-3</v>
      </c>
      <c r="K16">
        <v>2.04892107714175E-3</v>
      </c>
      <c r="L16">
        <v>4.9888562931959899E-3</v>
      </c>
      <c r="M16">
        <v>1.8418757389776701E-3</v>
      </c>
      <c r="N16">
        <v>1.63213470235006E-3</v>
      </c>
      <c r="O16">
        <v>3.22340244409281E-3</v>
      </c>
      <c r="P16">
        <v>6.1081942435733602E-3</v>
      </c>
      <c r="Q16">
        <v>1.35228645611354E-3</v>
      </c>
      <c r="R16">
        <v>2.7771704293937101E-3</v>
      </c>
      <c r="S16">
        <v>5.1618449027673596E-3</v>
      </c>
      <c r="T16">
        <v>2.2545423997279899E-3</v>
      </c>
      <c r="U16">
        <v>3.3933044747003699E-3</v>
      </c>
      <c r="V16">
        <v>2.4451929462556898E-3</v>
      </c>
      <c r="W16">
        <v>4.2518024481712604E-3</v>
      </c>
      <c r="X16">
        <v>4.3428464131182801E-3</v>
      </c>
      <c r="Y16">
        <v>1.5199577414203101E-3</v>
      </c>
      <c r="Z16">
        <v>2.79051510457948E-3</v>
      </c>
      <c r="AA16">
        <v>1.74633178114356E-3</v>
      </c>
      <c r="AB16">
        <v>3.52170819883288E-3</v>
      </c>
      <c r="AC16">
        <v>3.0895531476352101E-3</v>
      </c>
      <c r="AD16">
        <v>3.5209860950222199E-3</v>
      </c>
      <c r="AE16">
        <v>5.6158996094351201E-3</v>
      </c>
      <c r="AF16">
        <v>3.3085954717514002E-3</v>
      </c>
      <c r="AG16">
        <v>3.1031264632926901E-3</v>
      </c>
      <c r="AH16">
        <v>3.9192848302025103E-3</v>
      </c>
      <c r="AI16">
        <v>3.6594231021523601E-3</v>
      </c>
      <c r="AJ16">
        <v>3.6967316907781699E-3</v>
      </c>
      <c r="AK16">
        <v>4.8884723791249602E-3</v>
      </c>
      <c r="AL16">
        <v>7.1376052965363701E-3</v>
      </c>
      <c r="AM16">
        <v>2.8972420130193299E-3</v>
      </c>
      <c r="AN16">
        <v>4.9842247433431897E-3</v>
      </c>
      <c r="AO16">
        <v>4.13475313503183E-3</v>
      </c>
      <c r="AP16">
        <v>3.5369498890416898E-3</v>
      </c>
      <c r="AQ16">
        <v>4.3581168376413499E-3</v>
      </c>
      <c r="AR16">
        <v>4.6347296431486296E-3</v>
      </c>
      <c r="AS16">
        <v>4.4276892160574196E-3</v>
      </c>
      <c r="AT16">
        <v>3.57802194087026E-3</v>
      </c>
      <c r="AU16">
        <v>3.9190495791564701E-3</v>
      </c>
      <c r="AV16">
        <v>1.7118875426855001E-3</v>
      </c>
      <c r="AW16">
        <v>3.17658921638269E-3</v>
      </c>
    </row>
    <row r="17" spans="1:49">
      <c r="A17" t="s">
        <v>24</v>
      </c>
      <c r="B17">
        <v>1.61297747787927E-3</v>
      </c>
      <c r="C17">
        <v>2.24702452751149E-3</v>
      </c>
      <c r="D17">
        <v>1.58372772417927E-3</v>
      </c>
      <c r="E17">
        <v>1.1036439612997599E-3</v>
      </c>
      <c r="F17">
        <v>8.8110549173762195E-4</v>
      </c>
      <c r="G17">
        <v>1.61509846536042E-3</v>
      </c>
      <c r="H17">
        <v>1.8038149670042999E-3</v>
      </c>
      <c r="I17">
        <v>1.65215429179803E-3</v>
      </c>
      <c r="J17">
        <v>2.4171391364165001E-3</v>
      </c>
      <c r="K17">
        <v>2.11838491506038E-3</v>
      </c>
      <c r="L17">
        <v>8.8250557115420705E-4</v>
      </c>
      <c r="M17">
        <v>1.3578117570885501E-3</v>
      </c>
      <c r="N17">
        <v>2.22978673652051E-3</v>
      </c>
      <c r="O17">
        <v>2.5289510034330301E-3</v>
      </c>
      <c r="P17">
        <v>1.35228645611354E-3</v>
      </c>
      <c r="Q17">
        <v>6.3188987514189799E-3</v>
      </c>
      <c r="R17">
        <v>1.3245586983350801E-3</v>
      </c>
      <c r="S17">
        <v>1.35770580895387E-4</v>
      </c>
      <c r="T17">
        <v>4.5483654176133698E-4</v>
      </c>
      <c r="U17">
        <v>1.41719083176542E-3</v>
      </c>
      <c r="V17">
        <v>2.2720674363468198E-3</v>
      </c>
      <c r="W17">
        <v>9.1405455724868901E-4</v>
      </c>
      <c r="X17">
        <v>2.1913224338813799E-3</v>
      </c>
      <c r="Y17">
        <v>1.1185297570033301E-3</v>
      </c>
      <c r="Z17">
        <v>1.1132729820482201E-3</v>
      </c>
      <c r="AA17">
        <v>1.03687272576373E-3</v>
      </c>
      <c r="AB17">
        <v>1.73576562028357E-3</v>
      </c>
      <c r="AC17">
        <v>1.51625992906103E-3</v>
      </c>
      <c r="AD17">
        <v>1.9331914414646499E-3</v>
      </c>
      <c r="AE17">
        <v>1.06795464712225E-3</v>
      </c>
      <c r="AF17">
        <v>2.02302971184381E-3</v>
      </c>
      <c r="AG17">
        <v>1.3678988708342801E-3</v>
      </c>
      <c r="AH17" s="6">
        <v>3.6850398581771803E-5</v>
      </c>
      <c r="AI17">
        <v>1.22653393642276E-3</v>
      </c>
      <c r="AJ17">
        <v>4.4998675514715397E-3</v>
      </c>
      <c r="AK17">
        <v>1.11637177607925E-3</v>
      </c>
      <c r="AL17">
        <v>6.4129946465602298E-4</v>
      </c>
      <c r="AM17">
        <v>2.69098759056341E-3</v>
      </c>
      <c r="AN17">
        <v>1.11401696020482E-3</v>
      </c>
      <c r="AO17">
        <v>1.4039863954025201E-3</v>
      </c>
      <c r="AP17">
        <v>1.3601316654181499E-3</v>
      </c>
      <c r="AQ17">
        <v>1.7894859446604501E-3</v>
      </c>
      <c r="AR17">
        <v>1.53937324072498E-3</v>
      </c>
      <c r="AS17" s="6">
        <v>3.4599478221544597E-5</v>
      </c>
      <c r="AT17">
        <v>6.5158336844423298E-4</v>
      </c>
      <c r="AU17">
        <v>1.67986205093173E-3</v>
      </c>
      <c r="AV17">
        <v>1.68297167932193E-3</v>
      </c>
      <c r="AW17">
        <v>2.1564133415090002E-3</v>
      </c>
    </row>
    <row r="18" spans="1:49">
      <c r="A18" t="s">
        <v>25</v>
      </c>
      <c r="B18">
        <v>1.8035964841440399E-3</v>
      </c>
      <c r="C18">
        <v>1.7933458032536201E-3</v>
      </c>
      <c r="D18">
        <v>1.27854008598751E-3</v>
      </c>
      <c r="E18">
        <v>1.14947810807036E-3</v>
      </c>
      <c r="F18">
        <v>1.4738726673359199E-4</v>
      </c>
      <c r="G18">
        <v>1.2962022353579801E-3</v>
      </c>
      <c r="H18">
        <v>1.44437113664657E-3</v>
      </c>
      <c r="I18">
        <v>2.0847997830374799E-3</v>
      </c>
      <c r="J18">
        <v>1.8292030914050201E-4</v>
      </c>
      <c r="K18">
        <v>1.56135709016716E-3</v>
      </c>
      <c r="L18">
        <v>2.2211856457136502E-3</v>
      </c>
      <c r="M18">
        <v>1.87714880417876E-3</v>
      </c>
      <c r="N18">
        <v>1.8108854030034201E-3</v>
      </c>
      <c r="O18">
        <v>1.73396229221892E-3</v>
      </c>
      <c r="P18">
        <v>2.7771704293937101E-3</v>
      </c>
      <c r="Q18">
        <v>1.3245586983350801E-3</v>
      </c>
      <c r="R18">
        <v>2.9640362378966999E-3</v>
      </c>
      <c r="S18">
        <v>2.3227538179317101E-3</v>
      </c>
      <c r="T18" s="6">
        <v>-4.1016557574480803E-5</v>
      </c>
      <c r="U18">
        <v>7.9416255252410097E-4</v>
      </c>
      <c r="V18">
        <v>1.5124030284126499E-3</v>
      </c>
      <c r="W18">
        <v>2.0118973423720499E-3</v>
      </c>
      <c r="X18">
        <v>2.0440002759046999E-3</v>
      </c>
      <c r="Y18">
        <v>1.0804022891448E-3</v>
      </c>
      <c r="Z18">
        <v>1.5838752843522501E-3</v>
      </c>
      <c r="AA18">
        <v>1.1237915116714199E-3</v>
      </c>
      <c r="AB18">
        <v>2.4366030098921898E-3</v>
      </c>
      <c r="AC18">
        <v>2.11885912561776E-3</v>
      </c>
      <c r="AD18">
        <v>2.1578852099303799E-3</v>
      </c>
      <c r="AE18">
        <v>3.4487286610741198E-3</v>
      </c>
      <c r="AF18">
        <v>2.1806701182824398E-3</v>
      </c>
      <c r="AG18">
        <v>1.5729108508459101E-3</v>
      </c>
      <c r="AH18">
        <v>1.0397079045268601E-3</v>
      </c>
      <c r="AI18">
        <v>1.77906002152711E-3</v>
      </c>
      <c r="AJ18">
        <v>1.3395907358667301E-3</v>
      </c>
      <c r="AK18">
        <v>1.6675591831075301E-3</v>
      </c>
      <c r="AL18">
        <v>2.7815628890914602E-3</v>
      </c>
      <c r="AM18">
        <v>1.9954946267084898E-3</v>
      </c>
      <c r="AN18">
        <v>2.5677468790078202E-3</v>
      </c>
      <c r="AO18">
        <v>2.32360081567724E-3</v>
      </c>
      <c r="AP18">
        <v>1.9049933529183701E-3</v>
      </c>
      <c r="AQ18">
        <v>2.5382690834433301E-3</v>
      </c>
      <c r="AR18">
        <v>2.28816114218117E-3</v>
      </c>
      <c r="AS18">
        <v>1.96499469442156E-3</v>
      </c>
      <c r="AT18">
        <v>2.1332698337649799E-3</v>
      </c>
      <c r="AU18">
        <v>2.2116969418534901E-3</v>
      </c>
      <c r="AV18">
        <v>1.1630487250777399E-3</v>
      </c>
      <c r="AW18">
        <v>1.9011598938835201E-3</v>
      </c>
    </row>
    <row r="19" spans="1:49">
      <c r="A19" t="s">
        <v>26</v>
      </c>
      <c r="B19">
        <v>9.3209263292570697E-3</v>
      </c>
      <c r="C19">
        <v>4.0978244736778902E-3</v>
      </c>
      <c r="D19">
        <v>3.5529795815858298E-3</v>
      </c>
      <c r="E19">
        <v>2.7672711522979E-3</v>
      </c>
      <c r="F19">
        <v>4.91653286170595E-3</v>
      </c>
      <c r="G19">
        <v>3.5516865361099399E-3</v>
      </c>
      <c r="H19">
        <v>3.6413523427677899E-3</v>
      </c>
      <c r="I19">
        <v>3.4523748466885398E-3</v>
      </c>
      <c r="J19">
        <v>4.5555172371904602E-3</v>
      </c>
      <c r="K19">
        <v>1.32424836727028E-3</v>
      </c>
      <c r="L19">
        <v>4.8941471912666299E-3</v>
      </c>
      <c r="M19">
        <v>1.42399058851095E-3</v>
      </c>
      <c r="N19">
        <v>1.9725175629709399E-3</v>
      </c>
      <c r="O19">
        <v>3.0484204829380498E-3</v>
      </c>
      <c r="P19">
        <v>5.1618449027673596E-3</v>
      </c>
      <c r="Q19">
        <v>1.35770580895387E-4</v>
      </c>
      <c r="R19">
        <v>2.3227538179317101E-3</v>
      </c>
      <c r="S19">
        <v>1.05055523534614E-2</v>
      </c>
      <c r="T19">
        <v>5.76628903091881E-3</v>
      </c>
      <c r="U19">
        <v>4.6856282533033903E-3</v>
      </c>
      <c r="V19">
        <v>3.2077928120275399E-3</v>
      </c>
      <c r="W19">
        <v>4.7123939370400797E-3</v>
      </c>
      <c r="X19">
        <v>4.8669212827606497E-3</v>
      </c>
      <c r="Y19">
        <v>1.6983536384345701E-3</v>
      </c>
      <c r="Z19">
        <v>2.7171977992883501E-3</v>
      </c>
      <c r="AA19">
        <v>2.2916337726663202E-3</v>
      </c>
      <c r="AB19">
        <v>4.2750112656385003E-3</v>
      </c>
      <c r="AC19">
        <v>2.54952796619144E-3</v>
      </c>
      <c r="AD19">
        <v>4.7890731705820403E-3</v>
      </c>
      <c r="AE19">
        <v>6.2174407684051801E-3</v>
      </c>
      <c r="AF19">
        <v>2.6718911685649801E-3</v>
      </c>
      <c r="AG19">
        <v>4.2780894439076499E-3</v>
      </c>
      <c r="AH19">
        <v>5.7792035205213596E-3</v>
      </c>
      <c r="AI19">
        <v>3.7880597474156102E-3</v>
      </c>
      <c r="AJ19">
        <v>4.9854611157415301E-3</v>
      </c>
      <c r="AK19">
        <v>7.4750708309772197E-3</v>
      </c>
      <c r="AL19">
        <v>1.1564610008203999E-2</v>
      </c>
      <c r="AM19">
        <v>2.92012382253427E-3</v>
      </c>
      <c r="AN19">
        <v>7.3975329277304403E-3</v>
      </c>
      <c r="AO19">
        <v>6.4963301786290003E-3</v>
      </c>
      <c r="AP19">
        <v>5.4001153472537601E-3</v>
      </c>
      <c r="AQ19">
        <v>6.4463900551749798E-3</v>
      </c>
      <c r="AR19">
        <v>6.2704613016598201E-3</v>
      </c>
      <c r="AS19">
        <v>6.7316369405896297E-3</v>
      </c>
      <c r="AT19">
        <v>5.4156352575194704E-3</v>
      </c>
      <c r="AU19">
        <v>5.0113699185051E-3</v>
      </c>
      <c r="AV19">
        <v>2.5818854962343998E-3</v>
      </c>
      <c r="AW19">
        <v>3.7917780343250502E-3</v>
      </c>
    </row>
    <row r="20" spans="1:49">
      <c r="A20" t="s">
        <v>27</v>
      </c>
      <c r="B20">
        <v>1.0030850433633999E-2</v>
      </c>
      <c r="C20">
        <v>4.7071673664017596E-3</v>
      </c>
      <c r="D20">
        <v>3.8644962601017399E-3</v>
      </c>
      <c r="E20">
        <v>4.2924781866857196E-3</v>
      </c>
      <c r="F20">
        <v>7.1874455948275802E-3</v>
      </c>
      <c r="G20">
        <v>3.89953026615293E-3</v>
      </c>
      <c r="H20">
        <v>3.3293155674260599E-3</v>
      </c>
      <c r="I20">
        <v>2.3879545665155002E-3</v>
      </c>
      <c r="J20">
        <v>1.06646566240326E-2</v>
      </c>
      <c r="K20">
        <v>3.30210193523328E-4</v>
      </c>
      <c r="L20">
        <v>2.7310003793209799E-3</v>
      </c>
      <c r="M20">
        <v>2.57496465592883E-4</v>
      </c>
      <c r="N20">
        <v>8.3371519744961195E-4</v>
      </c>
      <c r="O20">
        <v>3.0726151163837198E-3</v>
      </c>
      <c r="P20">
        <v>2.2545423997279899E-3</v>
      </c>
      <c r="Q20">
        <v>4.5483654176133698E-4</v>
      </c>
      <c r="R20" s="6">
        <v>-4.1016557574480803E-5</v>
      </c>
      <c r="S20">
        <v>5.76628903091881E-3</v>
      </c>
      <c r="T20">
        <v>1.4154799253473601E-2</v>
      </c>
      <c r="U20">
        <v>3.36675415211495E-3</v>
      </c>
      <c r="V20">
        <v>3.0755684529297201E-3</v>
      </c>
      <c r="W20">
        <v>1.91767410077752E-4</v>
      </c>
      <c r="X20">
        <v>1.31455603653174E-3</v>
      </c>
      <c r="Y20">
        <v>1.8896571974247301E-3</v>
      </c>
      <c r="Z20">
        <v>6.2467311819349803E-4</v>
      </c>
      <c r="AA20">
        <v>1.5704550069751599E-3</v>
      </c>
      <c r="AB20">
        <v>3.2593062078920699E-3</v>
      </c>
      <c r="AC20">
        <v>1.6447026269625199E-3</v>
      </c>
      <c r="AD20">
        <v>3.74210558327476E-3</v>
      </c>
      <c r="AE20">
        <v>4.5235194706305104E-3</v>
      </c>
      <c r="AF20">
        <v>1.2292320794747499E-3</v>
      </c>
      <c r="AG20">
        <v>5.44919927051096E-3</v>
      </c>
      <c r="AH20">
        <v>7.1398092782442796E-3</v>
      </c>
      <c r="AI20">
        <v>6.4886688004572998E-3</v>
      </c>
      <c r="AJ20">
        <v>8.6842822289834604E-3</v>
      </c>
      <c r="AK20">
        <v>5.9546299630766804E-3</v>
      </c>
      <c r="AL20">
        <v>1.13190191405119E-2</v>
      </c>
      <c r="AM20">
        <v>2.8732903313512699E-3</v>
      </c>
      <c r="AN20">
        <v>3.89250372623515E-3</v>
      </c>
      <c r="AO20">
        <v>4.4288666070347402E-3</v>
      </c>
      <c r="AP20">
        <v>3.98297922617821E-3</v>
      </c>
      <c r="AQ20">
        <v>3.9292001072575699E-3</v>
      </c>
      <c r="AR20">
        <v>3.0541011179934701E-3</v>
      </c>
      <c r="AS20">
        <v>3.1937035649621998E-3</v>
      </c>
      <c r="AT20">
        <v>2.38799909740275E-3</v>
      </c>
      <c r="AU20">
        <v>1.9877394229298501E-3</v>
      </c>
      <c r="AV20">
        <v>3.5007137593806499E-3</v>
      </c>
      <c r="AW20">
        <v>2.6591811146599899E-3</v>
      </c>
    </row>
    <row r="21" spans="1:49">
      <c r="A21" t="s">
        <v>28</v>
      </c>
      <c r="B21">
        <v>6.4800954836358102E-3</v>
      </c>
      <c r="C21">
        <v>3.1166450752484502E-3</v>
      </c>
      <c r="D21">
        <v>3.1124970752896201E-3</v>
      </c>
      <c r="E21">
        <v>3.4870622367684299E-3</v>
      </c>
      <c r="F21">
        <v>3.6185341008325399E-3</v>
      </c>
      <c r="G21">
        <v>3.1632832968739198E-3</v>
      </c>
      <c r="H21">
        <v>3.3879919325030001E-3</v>
      </c>
      <c r="I21">
        <v>1.80966805834304E-3</v>
      </c>
      <c r="J21">
        <v>4.8443222512438901E-3</v>
      </c>
      <c r="K21">
        <v>1.660540745718E-3</v>
      </c>
      <c r="L21">
        <v>3.0472915434527599E-3</v>
      </c>
      <c r="M21">
        <v>7.5261911098282704E-4</v>
      </c>
      <c r="N21">
        <v>1.20015616899186E-3</v>
      </c>
      <c r="O21">
        <v>3.3138214281512798E-3</v>
      </c>
      <c r="P21">
        <v>3.3933044747003699E-3</v>
      </c>
      <c r="Q21">
        <v>1.41719083176542E-3</v>
      </c>
      <c r="R21">
        <v>7.9416255252410097E-4</v>
      </c>
      <c r="S21">
        <v>4.6856282533033903E-3</v>
      </c>
      <c r="T21">
        <v>3.36675415211495E-3</v>
      </c>
      <c r="U21">
        <v>1.18347809623531E-2</v>
      </c>
      <c r="V21">
        <v>3.1056208263999401E-3</v>
      </c>
      <c r="W21">
        <v>2.4603121099804198E-3</v>
      </c>
      <c r="X21">
        <v>3.7157374503816701E-3</v>
      </c>
      <c r="Y21">
        <v>4.4849725744195801E-4</v>
      </c>
      <c r="Z21">
        <v>2.46698351724626E-3</v>
      </c>
      <c r="AA21">
        <v>1.72109585357728E-3</v>
      </c>
      <c r="AB21">
        <v>2.7701611289813102E-3</v>
      </c>
      <c r="AC21">
        <v>2.0890459754157901E-3</v>
      </c>
      <c r="AD21">
        <v>1.4488845637653501E-3</v>
      </c>
      <c r="AE21">
        <v>6.9102235543904798E-3</v>
      </c>
      <c r="AF21">
        <v>3.2479632791591502E-3</v>
      </c>
      <c r="AG21">
        <v>3.8158309863195899E-3</v>
      </c>
      <c r="AH21">
        <v>5.7322577840762E-3</v>
      </c>
      <c r="AI21">
        <v>4.92627091136256E-3</v>
      </c>
      <c r="AJ21">
        <v>5.0217851285799496E-3</v>
      </c>
      <c r="AK21">
        <v>3.3313957409928799E-3</v>
      </c>
      <c r="AL21">
        <v>7.4533014103505303E-3</v>
      </c>
      <c r="AM21">
        <v>3.6482164554191799E-3</v>
      </c>
      <c r="AN21">
        <v>4.1560774268053899E-3</v>
      </c>
      <c r="AO21">
        <v>3.1730347114329802E-3</v>
      </c>
      <c r="AP21">
        <v>2.9478885523945599E-3</v>
      </c>
      <c r="AQ21">
        <v>4.0189105230316897E-3</v>
      </c>
      <c r="AR21">
        <v>3.5622001782579598E-3</v>
      </c>
      <c r="AS21">
        <v>2.3976412493427199E-3</v>
      </c>
      <c r="AT21">
        <v>2.40116117152454E-3</v>
      </c>
      <c r="AU21">
        <v>2.90788386778882E-3</v>
      </c>
      <c r="AV21">
        <v>1.91035558505858E-3</v>
      </c>
      <c r="AW21">
        <v>2.7787726160287802E-3</v>
      </c>
    </row>
    <row r="22" spans="1:49">
      <c r="A22" t="s">
        <v>30</v>
      </c>
      <c r="B22">
        <v>2.9367478888396299E-3</v>
      </c>
      <c r="C22">
        <v>2.35391548695896E-3</v>
      </c>
      <c r="D22">
        <v>2.1432767534919801E-3</v>
      </c>
      <c r="E22">
        <v>1.71304049893594E-3</v>
      </c>
      <c r="F22">
        <v>1.98775692039331E-3</v>
      </c>
      <c r="G22">
        <v>2.2155726902258199E-3</v>
      </c>
      <c r="H22">
        <v>1.9195690376432901E-3</v>
      </c>
      <c r="I22">
        <v>1.9895381406145802E-3</v>
      </c>
      <c r="J22">
        <v>3.1585736306515102E-3</v>
      </c>
      <c r="K22">
        <v>1.2681874906295501E-3</v>
      </c>
      <c r="L22">
        <v>2.3433148861022801E-3</v>
      </c>
      <c r="M22">
        <v>1.4490114943193301E-3</v>
      </c>
      <c r="N22">
        <v>1.97420088797985E-3</v>
      </c>
      <c r="O22">
        <v>2.4053897356330501E-3</v>
      </c>
      <c r="P22">
        <v>2.4451929462556898E-3</v>
      </c>
      <c r="Q22">
        <v>2.2720674363468198E-3</v>
      </c>
      <c r="R22">
        <v>1.5124030284126499E-3</v>
      </c>
      <c r="S22">
        <v>3.2077928120275399E-3</v>
      </c>
      <c r="T22">
        <v>3.0755684529297201E-3</v>
      </c>
      <c r="U22">
        <v>3.1056208263999401E-3</v>
      </c>
      <c r="V22">
        <v>5.3107093638720404E-3</v>
      </c>
      <c r="W22">
        <v>1.8480954878012401E-3</v>
      </c>
      <c r="X22">
        <v>2.7256814096478701E-3</v>
      </c>
      <c r="Y22">
        <v>1.9944665866901798E-3</v>
      </c>
      <c r="Z22">
        <v>1.60989706117333E-3</v>
      </c>
      <c r="AA22">
        <v>1.0603799057312101E-3</v>
      </c>
      <c r="AB22">
        <v>2.1981859784499301E-3</v>
      </c>
      <c r="AC22">
        <v>1.4880943543217301E-3</v>
      </c>
      <c r="AD22">
        <v>2.09495719079865E-3</v>
      </c>
      <c r="AE22">
        <v>4.5304766326219699E-3</v>
      </c>
      <c r="AF22">
        <v>2.4321753246712599E-3</v>
      </c>
      <c r="AG22">
        <v>3.1237054731415598E-3</v>
      </c>
      <c r="AH22">
        <v>1.76119443879238E-3</v>
      </c>
      <c r="AI22">
        <v>2.6912989562795598E-3</v>
      </c>
      <c r="AJ22">
        <v>3.2295508228607E-3</v>
      </c>
      <c r="AK22">
        <v>2.9259285837124299E-3</v>
      </c>
      <c r="AL22">
        <v>3.47318788449679E-3</v>
      </c>
      <c r="AM22">
        <v>2.86986710571878E-3</v>
      </c>
      <c r="AN22">
        <v>2.9214312009836199E-3</v>
      </c>
      <c r="AO22">
        <v>2.6959453682012398E-3</v>
      </c>
      <c r="AP22">
        <v>2.39337314551247E-3</v>
      </c>
      <c r="AQ22">
        <v>3.2101187603953401E-3</v>
      </c>
      <c r="AR22">
        <v>3.0092104049372599E-3</v>
      </c>
      <c r="AS22">
        <v>2.2016647035595599E-3</v>
      </c>
      <c r="AT22">
        <v>1.6794313292067401E-3</v>
      </c>
      <c r="AU22">
        <v>2.0691705292859202E-3</v>
      </c>
      <c r="AV22">
        <v>2.1869072103527401E-3</v>
      </c>
      <c r="AW22">
        <v>2.7031388380288198E-3</v>
      </c>
    </row>
    <row r="23" spans="1:49">
      <c r="A23" t="s">
        <v>31</v>
      </c>
      <c r="B23">
        <v>1.4861499586755901E-3</v>
      </c>
      <c r="C23">
        <v>1.58011991212173E-3</v>
      </c>
      <c r="D23">
        <v>1.84173703523705E-3</v>
      </c>
      <c r="E23">
        <v>7.7569650306843205E-4</v>
      </c>
      <c r="F23">
        <v>5.8166369446798697E-4</v>
      </c>
      <c r="G23">
        <v>1.7676122613003401E-3</v>
      </c>
      <c r="H23">
        <v>-3.2855970821520899E-4</v>
      </c>
      <c r="I23">
        <v>2.8602604208183601E-3</v>
      </c>
      <c r="J23" s="6">
        <v>-6.9766057894551196E-5</v>
      </c>
      <c r="K23">
        <v>1.6797985234933599E-3</v>
      </c>
      <c r="L23">
        <v>3.4225798639743099E-3</v>
      </c>
      <c r="M23">
        <v>6.5826137832693504E-4</v>
      </c>
      <c r="N23">
        <v>1.78622799679288E-3</v>
      </c>
      <c r="O23">
        <v>1.72908378783212E-3</v>
      </c>
      <c r="P23">
        <v>4.2518024481712604E-3</v>
      </c>
      <c r="Q23">
        <v>9.1405455724868901E-4</v>
      </c>
      <c r="R23">
        <v>2.0118973423720499E-3</v>
      </c>
      <c r="S23">
        <v>4.7123939370400797E-3</v>
      </c>
      <c r="T23">
        <v>1.91767410077752E-4</v>
      </c>
      <c r="U23">
        <v>2.4603121099804198E-3</v>
      </c>
      <c r="V23">
        <v>1.8480954878012401E-3</v>
      </c>
      <c r="W23">
        <v>9.4743146177074297E-3</v>
      </c>
      <c r="X23">
        <v>8.2194788398047107E-3</v>
      </c>
      <c r="Y23">
        <v>5.1494167516331598E-4</v>
      </c>
      <c r="Z23">
        <v>3.1264514482792602E-3</v>
      </c>
      <c r="AA23">
        <v>1.09839127014754E-3</v>
      </c>
      <c r="AB23">
        <v>1.8638755415312999E-3</v>
      </c>
      <c r="AC23">
        <v>2.0961240224018299E-3</v>
      </c>
      <c r="AD23">
        <v>2.0669453631585802E-3</v>
      </c>
      <c r="AE23">
        <v>4.7798751886900803E-3</v>
      </c>
      <c r="AF23">
        <v>2.3461297589103401E-3</v>
      </c>
      <c r="AG23">
        <v>2.19483703741694E-3</v>
      </c>
      <c r="AH23">
        <v>7.9567434826756801E-4</v>
      </c>
      <c r="AI23">
        <v>1.5922079689090799E-3</v>
      </c>
      <c r="AJ23">
        <v>-4.2193201340740802E-4</v>
      </c>
      <c r="AK23">
        <v>3.59894206203549E-3</v>
      </c>
      <c r="AL23">
        <v>2.6270525731665801E-3</v>
      </c>
      <c r="AM23">
        <v>1.1769852283901E-3</v>
      </c>
      <c r="AN23">
        <v>6.5544934628878103E-3</v>
      </c>
      <c r="AO23">
        <v>5.6675510012452798E-3</v>
      </c>
      <c r="AP23">
        <v>4.4500536830825201E-3</v>
      </c>
      <c r="AQ23">
        <v>5.1822337952999202E-3</v>
      </c>
      <c r="AR23">
        <v>4.8595916554285802E-3</v>
      </c>
      <c r="AS23">
        <v>6.1365133808907102E-3</v>
      </c>
      <c r="AT23">
        <v>4.3337207443755396E-3</v>
      </c>
      <c r="AU23">
        <v>2.9463474228736998E-3</v>
      </c>
      <c r="AV23">
        <v>-1.11074077646845E-4</v>
      </c>
      <c r="AW23">
        <v>2.1871493658469298E-3</v>
      </c>
    </row>
    <row r="24" spans="1:49">
      <c r="A24" t="s">
        <v>32</v>
      </c>
      <c r="B24">
        <v>4.5360902612572003E-3</v>
      </c>
      <c r="C24">
        <v>2.2625040300570999E-3</v>
      </c>
      <c r="D24">
        <v>2.5717880020537402E-3</v>
      </c>
      <c r="E24">
        <v>1.3419874368135801E-3</v>
      </c>
      <c r="F24">
        <v>1.6400265413962199E-3</v>
      </c>
      <c r="G24">
        <v>2.5708751032784399E-3</v>
      </c>
      <c r="H24">
        <v>1.4173327794289901E-4</v>
      </c>
      <c r="I24">
        <v>3.3061759673153799E-3</v>
      </c>
      <c r="J24">
        <v>1.61023206278208E-3</v>
      </c>
      <c r="K24">
        <v>1.8493753034097399E-3</v>
      </c>
      <c r="L24">
        <v>3.5817750299357199E-3</v>
      </c>
      <c r="M24">
        <v>9.4735634654480403E-4</v>
      </c>
      <c r="N24">
        <v>2.59212076456761E-3</v>
      </c>
      <c r="O24">
        <v>2.6749745758270198E-3</v>
      </c>
      <c r="P24">
        <v>4.3428464131182801E-3</v>
      </c>
      <c r="Q24">
        <v>2.1913224338813799E-3</v>
      </c>
      <c r="R24">
        <v>2.0440002759046999E-3</v>
      </c>
      <c r="S24">
        <v>4.8669212827606497E-3</v>
      </c>
      <c r="T24">
        <v>1.31455603653174E-3</v>
      </c>
      <c r="U24">
        <v>3.7157374503816701E-3</v>
      </c>
      <c r="V24">
        <v>2.7256814096478701E-3</v>
      </c>
      <c r="W24">
        <v>8.2194788398047107E-3</v>
      </c>
      <c r="X24">
        <v>9.1318434346540807E-3</v>
      </c>
      <c r="Y24">
        <v>1.2230390335192401E-3</v>
      </c>
      <c r="Z24">
        <v>2.5536101128049399E-3</v>
      </c>
      <c r="AA24">
        <v>1.0047646863643499E-3</v>
      </c>
      <c r="AB24">
        <v>2.49527261497943E-3</v>
      </c>
      <c r="AC24">
        <v>2.35528033961729E-3</v>
      </c>
      <c r="AD24">
        <v>2.49436847668652E-3</v>
      </c>
      <c r="AE24">
        <v>5.8340738287847201E-3</v>
      </c>
      <c r="AF24">
        <v>2.4370799655297698E-3</v>
      </c>
      <c r="AG24">
        <v>2.42678355969158E-3</v>
      </c>
      <c r="AH24">
        <v>1.8245935493340199E-3</v>
      </c>
      <c r="AI24">
        <v>2.2702963726099002E-3</v>
      </c>
      <c r="AJ24">
        <v>2.0473421645499802E-3</v>
      </c>
      <c r="AK24">
        <v>3.65947979068272E-3</v>
      </c>
      <c r="AL24">
        <v>5.2798702154055804E-3</v>
      </c>
      <c r="AM24">
        <v>1.9268014550773999E-3</v>
      </c>
      <c r="AN24">
        <v>6.5110576778524597E-3</v>
      </c>
      <c r="AO24">
        <v>5.9695356394965796E-3</v>
      </c>
      <c r="AP24">
        <v>4.8367463054312396E-3</v>
      </c>
      <c r="AQ24">
        <v>5.6308888592046498E-3</v>
      </c>
      <c r="AR24">
        <v>5.2447598132200901E-3</v>
      </c>
      <c r="AS24">
        <v>6.08223699143021E-3</v>
      </c>
      <c r="AT24">
        <v>4.3544479578649601E-3</v>
      </c>
      <c r="AU24">
        <v>3.2101399530434201E-3</v>
      </c>
      <c r="AV24">
        <v>1.2232013775219199E-3</v>
      </c>
      <c r="AW24">
        <v>2.7637174981326399E-3</v>
      </c>
    </row>
    <row r="25" spans="1:49">
      <c r="A25" t="s">
        <v>33</v>
      </c>
      <c r="B25">
        <v>3.2566286449864802E-3</v>
      </c>
      <c r="C25">
        <v>1.9702556876090901E-3</v>
      </c>
      <c r="D25">
        <v>9.0724232712047605E-4</v>
      </c>
      <c r="E25">
        <v>1.2993630412227999E-3</v>
      </c>
      <c r="F25">
        <v>1.6352971089892E-3</v>
      </c>
      <c r="G25">
        <v>8.6409838283272797E-4</v>
      </c>
      <c r="H25">
        <v>2.0091043571630498E-3</v>
      </c>
      <c r="I25">
        <v>1.88540564426416E-3</v>
      </c>
      <c r="J25">
        <v>2.3743950438174801E-3</v>
      </c>
      <c r="K25">
        <v>1.0802780290306601E-3</v>
      </c>
      <c r="L25">
        <v>1.4462467812214001E-3</v>
      </c>
      <c r="M25">
        <v>1.5264107332182001E-3</v>
      </c>
      <c r="N25">
        <v>1.5134153790755901E-3</v>
      </c>
      <c r="O25">
        <v>1.5958307837731201E-3</v>
      </c>
      <c r="P25">
        <v>1.5199577414203101E-3</v>
      </c>
      <c r="Q25">
        <v>1.1185297570033301E-3</v>
      </c>
      <c r="R25">
        <v>1.0804022891448E-3</v>
      </c>
      <c r="S25">
        <v>1.6983536384345701E-3</v>
      </c>
      <c r="T25">
        <v>1.8896571974247301E-3</v>
      </c>
      <c r="U25">
        <v>4.4849725744195801E-4</v>
      </c>
      <c r="V25">
        <v>1.9944665866901798E-3</v>
      </c>
      <c r="W25">
        <v>5.1494167516331598E-4</v>
      </c>
      <c r="X25">
        <v>1.2230390335192401E-3</v>
      </c>
      <c r="Y25">
        <v>3.0668132789774998E-3</v>
      </c>
      <c r="Z25">
        <v>7.2056007482464504E-4</v>
      </c>
      <c r="AA25">
        <v>5.2085853070008904E-4</v>
      </c>
      <c r="AB25">
        <v>1.9997094507147001E-3</v>
      </c>
      <c r="AC25">
        <v>1.0996423039650201E-3</v>
      </c>
      <c r="AD25">
        <v>1.1770472076747601E-3</v>
      </c>
      <c r="AE25">
        <v>8.3754492741779899E-4</v>
      </c>
      <c r="AF25">
        <v>1.2152862210983099E-3</v>
      </c>
      <c r="AG25">
        <v>1.85363087349107E-3</v>
      </c>
      <c r="AH25">
        <v>1.80021252924288E-3</v>
      </c>
      <c r="AI25">
        <v>1.44092092326947E-3</v>
      </c>
      <c r="AJ25">
        <v>1.49515710109498E-3</v>
      </c>
      <c r="AK25">
        <v>1.94378973997601E-3</v>
      </c>
      <c r="AL25">
        <v>2.4590678115077201E-3</v>
      </c>
      <c r="AM25">
        <v>2.2945086407778498E-3</v>
      </c>
      <c r="AN25">
        <v>8.2339392381293897E-4</v>
      </c>
      <c r="AO25">
        <v>1.42742522501085E-3</v>
      </c>
      <c r="AP25">
        <v>1.0689294666042801E-3</v>
      </c>
      <c r="AQ25">
        <v>1.4056460442131199E-3</v>
      </c>
      <c r="AR25">
        <v>1.20395191054485E-3</v>
      </c>
      <c r="AS25">
        <v>9.5084318625627705E-4</v>
      </c>
      <c r="AT25">
        <v>4.2715968544568202E-4</v>
      </c>
      <c r="AU25">
        <v>2.7594186446362801E-3</v>
      </c>
      <c r="AV25">
        <v>2.4003477881605999E-3</v>
      </c>
      <c r="AW25">
        <v>1.53297104825962E-3</v>
      </c>
    </row>
    <row r="26" spans="1:49">
      <c r="A26" t="s">
        <v>34</v>
      </c>
      <c r="B26">
        <v>3.7640087006924499E-4</v>
      </c>
      <c r="C26">
        <v>1.26360845622717E-3</v>
      </c>
      <c r="D26">
        <v>8.8507788615579497E-4</v>
      </c>
      <c r="E26">
        <v>6.9957545614042396E-4</v>
      </c>
      <c r="F26" s="6">
        <v>-8.7381567889182398E-5</v>
      </c>
      <c r="G26">
        <v>8.6272170599338398E-4</v>
      </c>
      <c r="H26">
        <v>1.20800683581339E-3</v>
      </c>
      <c r="I26">
        <v>1.35041416202664E-3</v>
      </c>
      <c r="J26">
        <v>3.4380970769928002E-4</v>
      </c>
      <c r="K26">
        <v>1.0573374813702E-3</v>
      </c>
      <c r="L26">
        <v>2.5964279532576201E-3</v>
      </c>
      <c r="M26">
        <v>1.1271387426795699E-3</v>
      </c>
      <c r="N26">
        <v>9.2687624339184203E-4</v>
      </c>
      <c r="O26">
        <v>1.7998769844025501E-3</v>
      </c>
      <c r="P26">
        <v>2.79051510457948E-3</v>
      </c>
      <c r="Q26">
        <v>1.1132729820482201E-3</v>
      </c>
      <c r="R26">
        <v>1.5838752843522501E-3</v>
      </c>
      <c r="S26">
        <v>2.7171977992883501E-3</v>
      </c>
      <c r="T26">
        <v>6.2467311819349803E-4</v>
      </c>
      <c r="U26">
        <v>2.46698351724626E-3</v>
      </c>
      <c r="V26">
        <v>1.60989706117333E-3</v>
      </c>
      <c r="W26">
        <v>3.1264514482792602E-3</v>
      </c>
      <c r="X26">
        <v>2.5536101128049399E-3</v>
      </c>
      <c r="Y26">
        <v>7.2056007482464504E-4</v>
      </c>
      <c r="Z26">
        <v>4.4204805635972601E-3</v>
      </c>
      <c r="AA26">
        <v>2.1881231473595002E-3</v>
      </c>
      <c r="AB26">
        <v>1.3798350529343601E-3</v>
      </c>
      <c r="AC26">
        <v>1.91323410792006E-3</v>
      </c>
      <c r="AD26">
        <v>1.3884873578804799E-3</v>
      </c>
      <c r="AE26">
        <v>3.0454496377816001E-3</v>
      </c>
      <c r="AF26">
        <v>3.1027800793438799E-3</v>
      </c>
      <c r="AG26">
        <v>2.30073824222983E-3</v>
      </c>
      <c r="AH26">
        <v>1.67967873523656E-3</v>
      </c>
      <c r="AI26">
        <v>1.6847796517943799E-3</v>
      </c>
      <c r="AJ26">
        <v>3.41076898518782E-4</v>
      </c>
      <c r="AK26">
        <v>1.6095411691733699E-3</v>
      </c>
      <c r="AL26">
        <v>2.2360649328084401E-3</v>
      </c>
      <c r="AM26">
        <v>1.1414162122157501E-3</v>
      </c>
      <c r="AN26">
        <v>3.6079719370401601E-3</v>
      </c>
      <c r="AO26">
        <v>2.6804360814083402E-3</v>
      </c>
      <c r="AP26">
        <v>2.3335317994578799E-3</v>
      </c>
      <c r="AQ26">
        <v>2.4841048650096698E-3</v>
      </c>
      <c r="AR26">
        <v>2.5251115252009401E-3</v>
      </c>
      <c r="AS26">
        <v>2.4697140984367102E-3</v>
      </c>
      <c r="AT26">
        <v>2.5931898178628301E-3</v>
      </c>
      <c r="AU26">
        <v>1.4329611431451101E-3</v>
      </c>
      <c r="AV26">
        <v>5.7761489881444296E-4</v>
      </c>
      <c r="AW26">
        <v>1.4011076530526701E-3</v>
      </c>
    </row>
    <row r="27" spans="1:49">
      <c r="A27" t="s">
        <v>35</v>
      </c>
      <c r="B27">
        <v>1.9977990367921699E-4</v>
      </c>
      <c r="C27">
        <v>8.6476100556704197E-4</v>
      </c>
      <c r="D27">
        <v>8.2579102557368302E-4</v>
      </c>
      <c r="E27">
        <v>1.1738977727259201E-3</v>
      </c>
      <c r="F27">
        <v>1.12560088148312E-3</v>
      </c>
      <c r="G27">
        <v>8.0686928710140102E-4</v>
      </c>
      <c r="H27">
        <v>1.62519940251029E-3</v>
      </c>
      <c r="I27">
        <v>1.2080456149471E-3</v>
      </c>
      <c r="J27">
        <v>1.1980795225885899E-3</v>
      </c>
      <c r="K27">
        <v>7.5894858493262497E-4</v>
      </c>
      <c r="L27">
        <v>1.72012994986189E-3</v>
      </c>
      <c r="M27">
        <v>1.2313617113487399E-3</v>
      </c>
      <c r="N27">
        <v>6.7586971390893799E-4</v>
      </c>
      <c r="O27">
        <v>1.18997025002297E-3</v>
      </c>
      <c r="P27">
        <v>1.74633178114356E-3</v>
      </c>
      <c r="Q27">
        <v>1.03687272576373E-3</v>
      </c>
      <c r="R27">
        <v>1.1237915116714199E-3</v>
      </c>
      <c r="S27">
        <v>2.2916337726663202E-3</v>
      </c>
      <c r="T27">
        <v>1.5704550069751599E-3</v>
      </c>
      <c r="U27">
        <v>1.72109585357728E-3</v>
      </c>
      <c r="V27">
        <v>1.0603799057312101E-3</v>
      </c>
      <c r="W27">
        <v>1.09839127014754E-3</v>
      </c>
      <c r="X27">
        <v>1.0047646863643499E-3</v>
      </c>
      <c r="Y27">
        <v>5.2085853070008904E-4</v>
      </c>
      <c r="Z27">
        <v>2.1881231473595002E-3</v>
      </c>
      <c r="AA27">
        <v>2.90093411494572E-3</v>
      </c>
      <c r="AB27">
        <v>1.57174452774072E-3</v>
      </c>
      <c r="AC27">
        <v>1.0342310865699099E-3</v>
      </c>
      <c r="AD27">
        <v>1.59522364761474E-3</v>
      </c>
      <c r="AE27">
        <v>1.3827151758135201E-3</v>
      </c>
      <c r="AF27">
        <v>1.94094199777187E-3</v>
      </c>
      <c r="AG27">
        <v>1.7748413454174001E-3</v>
      </c>
      <c r="AH27">
        <v>1.2990475969350201E-3</v>
      </c>
      <c r="AI27">
        <v>1.6377860370327599E-3</v>
      </c>
      <c r="AJ27">
        <v>2.21875856889057E-3</v>
      </c>
      <c r="AK27">
        <v>1.1569746902549501E-3</v>
      </c>
      <c r="AL27">
        <v>1.6783328052802401E-3</v>
      </c>
      <c r="AM27">
        <v>5.7812992296025199E-4</v>
      </c>
      <c r="AN27">
        <v>2.2872535853747699E-3</v>
      </c>
      <c r="AO27">
        <v>1.6129792259004701E-3</v>
      </c>
      <c r="AP27">
        <v>1.3494505398370801E-3</v>
      </c>
      <c r="AQ27">
        <v>1.23992515698365E-3</v>
      </c>
      <c r="AR27">
        <v>1.2969929831783699E-3</v>
      </c>
      <c r="AS27">
        <v>1.1330965050331901E-3</v>
      </c>
      <c r="AT27">
        <v>1.7040274701357501E-3</v>
      </c>
      <c r="AU27">
        <v>7.2181601349861804E-4</v>
      </c>
      <c r="AV27">
        <v>6.7300085856296995E-4</v>
      </c>
      <c r="AW27">
        <v>8.8008334361662098E-4</v>
      </c>
    </row>
    <row r="28" spans="1:49">
      <c r="A28" t="s">
        <v>36</v>
      </c>
      <c r="B28">
        <v>4.9615262217271097E-3</v>
      </c>
      <c r="C28">
        <v>3.4510278706977402E-3</v>
      </c>
      <c r="D28">
        <v>1.85696435702477E-3</v>
      </c>
      <c r="E28">
        <v>2.8243918391128199E-3</v>
      </c>
      <c r="F28">
        <v>1.9007558633458001E-3</v>
      </c>
      <c r="G28">
        <v>1.82569756955986E-3</v>
      </c>
      <c r="H28">
        <v>3.4874641601104102E-3</v>
      </c>
      <c r="I28">
        <v>2.5415832062238601E-3</v>
      </c>
      <c r="J28">
        <v>4.7228635300654897E-3</v>
      </c>
      <c r="K28">
        <v>1.33535311008422E-3</v>
      </c>
      <c r="L28">
        <v>3.1989013023656101E-3</v>
      </c>
      <c r="M28">
        <v>2.0419947396328902E-3</v>
      </c>
      <c r="N28">
        <v>1.9178444056133701E-3</v>
      </c>
      <c r="O28">
        <v>3.2250808177906E-3</v>
      </c>
      <c r="P28">
        <v>3.52170819883288E-3</v>
      </c>
      <c r="Q28">
        <v>1.73576562028357E-3</v>
      </c>
      <c r="R28">
        <v>2.4366030098921898E-3</v>
      </c>
      <c r="S28">
        <v>4.2750112656385003E-3</v>
      </c>
      <c r="T28">
        <v>3.2593062078920699E-3</v>
      </c>
      <c r="U28">
        <v>2.7701611289813102E-3</v>
      </c>
      <c r="V28">
        <v>2.1981859784499301E-3</v>
      </c>
      <c r="W28">
        <v>1.8638755415312999E-3</v>
      </c>
      <c r="X28">
        <v>2.49527261497943E-3</v>
      </c>
      <c r="Y28">
        <v>1.9997094507147001E-3</v>
      </c>
      <c r="Z28">
        <v>1.3798350529343601E-3</v>
      </c>
      <c r="AA28">
        <v>1.57174452774072E-3</v>
      </c>
      <c r="AB28">
        <v>8.1135499545586902E-3</v>
      </c>
      <c r="AC28">
        <v>2.5833595187751499E-3</v>
      </c>
      <c r="AD28">
        <v>4.3599596591144896E-3</v>
      </c>
      <c r="AE28">
        <v>5.2223892144362596E-3</v>
      </c>
      <c r="AF28">
        <v>1.1878372131830001E-3</v>
      </c>
      <c r="AG28">
        <v>2.7372728992922698E-3</v>
      </c>
      <c r="AH28">
        <v>2.9679767089279799E-3</v>
      </c>
      <c r="AI28">
        <v>4.5059106960174504E-3</v>
      </c>
      <c r="AJ28">
        <v>5.6769601438973003E-3</v>
      </c>
      <c r="AK28">
        <v>4.7327358178811301E-3</v>
      </c>
      <c r="AL28">
        <v>8.0474717512364694E-3</v>
      </c>
      <c r="AM28">
        <v>3.4686132352349198E-3</v>
      </c>
      <c r="AN28">
        <v>2.8965780715261998E-3</v>
      </c>
      <c r="AO28">
        <v>3.0332654940855401E-3</v>
      </c>
      <c r="AP28">
        <v>2.7860528396952398E-3</v>
      </c>
      <c r="AQ28">
        <v>3.9013689448924999E-3</v>
      </c>
      <c r="AR28">
        <v>3.5642629649949198E-3</v>
      </c>
      <c r="AS28">
        <v>2.4077960671177001E-3</v>
      </c>
      <c r="AT28">
        <v>2.6106312655104599E-3</v>
      </c>
      <c r="AU28">
        <v>5.19008791115101E-3</v>
      </c>
      <c r="AV28">
        <v>2.54590758685139E-3</v>
      </c>
      <c r="AW28">
        <v>3.3612363769908501E-3</v>
      </c>
    </row>
    <row r="29" spans="1:49">
      <c r="A29" t="s">
        <v>37</v>
      </c>
      <c r="B29">
        <v>4.5498664458220699E-3</v>
      </c>
      <c r="C29">
        <v>2.7188405858811502E-3</v>
      </c>
      <c r="D29">
        <v>1.43056390094832E-3</v>
      </c>
      <c r="E29">
        <v>1.4990493663545E-3</v>
      </c>
      <c r="F29">
        <v>1.48675463343125E-3</v>
      </c>
      <c r="G29">
        <v>1.4273127273001899E-3</v>
      </c>
      <c r="H29">
        <v>1.68627474046623E-3</v>
      </c>
      <c r="I29">
        <v>1.89604356242622E-3</v>
      </c>
      <c r="J29">
        <v>1.0944199156743401E-3</v>
      </c>
      <c r="K29">
        <v>1.6323275100982701E-3</v>
      </c>
      <c r="L29">
        <v>2.5558486083165702E-3</v>
      </c>
      <c r="M29">
        <v>1.63733083199861E-3</v>
      </c>
      <c r="N29">
        <v>1.59827599056959E-3</v>
      </c>
      <c r="O29">
        <v>2.7658844913303802E-3</v>
      </c>
      <c r="P29">
        <v>3.0895531476352101E-3</v>
      </c>
      <c r="Q29">
        <v>1.51625992906103E-3</v>
      </c>
      <c r="R29">
        <v>2.11885912561776E-3</v>
      </c>
      <c r="S29">
        <v>2.54952796619144E-3</v>
      </c>
      <c r="T29">
        <v>1.6447026269625199E-3</v>
      </c>
      <c r="U29">
        <v>2.0890459754157901E-3</v>
      </c>
      <c r="V29">
        <v>1.4880943543217301E-3</v>
      </c>
      <c r="W29">
        <v>2.0961240224018299E-3</v>
      </c>
      <c r="X29">
        <v>2.35528033961729E-3</v>
      </c>
      <c r="Y29">
        <v>1.0996423039650201E-3</v>
      </c>
      <c r="Z29">
        <v>1.91323410792006E-3</v>
      </c>
      <c r="AA29">
        <v>1.0342310865699099E-3</v>
      </c>
      <c r="AB29">
        <v>2.5833595187751499E-3</v>
      </c>
      <c r="AC29">
        <v>3.19077034208567E-3</v>
      </c>
      <c r="AD29">
        <v>2.5938215049325E-3</v>
      </c>
      <c r="AE29">
        <v>3.1548229167168099E-3</v>
      </c>
      <c r="AF29">
        <v>2.5012386931584098E-3</v>
      </c>
      <c r="AG29">
        <v>2.34764734706278E-3</v>
      </c>
      <c r="AH29">
        <v>3.1155557727992802E-3</v>
      </c>
      <c r="AI29">
        <v>2.5204261379429601E-3</v>
      </c>
      <c r="AJ29">
        <v>2.3313216367657598E-3</v>
      </c>
      <c r="AK29">
        <v>2.7610778313383101E-3</v>
      </c>
      <c r="AL29">
        <v>4.3602036202881602E-3</v>
      </c>
      <c r="AM29">
        <v>2.5797015475888998E-3</v>
      </c>
      <c r="AN29">
        <v>2.4863583509874801E-3</v>
      </c>
      <c r="AO29">
        <v>2.4362974613546702E-3</v>
      </c>
      <c r="AP29">
        <v>2.0738953057738299E-3</v>
      </c>
      <c r="AQ29">
        <v>2.58420453017632E-3</v>
      </c>
      <c r="AR29">
        <v>2.2001845510517199E-3</v>
      </c>
      <c r="AS29">
        <v>1.9115366412236E-3</v>
      </c>
      <c r="AT29">
        <v>2.0190085641604398E-3</v>
      </c>
      <c r="AU29">
        <v>2.5942188989397899E-3</v>
      </c>
      <c r="AV29">
        <v>1.55292924929406E-3</v>
      </c>
      <c r="AW29">
        <v>2.6897918968459898E-3</v>
      </c>
    </row>
    <row r="30" spans="1:49">
      <c r="A30" t="s">
        <v>38</v>
      </c>
      <c r="B30">
        <v>4.2141365167057496E-3</v>
      </c>
      <c r="C30">
        <v>2.5765434158545302E-3</v>
      </c>
      <c r="D30">
        <v>2.43576865512546E-3</v>
      </c>
      <c r="E30">
        <v>1.8277245289174901E-3</v>
      </c>
      <c r="F30">
        <v>2.4372618426706299E-3</v>
      </c>
      <c r="G30">
        <v>2.42803471054735E-3</v>
      </c>
      <c r="H30">
        <v>4.0111736783017297E-3</v>
      </c>
      <c r="I30">
        <v>2.5005854169347498E-3</v>
      </c>
      <c r="J30">
        <v>2.5913196509160801E-3</v>
      </c>
      <c r="K30">
        <v>1.6075494023591E-3</v>
      </c>
      <c r="L30">
        <v>3.21026674730629E-3</v>
      </c>
      <c r="M30">
        <v>1.624133142297E-3</v>
      </c>
      <c r="N30">
        <v>1.71620010444292E-3</v>
      </c>
      <c r="O30">
        <v>2.7788477119517802E-3</v>
      </c>
      <c r="P30">
        <v>3.5209860950222199E-3</v>
      </c>
      <c r="Q30">
        <v>1.9331914414646499E-3</v>
      </c>
      <c r="R30">
        <v>2.1578852099303799E-3</v>
      </c>
      <c r="S30">
        <v>4.7890731705820403E-3</v>
      </c>
      <c r="T30">
        <v>3.74210558327476E-3</v>
      </c>
      <c r="U30">
        <v>1.4488845637653501E-3</v>
      </c>
      <c r="V30">
        <v>2.09495719079865E-3</v>
      </c>
      <c r="W30">
        <v>2.0669453631585802E-3</v>
      </c>
      <c r="X30">
        <v>2.49436847668652E-3</v>
      </c>
      <c r="Y30">
        <v>1.1770472076747601E-3</v>
      </c>
      <c r="Z30">
        <v>1.3884873578804799E-3</v>
      </c>
      <c r="AA30">
        <v>1.59522364761474E-3</v>
      </c>
      <c r="AB30">
        <v>4.3599596591144896E-3</v>
      </c>
      <c r="AC30">
        <v>2.5938215049325E-3</v>
      </c>
      <c r="AD30">
        <v>6.3732071240954601E-3</v>
      </c>
      <c r="AE30">
        <v>4.5160339722983903E-3</v>
      </c>
      <c r="AF30">
        <v>1.9672053700658899E-3</v>
      </c>
      <c r="AG30">
        <v>2.3247492765928902E-3</v>
      </c>
      <c r="AH30">
        <v>2.9893608250847201E-3</v>
      </c>
      <c r="AI30">
        <v>2.8861500497996098E-3</v>
      </c>
      <c r="AJ30">
        <v>4.2073156771433402E-3</v>
      </c>
      <c r="AK30">
        <v>5.2801081521718796E-3</v>
      </c>
      <c r="AL30">
        <v>7.0130895993140404E-3</v>
      </c>
      <c r="AM30">
        <v>1.8856148082505E-3</v>
      </c>
      <c r="AN30">
        <v>3.8840549939844499E-3</v>
      </c>
      <c r="AO30">
        <v>3.44211590832508E-3</v>
      </c>
      <c r="AP30">
        <v>3.4455879811917801E-3</v>
      </c>
      <c r="AQ30">
        <v>4.0185839686112997E-3</v>
      </c>
      <c r="AR30">
        <v>4.0694601226945104E-3</v>
      </c>
      <c r="AS30">
        <v>3.3026660707715198E-3</v>
      </c>
      <c r="AT30">
        <v>3.62629875316242E-3</v>
      </c>
      <c r="AU30">
        <v>3.1443194721423998E-3</v>
      </c>
      <c r="AV30">
        <v>2.0161978338847698E-3</v>
      </c>
      <c r="AW30">
        <v>2.8733492421817602E-3</v>
      </c>
    </row>
    <row r="31" spans="1:49">
      <c r="A31" t="s">
        <v>39</v>
      </c>
      <c r="B31">
        <v>8.3591897555628999E-3</v>
      </c>
      <c r="C31">
        <v>4.6719521019144804E-3</v>
      </c>
      <c r="D31">
        <v>3.65885726002635E-3</v>
      </c>
      <c r="E31">
        <v>3.0723163925133901E-3</v>
      </c>
      <c r="F31">
        <v>2.7050117921904402E-3</v>
      </c>
      <c r="G31">
        <v>3.7055846928688799E-3</v>
      </c>
      <c r="H31">
        <v>3.7545040056695799E-3</v>
      </c>
      <c r="I31">
        <v>3.83307474632697E-3</v>
      </c>
      <c r="J31">
        <v>5.1499821092971703E-3</v>
      </c>
      <c r="K31">
        <v>1.2773940268292099E-3</v>
      </c>
      <c r="L31">
        <v>5.0012802810341503E-3</v>
      </c>
      <c r="M31">
        <v>1.6010554602142E-3</v>
      </c>
      <c r="N31">
        <v>1.9552795463108402E-3</v>
      </c>
      <c r="O31">
        <v>4.0053404863867603E-3</v>
      </c>
      <c r="P31">
        <v>5.6158996094351201E-3</v>
      </c>
      <c r="Q31">
        <v>1.06795464712225E-3</v>
      </c>
      <c r="R31">
        <v>3.4487286610741198E-3</v>
      </c>
      <c r="S31">
        <v>6.2174407684051801E-3</v>
      </c>
      <c r="T31">
        <v>4.5235194706305104E-3</v>
      </c>
      <c r="U31">
        <v>6.9102235543904798E-3</v>
      </c>
      <c r="V31">
        <v>4.5304766326219699E-3</v>
      </c>
      <c r="W31">
        <v>4.7798751886900803E-3</v>
      </c>
      <c r="X31">
        <v>5.8340738287847201E-3</v>
      </c>
      <c r="Y31">
        <v>8.3754492741779899E-4</v>
      </c>
      <c r="Z31">
        <v>3.0454496377816001E-3</v>
      </c>
      <c r="AA31">
        <v>1.3827151758135201E-3</v>
      </c>
      <c r="AB31">
        <v>5.2223892144362596E-3</v>
      </c>
      <c r="AC31">
        <v>3.1548229167168099E-3</v>
      </c>
      <c r="AD31">
        <v>4.5160339722983903E-3</v>
      </c>
      <c r="AE31">
        <v>1.8866795009570201E-2</v>
      </c>
      <c r="AF31">
        <v>3.7536993457539598E-3</v>
      </c>
      <c r="AG31">
        <v>3.9394878073482301E-3</v>
      </c>
      <c r="AH31">
        <v>5.9213511713959999E-3</v>
      </c>
      <c r="AI31">
        <v>6.4128183819969998E-3</v>
      </c>
      <c r="AJ31">
        <v>4.89216317147282E-3</v>
      </c>
      <c r="AK31">
        <v>5.1185868217814099E-3</v>
      </c>
      <c r="AL31">
        <v>1.4738737411437599E-2</v>
      </c>
      <c r="AM31">
        <v>4.3485959402738998E-3</v>
      </c>
      <c r="AN31">
        <v>9.6628030543813703E-3</v>
      </c>
      <c r="AO31">
        <v>7.4112351976209998E-3</v>
      </c>
      <c r="AP31">
        <v>6.4977033561067999E-3</v>
      </c>
      <c r="AQ31">
        <v>7.46360013787174E-3</v>
      </c>
      <c r="AR31">
        <v>8.2524234589264594E-3</v>
      </c>
      <c r="AS31">
        <v>7.7777068940950303E-3</v>
      </c>
      <c r="AT31">
        <v>7.3279308759485904E-3</v>
      </c>
      <c r="AU31">
        <v>5.38171358823157E-3</v>
      </c>
      <c r="AV31">
        <v>2.8425240909283099E-3</v>
      </c>
      <c r="AW31">
        <v>4.0329952224553E-3</v>
      </c>
    </row>
    <row r="32" spans="1:49">
      <c r="A32" t="s">
        <v>40</v>
      </c>
      <c r="B32">
        <v>2.0495069992867098E-3</v>
      </c>
      <c r="C32">
        <v>1.66855386163021E-3</v>
      </c>
      <c r="D32">
        <v>1.0043434224626499E-3</v>
      </c>
      <c r="E32">
        <v>1.1919353810639899E-3</v>
      </c>
      <c r="F32">
        <v>8.0415277009686099E-4</v>
      </c>
      <c r="G32">
        <v>9.9821350831830104E-4</v>
      </c>
      <c r="H32">
        <v>2.2435507408846401E-3</v>
      </c>
      <c r="I32">
        <v>2.1557154368308999E-3</v>
      </c>
      <c r="J32">
        <v>6.6551100541522397E-4</v>
      </c>
      <c r="K32">
        <v>1.9966392809872102E-3</v>
      </c>
      <c r="L32">
        <v>2.86217046913321E-3</v>
      </c>
      <c r="M32">
        <v>1.8227033871496901E-3</v>
      </c>
      <c r="N32">
        <v>1.81046143257634E-3</v>
      </c>
      <c r="O32">
        <v>2.7011198932636702E-3</v>
      </c>
      <c r="P32">
        <v>3.3085954717514002E-3</v>
      </c>
      <c r="Q32">
        <v>2.02302971184381E-3</v>
      </c>
      <c r="R32">
        <v>2.1806701182824398E-3</v>
      </c>
      <c r="S32">
        <v>2.6718911685649801E-3</v>
      </c>
      <c r="T32">
        <v>1.2292320794747499E-3</v>
      </c>
      <c r="U32">
        <v>3.2479632791591502E-3</v>
      </c>
      <c r="V32">
        <v>2.4321753246712599E-3</v>
      </c>
      <c r="W32">
        <v>2.3461297589103401E-3</v>
      </c>
      <c r="X32">
        <v>2.4370799655297698E-3</v>
      </c>
      <c r="Y32">
        <v>1.2152862210983099E-3</v>
      </c>
      <c r="Z32">
        <v>3.1027800793438799E-3</v>
      </c>
      <c r="AA32">
        <v>1.94094199777187E-3</v>
      </c>
      <c r="AB32">
        <v>1.1878372131830001E-3</v>
      </c>
      <c r="AC32">
        <v>2.5012386931584098E-3</v>
      </c>
      <c r="AD32">
        <v>1.9672053700658899E-3</v>
      </c>
      <c r="AE32">
        <v>3.7536993457539598E-3</v>
      </c>
      <c r="AF32">
        <v>4.8204004290898E-3</v>
      </c>
      <c r="AG32">
        <v>2.7437819269378601E-3</v>
      </c>
      <c r="AH32">
        <v>2.3429398474687198E-3</v>
      </c>
      <c r="AI32">
        <v>2.30696780142441E-3</v>
      </c>
      <c r="AJ32">
        <v>1.19622346129764E-3</v>
      </c>
      <c r="AK32">
        <v>2.81186496402034E-3</v>
      </c>
      <c r="AL32">
        <v>3.4172975468857798E-3</v>
      </c>
      <c r="AM32">
        <v>2.2098579567869999E-3</v>
      </c>
      <c r="AN32">
        <v>3.4269787822923002E-3</v>
      </c>
      <c r="AO32">
        <v>2.9539924692849199E-3</v>
      </c>
      <c r="AP32">
        <v>2.6764875881920402E-3</v>
      </c>
      <c r="AQ32">
        <v>3.1127945801119098E-3</v>
      </c>
      <c r="AR32">
        <v>2.5391810642411399E-3</v>
      </c>
      <c r="AS32">
        <v>2.33094732978105E-3</v>
      </c>
      <c r="AT32">
        <v>2.89427919438853E-3</v>
      </c>
      <c r="AU32">
        <v>1.50480031750213E-3</v>
      </c>
      <c r="AV32">
        <v>1.1930822897752199E-3</v>
      </c>
      <c r="AW32">
        <v>2.1837236453227499E-3</v>
      </c>
    </row>
    <row r="33" spans="1:49">
      <c r="A33" t="s">
        <v>41</v>
      </c>
      <c r="B33">
        <v>5.3266301966448798E-3</v>
      </c>
      <c r="C33">
        <v>3.41214281306478E-3</v>
      </c>
      <c r="D33">
        <v>2.6735514356987498E-3</v>
      </c>
      <c r="E33">
        <v>3.0805598170612599E-3</v>
      </c>
      <c r="F33">
        <v>3.4553320102909098E-3</v>
      </c>
      <c r="G33">
        <v>2.6993809085534902E-3</v>
      </c>
      <c r="H33">
        <v>2.2398148735660599E-3</v>
      </c>
      <c r="I33">
        <v>2.2208942795561202E-3</v>
      </c>
      <c r="J33">
        <v>5.5954849347037497E-3</v>
      </c>
      <c r="K33">
        <v>1.1727105077654601E-3</v>
      </c>
      <c r="L33">
        <v>2.8498559995608799E-3</v>
      </c>
      <c r="M33">
        <v>1.4940632178199E-3</v>
      </c>
      <c r="N33">
        <v>1.81617902130915E-3</v>
      </c>
      <c r="O33">
        <v>2.8034635709036E-3</v>
      </c>
      <c r="P33">
        <v>3.1031264632926901E-3</v>
      </c>
      <c r="Q33">
        <v>1.3678988708342801E-3</v>
      </c>
      <c r="R33">
        <v>1.5729108508459101E-3</v>
      </c>
      <c r="S33">
        <v>4.2780894439076499E-3</v>
      </c>
      <c r="T33">
        <v>5.44919927051096E-3</v>
      </c>
      <c r="U33">
        <v>3.8158309863195899E-3</v>
      </c>
      <c r="V33">
        <v>3.1237054731415598E-3</v>
      </c>
      <c r="W33">
        <v>2.19483703741694E-3</v>
      </c>
      <c r="X33">
        <v>2.42678355969158E-3</v>
      </c>
      <c r="Y33">
        <v>1.85363087349107E-3</v>
      </c>
      <c r="Z33">
        <v>2.30073824222983E-3</v>
      </c>
      <c r="AA33">
        <v>1.7748413454174001E-3</v>
      </c>
      <c r="AB33">
        <v>2.7372728992922698E-3</v>
      </c>
      <c r="AC33">
        <v>2.34764734706278E-3</v>
      </c>
      <c r="AD33">
        <v>2.3247492765928902E-3</v>
      </c>
      <c r="AE33">
        <v>3.9394878073482301E-3</v>
      </c>
      <c r="AF33">
        <v>2.7437819269378601E-3</v>
      </c>
      <c r="AG33">
        <v>7.1884350565741004E-3</v>
      </c>
      <c r="AH33">
        <v>4.5825015868806301E-3</v>
      </c>
      <c r="AI33">
        <v>5.4568269235360997E-3</v>
      </c>
      <c r="AJ33">
        <v>3.58574456816719E-3</v>
      </c>
      <c r="AK33">
        <v>3.1047671288925698E-3</v>
      </c>
      <c r="AL33">
        <v>6.2447937989417099E-3</v>
      </c>
      <c r="AM33">
        <v>3.20170555846893E-3</v>
      </c>
      <c r="AN33">
        <v>3.55561411539052E-3</v>
      </c>
      <c r="AO33">
        <v>3.3895248220910902E-3</v>
      </c>
      <c r="AP33">
        <v>2.8054209624702102E-3</v>
      </c>
      <c r="AQ33">
        <v>3.2654330082515499E-3</v>
      </c>
      <c r="AR33">
        <v>2.5841308631783101E-3</v>
      </c>
      <c r="AS33">
        <v>2.9549942414563699E-3</v>
      </c>
      <c r="AT33">
        <v>2.3310282751672598E-3</v>
      </c>
      <c r="AU33">
        <v>2.98735296879533E-3</v>
      </c>
      <c r="AV33">
        <v>2.2335434876671399E-3</v>
      </c>
      <c r="AW33">
        <v>2.4394583010944001E-3</v>
      </c>
    </row>
    <row r="34" spans="1:49">
      <c r="A34" t="s">
        <v>42</v>
      </c>
      <c r="B34">
        <v>1.5949838211152E-2</v>
      </c>
      <c r="C34">
        <v>5.5706611331619998E-3</v>
      </c>
      <c r="D34">
        <v>5.0768893749127998E-3</v>
      </c>
      <c r="E34">
        <v>4.5635567649357604E-3</v>
      </c>
      <c r="F34">
        <v>6.6506277420631098E-3</v>
      </c>
      <c r="G34">
        <v>4.9935034550144999E-3</v>
      </c>
      <c r="H34">
        <v>5.3968102764427499E-3</v>
      </c>
      <c r="I34">
        <v>2.58167058595761E-3</v>
      </c>
      <c r="J34">
        <v>9.3921732350968692E-3</v>
      </c>
      <c r="K34">
        <v>8.5923078139619005E-4</v>
      </c>
      <c r="L34">
        <v>3.6861628506762402E-3</v>
      </c>
      <c r="M34">
        <v>7.8513045032575996E-4</v>
      </c>
      <c r="N34">
        <v>1.19434633568996E-3</v>
      </c>
      <c r="O34">
        <v>4.03841524524352E-3</v>
      </c>
      <c r="P34">
        <v>3.9192848302025103E-3</v>
      </c>
      <c r="Q34" s="6">
        <v>3.6850398581771803E-5</v>
      </c>
      <c r="R34">
        <v>1.0397079045268601E-3</v>
      </c>
      <c r="S34">
        <v>5.7792035205213596E-3</v>
      </c>
      <c r="T34">
        <v>7.1398092782442796E-3</v>
      </c>
      <c r="U34">
        <v>5.7322577840762E-3</v>
      </c>
      <c r="V34">
        <v>1.76119443879238E-3</v>
      </c>
      <c r="W34">
        <v>7.9567434826756801E-4</v>
      </c>
      <c r="X34">
        <v>1.8245935493340199E-3</v>
      </c>
      <c r="Y34">
        <v>1.80021252924288E-3</v>
      </c>
      <c r="Z34">
        <v>1.67967873523656E-3</v>
      </c>
      <c r="AA34">
        <v>1.2990475969350201E-3</v>
      </c>
      <c r="AB34">
        <v>2.9679767089279799E-3</v>
      </c>
      <c r="AC34">
        <v>3.1155557727992802E-3</v>
      </c>
      <c r="AD34">
        <v>2.9893608250847201E-3</v>
      </c>
      <c r="AE34">
        <v>5.9213511713959999E-3</v>
      </c>
      <c r="AF34">
        <v>2.3429398474687198E-3</v>
      </c>
      <c r="AG34">
        <v>4.5825015868806301E-3</v>
      </c>
      <c r="AH34">
        <v>1.2518605310542E-2</v>
      </c>
      <c r="AI34">
        <v>7.0520450796423204E-3</v>
      </c>
      <c r="AJ34">
        <v>7.8639046193948892E-3</v>
      </c>
      <c r="AK34">
        <v>5.5251572924965697E-3</v>
      </c>
      <c r="AL34">
        <v>1.30166950177634E-2</v>
      </c>
      <c r="AM34">
        <v>3.9507486420078796E-3</v>
      </c>
      <c r="AN34">
        <v>4.45074080463485E-3</v>
      </c>
      <c r="AO34">
        <v>3.77116756305138E-3</v>
      </c>
      <c r="AP34">
        <v>2.8607831432259701E-3</v>
      </c>
      <c r="AQ34">
        <v>4.0167566119863303E-3</v>
      </c>
      <c r="AR34">
        <v>3.9745017740457798E-3</v>
      </c>
      <c r="AS34">
        <v>3.14875861661829E-3</v>
      </c>
      <c r="AT34">
        <v>2.23361157531721E-3</v>
      </c>
      <c r="AU34">
        <v>5.0016495407491203E-3</v>
      </c>
      <c r="AV34">
        <v>3.6140204849359099E-3</v>
      </c>
      <c r="AW34">
        <v>3.7694226522936398E-3</v>
      </c>
    </row>
    <row r="35" spans="1:49">
      <c r="A35" t="s">
        <v>43</v>
      </c>
      <c r="B35">
        <v>9.8636287743156595E-3</v>
      </c>
      <c r="C35">
        <v>5.7375462558726404E-3</v>
      </c>
      <c r="D35">
        <v>4.2118984092335597E-3</v>
      </c>
      <c r="E35">
        <v>4.7232819388659097E-3</v>
      </c>
      <c r="F35">
        <v>5.4772786024569796E-3</v>
      </c>
      <c r="G35">
        <v>4.1452213481248303E-3</v>
      </c>
      <c r="H35">
        <v>4.5840110857606302E-3</v>
      </c>
      <c r="I35">
        <v>2.3578380306076502E-3</v>
      </c>
      <c r="J35">
        <v>8.4816451171297099E-3</v>
      </c>
      <c r="K35">
        <v>1.1073963038160199E-3</v>
      </c>
      <c r="L35">
        <v>3.3868203535935798E-3</v>
      </c>
      <c r="M35">
        <v>1.6114759573899E-3</v>
      </c>
      <c r="N35">
        <v>1.635630902227E-3</v>
      </c>
      <c r="O35">
        <v>3.7441174310260802E-3</v>
      </c>
      <c r="P35">
        <v>3.6594231021523601E-3</v>
      </c>
      <c r="Q35">
        <v>1.22653393642276E-3</v>
      </c>
      <c r="R35">
        <v>1.77906002152711E-3</v>
      </c>
      <c r="S35">
        <v>3.7880597474156102E-3</v>
      </c>
      <c r="T35">
        <v>6.4886688004572998E-3</v>
      </c>
      <c r="U35">
        <v>4.92627091136256E-3</v>
      </c>
      <c r="V35">
        <v>2.6912989562795598E-3</v>
      </c>
      <c r="W35">
        <v>1.5922079689090799E-3</v>
      </c>
      <c r="X35">
        <v>2.2702963726099002E-3</v>
      </c>
      <c r="Y35">
        <v>1.44092092326947E-3</v>
      </c>
      <c r="Z35">
        <v>1.6847796517943799E-3</v>
      </c>
      <c r="AA35">
        <v>1.6377860370327599E-3</v>
      </c>
      <c r="AB35">
        <v>4.5059106960174504E-3</v>
      </c>
      <c r="AC35">
        <v>2.5204261379429601E-3</v>
      </c>
      <c r="AD35">
        <v>2.8861500497996098E-3</v>
      </c>
      <c r="AE35">
        <v>6.4128183819969998E-3</v>
      </c>
      <c r="AF35">
        <v>2.30696780142441E-3</v>
      </c>
      <c r="AG35">
        <v>5.4568269235360997E-3</v>
      </c>
      <c r="AH35">
        <v>7.0520450796423204E-3</v>
      </c>
      <c r="AI35">
        <v>1.06555022478031E-2</v>
      </c>
      <c r="AJ35">
        <v>7.9152162385101692E-3</v>
      </c>
      <c r="AK35">
        <v>4.9014236003090796E-3</v>
      </c>
      <c r="AL35">
        <v>1.02074752673866E-2</v>
      </c>
      <c r="AM35">
        <v>3.64541951140499E-3</v>
      </c>
      <c r="AN35">
        <v>4.0916838146991099E-3</v>
      </c>
      <c r="AO35">
        <v>3.41879073247177E-3</v>
      </c>
      <c r="AP35">
        <v>2.8266694259693301E-3</v>
      </c>
      <c r="AQ35">
        <v>4.0037522415063203E-3</v>
      </c>
      <c r="AR35">
        <v>3.5303583133136098E-3</v>
      </c>
      <c r="AS35">
        <v>2.4187645144609299E-3</v>
      </c>
      <c r="AT35">
        <v>2.4927937389226901E-3</v>
      </c>
      <c r="AU35">
        <v>3.05674727028788E-3</v>
      </c>
      <c r="AV35">
        <v>2.92876608628114E-3</v>
      </c>
      <c r="AW35">
        <v>3.0272936160384398E-3</v>
      </c>
    </row>
    <row r="36" spans="1:49">
      <c r="A36" t="s">
        <v>44</v>
      </c>
      <c r="B36">
        <v>1.40614395068074E-2</v>
      </c>
      <c r="C36">
        <v>6.86910883845089E-3</v>
      </c>
      <c r="D36">
        <v>5.9767864199760804E-3</v>
      </c>
      <c r="E36">
        <v>5.8679786511873899E-3</v>
      </c>
      <c r="F36">
        <v>8.6154638813056E-3</v>
      </c>
      <c r="G36">
        <v>6.0493533955457901E-3</v>
      </c>
      <c r="H36">
        <v>8.8881448698934808E-3</v>
      </c>
      <c r="I36">
        <v>3.0929252637910301E-3</v>
      </c>
      <c r="J36">
        <v>1.53959323283269E-2</v>
      </c>
      <c r="K36">
        <v>5.2697330931840403E-4</v>
      </c>
      <c r="L36">
        <v>2.4871940975421301E-3</v>
      </c>
      <c r="M36">
        <v>1.2207625059822301E-3</v>
      </c>
      <c r="N36">
        <v>4.4006669430912698E-4</v>
      </c>
      <c r="O36">
        <v>4.5355454731771496E-3</v>
      </c>
      <c r="P36">
        <v>3.6967316907781699E-3</v>
      </c>
      <c r="Q36">
        <v>4.4998675514715397E-3</v>
      </c>
      <c r="R36">
        <v>1.3395907358667301E-3</v>
      </c>
      <c r="S36">
        <v>4.9854611157415301E-3</v>
      </c>
      <c r="T36">
        <v>8.6842822289834604E-3</v>
      </c>
      <c r="U36">
        <v>5.0217851285799496E-3</v>
      </c>
      <c r="V36">
        <v>3.2295508228607E-3</v>
      </c>
      <c r="W36">
        <v>-4.2193201340740802E-4</v>
      </c>
      <c r="X36">
        <v>2.0473421645499802E-3</v>
      </c>
      <c r="Y36">
        <v>1.49515710109498E-3</v>
      </c>
      <c r="Z36">
        <v>3.41076898518782E-4</v>
      </c>
      <c r="AA36">
        <v>2.21875856889057E-3</v>
      </c>
      <c r="AB36">
        <v>5.6769601438973003E-3</v>
      </c>
      <c r="AC36">
        <v>2.3313216367657598E-3</v>
      </c>
      <c r="AD36">
        <v>4.2073156771433402E-3</v>
      </c>
      <c r="AE36">
        <v>4.89216317147282E-3</v>
      </c>
      <c r="AF36">
        <v>1.19622346129764E-3</v>
      </c>
      <c r="AG36">
        <v>3.58574456816719E-3</v>
      </c>
      <c r="AH36">
        <v>7.8639046193948892E-3</v>
      </c>
      <c r="AI36">
        <v>7.9152162385101692E-3</v>
      </c>
      <c r="AJ36">
        <v>2.3152948647118098E-2</v>
      </c>
      <c r="AK36">
        <v>4.1141982029360398E-3</v>
      </c>
      <c r="AL36">
        <v>1.3587215123731599E-2</v>
      </c>
      <c r="AM36">
        <v>5.4104199871529198E-3</v>
      </c>
      <c r="AN36">
        <v>4.59803476573573E-3</v>
      </c>
      <c r="AO36">
        <v>3.7129358551379601E-3</v>
      </c>
      <c r="AP36">
        <v>3.3334031917216299E-3</v>
      </c>
      <c r="AQ36">
        <v>4.0011936516159202E-3</v>
      </c>
      <c r="AR36">
        <v>3.9259544630599599E-3</v>
      </c>
      <c r="AS36">
        <v>2.5906684288880301E-3</v>
      </c>
      <c r="AT36">
        <v>1.50750015255699E-3</v>
      </c>
      <c r="AU36">
        <v>4.0388934590889604E-3</v>
      </c>
      <c r="AV36">
        <v>5.1695476129282499E-3</v>
      </c>
      <c r="AW36">
        <v>4.3671900732355998E-3</v>
      </c>
    </row>
    <row r="37" spans="1:49">
      <c r="A37" t="s">
        <v>45</v>
      </c>
      <c r="B37">
        <v>1.19392475879659E-2</v>
      </c>
      <c r="C37">
        <v>5.2188611421191801E-3</v>
      </c>
      <c r="D37">
        <v>4.0816801291282999E-3</v>
      </c>
      <c r="E37">
        <v>2.8205356637183601E-3</v>
      </c>
      <c r="F37">
        <v>5.7028005075391696E-3</v>
      </c>
      <c r="G37">
        <v>4.0009751421516996E-3</v>
      </c>
      <c r="H37">
        <v>6.44344383633809E-3</v>
      </c>
      <c r="I37">
        <v>2.7820094856466598E-3</v>
      </c>
      <c r="J37">
        <v>4.4645134168832196E-3</v>
      </c>
      <c r="K37">
        <v>1.9168583769505201E-3</v>
      </c>
      <c r="L37">
        <v>4.44179871614652E-3</v>
      </c>
      <c r="M37">
        <v>1.0221635146651701E-3</v>
      </c>
      <c r="N37">
        <v>1.8586258588587201E-3</v>
      </c>
      <c r="O37">
        <v>4.3833944959242198E-3</v>
      </c>
      <c r="P37">
        <v>4.8884723791249602E-3</v>
      </c>
      <c r="Q37">
        <v>1.11637177607925E-3</v>
      </c>
      <c r="R37">
        <v>1.6675591831075301E-3</v>
      </c>
      <c r="S37">
        <v>7.4750708309772197E-3</v>
      </c>
      <c r="T37">
        <v>5.9546299630766804E-3</v>
      </c>
      <c r="U37">
        <v>3.3313957409928799E-3</v>
      </c>
      <c r="V37">
        <v>2.9259285837124299E-3</v>
      </c>
      <c r="W37">
        <v>3.59894206203549E-3</v>
      </c>
      <c r="X37">
        <v>3.65947979068272E-3</v>
      </c>
      <c r="Y37">
        <v>1.94378973997601E-3</v>
      </c>
      <c r="Z37">
        <v>1.6095411691733699E-3</v>
      </c>
      <c r="AA37">
        <v>1.1569746902549501E-3</v>
      </c>
      <c r="AB37">
        <v>4.7327358178811301E-3</v>
      </c>
      <c r="AC37">
        <v>2.7610778313383101E-3</v>
      </c>
      <c r="AD37">
        <v>5.2801081521718796E-3</v>
      </c>
      <c r="AE37">
        <v>5.1185868217814099E-3</v>
      </c>
      <c r="AF37">
        <v>2.81186496402034E-3</v>
      </c>
      <c r="AG37">
        <v>3.1047671288925698E-3</v>
      </c>
      <c r="AH37">
        <v>5.5251572924965697E-3</v>
      </c>
      <c r="AI37">
        <v>4.9014236003090796E-3</v>
      </c>
      <c r="AJ37">
        <v>4.1141982029360398E-3</v>
      </c>
      <c r="AK37">
        <v>1.46995966007338E-2</v>
      </c>
      <c r="AL37">
        <v>1.42492989946621E-2</v>
      </c>
      <c r="AM37">
        <v>3.7661580881589302E-3</v>
      </c>
      <c r="AN37">
        <v>6.6819050607483397E-3</v>
      </c>
      <c r="AO37">
        <v>5.7216610384525001E-3</v>
      </c>
      <c r="AP37">
        <v>4.4723835708625603E-3</v>
      </c>
      <c r="AQ37">
        <v>6.8274443849884302E-3</v>
      </c>
      <c r="AR37">
        <v>7.7235582099887297E-3</v>
      </c>
      <c r="AS37">
        <v>4.3023951873585198E-3</v>
      </c>
      <c r="AT37">
        <v>5.3383927597081098E-3</v>
      </c>
      <c r="AU37">
        <v>5.9195443091627697E-3</v>
      </c>
      <c r="AV37">
        <v>2.0893785349026398E-3</v>
      </c>
      <c r="AW37">
        <v>5.1715441357017599E-3</v>
      </c>
    </row>
    <row r="38" spans="1:49">
      <c r="A38" t="s">
        <v>46</v>
      </c>
      <c r="B38">
        <v>2.4859638542326899E-2</v>
      </c>
      <c r="C38">
        <v>8.2057311835554599E-3</v>
      </c>
      <c r="D38">
        <v>6.9412826174322503E-3</v>
      </c>
      <c r="E38">
        <v>6.0297797148295001E-3</v>
      </c>
      <c r="F38">
        <v>1.0143568167330599E-2</v>
      </c>
      <c r="G38">
        <v>6.9276759718653498E-3</v>
      </c>
      <c r="H38">
        <v>8.4963939389438494E-3</v>
      </c>
      <c r="I38">
        <v>4.8869019344716901E-3</v>
      </c>
      <c r="J38">
        <v>1.31328625859442E-2</v>
      </c>
      <c r="K38">
        <v>1.5756173499842101E-3</v>
      </c>
      <c r="L38">
        <v>6.3974476293188103E-3</v>
      </c>
      <c r="M38">
        <v>1.15781680251445E-3</v>
      </c>
      <c r="N38">
        <v>1.8300598656214701E-3</v>
      </c>
      <c r="O38">
        <v>7.53663274138772E-3</v>
      </c>
      <c r="P38">
        <v>7.1376052965363701E-3</v>
      </c>
      <c r="Q38">
        <v>6.4129946465602298E-4</v>
      </c>
      <c r="R38">
        <v>2.7815628890914602E-3</v>
      </c>
      <c r="S38">
        <v>1.1564610008203999E-2</v>
      </c>
      <c r="T38">
        <v>1.13190191405119E-2</v>
      </c>
      <c r="U38">
        <v>7.4533014103505303E-3</v>
      </c>
      <c r="V38">
        <v>3.47318788449679E-3</v>
      </c>
      <c r="W38">
        <v>2.6270525731665801E-3</v>
      </c>
      <c r="X38">
        <v>5.2798702154055804E-3</v>
      </c>
      <c r="Y38">
        <v>2.4590678115077201E-3</v>
      </c>
      <c r="Z38">
        <v>2.2360649328084401E-3</v>
      </c>
      <c r="AA38">
        <v>1.6783328052802401E-3</v>
      </c>
      <c r="AB38">
        <v>8.0474717512364694E-3</v>
      </c>
      <c r="AC38">
        <v>4.3602036202881602E-3</v>
      </c>
      <c r="AD38">
        <v>7.0130895993140404E-3</v>
      </c>
      <c r="AE38">
        <v>1.4738737411437599E-2</v>
      </c>
      <c r="AF38">
        <v>3.4172975468857798E-3</v>
      </c>
      <c r="AG38">
        <v>6.2447937989417099E-3</v>
      </c>
      <c r="AH38">
        <v>1.30166950177634E-2</v>
      </c>
      <c r="AI38">
        <v>1.02074752673866E-2</v>
      </c>
      <c r="AJ38">
        <v>1.3587215123731599E-2</v>
      </c>
      <c r="AK38">
        <v>1.42492989946621E-2</v>
      </c>
      <c r="AL38">
        <v>3.3736883144699803E-2</v>
      </c>
      <c r="AM38">
        <v>7.6790466397926799E-3</v>
      </c>
      <c r="AN38">
        <v>1.0873744788800601E-2</v>
      </c>
      <c r="AO38">
        <v>1.0226338445835001E-2</v>
      </c>
      <c r="AP38">
        <v>8.3525643072005894E-3</v>
      </c>
      <c r="AQ38">
        <v>1.03540261149693E-2</v>
      </c>
      <c r="AR38">
        <v>1.1242223200323699E-2</v>
      </c>
      <c r="AS38">
        <v>9.0733438552207998E-3</v>
      </c>
      <c r="AT38">
        <v>1.00118668961914E-2</v>
      </c>
      <c r="AU38">
        <v>1.05390368583259E-2</v>
      </c>
      <c r="AV38">
        <v>5.3401991342870402E-3</v>
      </c>
      <c r="AW38">
        <v>8.0567356883320795E-3</v>
      </c>
    </row>
    <row r="39" spans="1:49">
      <c r="A39" t="s">
        <v>48</v>
      </c>
      <c r="B39">
        <v>7.2053655793962697E-3</v>
      </c>
      <c r="C39">
        <v>4.2222010243270899E-3</v>
      </c>
      <c r="D39">
        <v>2.71950744689948E-3</v>
      </c>
      <c r="E39">
        <v>2.9095359836656602E-3</v>
      </c>
      <c r="F39">
        <v>3.6991092085441298E-3</v>
      </c>
      <c r="G39">
        <v>2.6825633841802E-3</v>
      </c>
      <c r="H39">
        <v>3.8147870087186101E-3</v>
      </c>
      <c r="I39">
        <v>2.60159633867526E-3</v>
      </c>
      <c r="J39">
        <v>4.9692783274092097E-3</v>
      </c>
      <c r="K39">
        <v>1.90912364422583E-3</v>
      </c>
      <c r="L39">
        <v>2.2871586702701398E-3</v>
      </c>
      <c r="M39">
        <v>1.5236223702557901E-3</v>
      </c>
      <c r="N39">
        <v>2.1866823262693502E-3</v>
      </c>
      <c r="O39">
        <v>4.0248995901859099E-3</v>
      </c>
      <c r="P39">
        <v>2.8972420130193299E-3</v>
      </c>
      <c r="Q39">
        <v>2.69098759056341E-3</v>
      </c>
      <c r="R39">
        <v>1.9954946267084898E-3</v>
      </c>
      <c r="S39">
        <v>2.92012382253427E-3</v>
      </c>
      <c r="T39">
        <v>2.8732903313512699E-3</v>
      </c>
      <c r="U39">
        <v>3.6482164554191799E-3</v>
      </c>
      <c r="V39">
        <v>2.86986710571878E-3</v>
      </c>
      <c r="W39">
        <v>1.1769852283901E-3</v>
      </c>
      <c r="X39">
        <v>1.9268014550773999E-3</v>
      </c>
      <c r="Y39">
        <v>2.2945086407778498E-3</v>
      </c>
      <c r="Z39">
        <v>1.1414162122157501E-3</v>
      </c>
      <c r="AA39">
        <v>5.7812992296025199E-4</v>
      </c>
      <c r="AB39">
        <v>3.4686132352349198E-3</v>
      </c>
      <c r="AC39">
        <v>2.5797015475888998E-3</v>
      </c>
      <c r="AD39">
        <v>1.8856148082505E-3</v>
      </c>
      <c r="AE39">
        <v>4.3485959402738998E-3</v>
      </c>
      <c r="AF39">
        <v>2.2098579567869999E-3</v>
      </c>
      <c r="AG39">
        <v>3.20170555846893E-3</v>
      </c>
      <c r="AH39">
        <v>3.9507486420078796E-3</v>
      </c>
      <c r="AI39">
        <v>3.64541951140499E-3</v>
      </c>
      <c r="AJ39">
        <v>5.4104199871529198E-3</v>
      </c>
      <c r="AK39">
        <v>3.7661580881589302E-3</v>
      </c>
      <c r="AL39">
        <v>7.6790466397926799E-3</v>
      </c>
      <c r="AM39">
        <v>7.1677353126505198E-3</v>
      </c>
      <c r="AN39">
        <v>2.4765669619860502E-3</v>
      </c>
      <c r="AO39">
        <v>3.0960156016556699E-3</v>
      </c>
      <c r="AP39">
        <v>2.12450839495445E-3</v>
      </c>
      <c r="AQ39">
        <v>3.4580789138282499E-3</v>
      </c>
      <c r="AR39">
        <v>3.3992431802062602E-3</v>
      </c>
      <c r="AS39">
        <v>1.9798429985967698E-3</v>
      </c>
      <c r="AT39">
        <v>2.8696974197443101E-3</v>
      </c>
      <c r="AU39">
        <v>4.9606983502466602E-3</v>
      </c>
      <c r="AV39">
        <v>3.6825842730119499E-3</v>
      </c>
      <c r="AW39">
        <v>4.0456319252195503E-3</v>
      </c>
    </row>
    <row r="40" spans="1:49">
      <c r="A40" t="s">
        <v>50</v>
      </c>
      <c r="B40">
        <v>7.1255073485461196E-3</v>
      </c>
      <c r="C40">
        <v>3.3275177163371501E-3</v>
      </c>
      <c r="D40">
        <v>3.5230964600925698E-3</v>
      </c>
      <c r="E40">
        <v>2.2948352295079099E-3</v>
      </c>
      <c r="F40">
        <v>3.0665942291586402E-3</v>
      </c>
      <c r="G40">
        <v>3.5374144132886498E-3</v>
      </c>
      <c r="H40">
        <v>4.0630266941314797E-3</v>
      </c>
      <c r="I40">
        <v>3.5640284649572601E-3</v>
      </c>
      <c r="J40">
        <v>3.7976328080557699E-3</v>
      </c>
      <c r="K40">
        <v>1.58103578592472E-3</v>
      </c>
      <c r="L40">
        <v>4.2761184597621604E-3</v>
      </c>
      <c r="M40">
        <v>1.0145779177578101E-3</v>
      </c>
      <c r="N40">
        <v>1.86696106731662E-3</v>
      </c>
      <c r="O40">
        <v>3.5321912841138501E-3</v>
      </c>
      <c r="P40">
        <v>4.9842247433431897E-3</v>
      </c>
      <c r="Q40">
        <v>1.11401696020482E-3</v>
      </c>
      <c r="R40">
        <v>2.5677468790078202E-3</v>
      </c>
      <c r="S40">
        <v>7.3975329277304403E-3</v>
      </c>
      <c r="T40">
        <v>3.89250372623515E-3</v>
      </c>
      <c r="U40">
        <v>4.1560774268053899E-3</v>
      </c>
      <c r="V40">
        <v>2.9214312009836199E-3</v>
      </c>
      <c r="W40">
        <v>6.5544934628878103E-3</v>
      </c>
      <c r="X40">
        <v>6.5110576778524597E-3</v>
      </c>
      <c r="Y40">
        <v>8.2339392381293897E-4</v>
      </c>
      <c r="Z40">
        <v>3.6079719370401601E-3</v>
      </c>
      <c r="AA40">
        <v>2.2872535853747699E-3</v>
      </c>
      <c r="AB40">
        <v>2.8965780715261998E-3</v>
      </c>
      <c r="AC40">
        <v>2.4863583509874801E-3</v>
      </c>
      <c r="AD40">
        <v>3.8840549939844499E-3</v>
      </c>
      <c r="AE40">
        <v>9.6628030543813703E-3</v>
      </c>
      <c r="AF40">
        <v>3.4269787822923002E-3</v>
      </c>
      <c r="AG40">
        <v>3.55561411539052E-3</v>
      </c>
      <c r="AH40">
        <v>4.45074080463485E-3</v>
      </c>
      <c r="AI40">
        <v>4.0916838146991099E-3</v>
      </c>
      <c r="AJ40">
        <v>4.59803476573573E-3</v>
      </c>
      <c r="AK40">
        <v>6.6819050607483397E-3</v>
      </c>
      <c r="AL40">
        <v>1.0873744788800601E-2</v>
      </c>
      <c r="AM40">
        <v>2.4765669619860502E-3</v>
      </c>
      <c r="AN40">
        <v>1.0971742793582999E-2</v>
      </c>
      <c r="AO40">
        <v>8.3235253231957705E-3</v>
      </c>
      <c r="AP40">
        <v>6.8868247121618396E-3</v>
      </c>
      <c r="AQ40">
        <v>7.7008828459572401E-3</v>
      </c>
      <c r="AR40">
        <v>8.3812466527270202E-3</v>
      </c>
      <c r="AS40">
        <v>8.5624447865020898E-3</v>
      </c>
      <c r="AT40">
        <v>7.5338773961943798E-3</v>
      </c>
      <c r="AU40">
        <v>4.5024374021006798E-3</v>
      </c>
      <c r="AV40">
        <v>1.6943249432692601E-3</v>
      </c>
      <c r="AW40">
        <v>3.7613900376287702E-3</v>
      </c>
    </row>
    <row r="41" spans="1:49">
      <c r="A41" t="s">
        <v>51</v>
      </c>
      <c r="B41">
        <v>6.3305482909786302E-3</v>
      </c>
      <c r="C41">
        <v>3.0583644300395301E-3</v>
      </c>
      <c r="D41">
        <v>3.3159385856154399E-3</v>
      </c>
      <c r="E41">
        <v>1.9696258496469301E-3</v>
      </c>
      <c r="F41">
        <v>2.6088571372226001E-3</v>
      </c>
      <c r="G41">
        <v>3.30204037567956E-3</v>
      </c>
      <c r="H41">
        <v>2.4460516082116198E-3</v>
      </c>
      <c r="I41">
        <v>3.5888840677830301E-3</v>
      </c>
      <c r="J41">
        <v>4.0442822832988503E-3</v>
      </c>
      <c r="K41">
        <v>1.45479099119821E-3</v>
      </c>
      <c r="L41">
        <v>3.6528240654511101E-3</v>
      </c>
      <c r="M41">
        <v>1.1092935602386601E-3</v>
      </c>
      <c r="N41">
        <v>2.3627292411903399E-3</v>
      </c>
      <c r="O41">
        <v>3.6542826445034198E-3</v>
      </c>
      <c r="P41">
        <v>4.13475313503183E-3</v>
      </c>
      <c r="Q41">
        <v>1.4039863954025201E-3</v>
      </c>
      <c r="R41">
        <v>2.32360081567724E-3</v>
      </c>
      <c r="S41">
        <v>6.4963301786290003E-3</v>
      </c>
      <c r="T41">
        <v>4.4288666070347402E-3</v>
      </c>
      <c r="U41">
        <v>3.1730347114329802E-3</v>
      </c>
      <c r="V41">
        <v>2.6959453682012398E-3</v>
      </c>
      <c r="W41">
        <v>5.6675510012452798E-3</v>
      </c>
      <c r="X41">
        <v>5.9695356394965796E-3</v>
      </c>
      <c r="Y41">
        <v>1.42742522501085E-3</v>
      </c>
      <c r="Z41">
        <v>2.6804360814083402E-3</v>
      </c>
      <c r="AA41">
        <v>1.6129792259004701E-3</v>
      </c>
      <c r="AB41">
        <v>3.0332654940855401E-3</v>
      </c>
      <c r="AC41">
        <v>2.4362974613546702E-3</v>
      </c>
      <c r="AD41">
        <v>3.44211590832508E-3</v>
      </c>
      <c r="AE41">
        <v>7.4112351976209998E-3</v>
      </c>
      <c r="AF41">
        <v>2.9539924692849199E-3</v>
      </c>
      <c r="AG41">
        <v>3.3895248220910902E-3</v>
      </c>
      <c r="AH41">
        <v>3.77116756305138E-3</v>
      </c>
      <c r="AI41">
        <v>3.41879073247177E-3</v>
      </c>
      <c r="AJ41">
        <v>3.7129358551379601E-3</v>
      </c>
      <c r="AK41">
        <v>5.7216610384525001E-3</v>
      </c>
      <c r="AL41">
        <v>1.0226338445835001E-2</v>
      </c>
      <c r="AM41">
        <v>3.0960156016556699E-3</v>
      </c>
      <c r="AN41">
        <v>8.3235253231957705E-3</v>
      </c>
      <c r="AO41">
        <v>8.4743833871809299E-3</v>
      </c>
      <c r="AP41">
        <v>6.6365872058257499E-3</v>
      </c>
      <c r="AQ41">
        <v>7.3669688179734804E-3</v>
      </c>
      <c r="AR41">
        <v>7.1773107126466302E-3</v>
      </c>
      <c r="AS41">
        <v>8.2233319279552408E-3</v>
      </c>
      <c r="AT41">
        <v>7.3300389915214696E-3</v>
      </c>
      <c r="AU41">
        <v>4.3021340434934397E-3</v>
      </c>
      <c r="AV41">
        <v>2.2145022385549702E-3</v>
      </c>
      <c r="AW41">
        <v>4.1076003101625904E-3</v>
      </c>
    </row>
    <row r="42" spans="1:49">
      <c r="A42" t="s">
        <v>52</v>
      </c>
      <c r="B42">
        <v>3.73317717587868E-3</v>
      </c>
      <c r="C42">
        <v>2.05241894113283E-3</v>
      </c>
      <c r="D42">
        <v>2.3942945713845499E-3</v>
      </c>
      <c r="E42">
        <v>1.44236814244668E-3</v>
      </c>
      <c r="F42">
        <v>1.4023389786090501E-3</v>
      </c>
      <c r="G42">
        <v>2.4187049563742301E-3</v>
      </c>
      <c r="H42">
        <v>2.5019481000084099E-3</v>
      </c>
      <c r="I42">
        <v>3.1871968012645198E-3</v>
      </c>
      <c r="J42">
        <v>3.5829890025083498E-3</v>
      </c>
      <c r="K42">
        <v>1.43786094287435E-3</v>
      </c>
      <c r="L42">
        <v>3.1447570802898201E-3</v>
      </c>
      <c r="M42">
        <v>9.3366369688112198E-4</v>
      </c>
      <c r="N42">
        <v>1.6272216514411201E-3</v>
      </c>
      <c r="O42">
        <v>2.82682669012425E-3</v>
      </c>
      <c r="P42">
        <v>3.5369498890416898E-3</v>
      </c>
      <c r="Q42">
        <v>1.3601316654181499E-3</v>
      </c>
      <c r="R42">
        <v>1.9049933529183701E-3</v>
      </c>
      <c r="S42">
        <v>5.4001153472537601E-3</v>
      </c>
      <c r="T42">
        <v>3.98297922617821E-3</v>
      </c>
      <c r="U42">
        <v>2.9478885523945599E-3</v>
      </c>
      <c r="V42">
        <v>2.39337314551247E-3</v>
      </c>
      <c r="W42">
        <v>4.4500536830825201E-3</v>
      </c>
      <c r="X42">
        <v>4.8367463054312396E-3</v>
      </c>
      <c r="Y42">
        <v>1.0689294666042801E-3</v>
      </c>
      <c r="Z42">
        <v>2.3335317994578799E-3</v>
      </c>
      <c r="AA42">
        <v>1.3494505398370801E-3</v>
      </c>
      <c r="AB42">
        <v>2.7860528396952398E-3</v>
      </c>
      <c r="AC42">
        <v>2.0738953057738299E-3</v>
      </c>
      <c r="AD42">
        <v>3.4455879811917801E-3</v>
      </c>
      <c r="AE42">
        <v>6.4977033561067999E-3</v>
      </c>
      <c r="AF42">
        <v>2.6764875881920402E-3</v>
      </c>
      <c r="AG42">
        <v>2.8054209624702102E-3</v>
      </c>
      <c r="AH42">
        <v>2.8607831432259701E-3</v>
      </c>
      <c r="AI42">
        <v>2.8266694259693301E-3</v>
      </c>
      <c r="AJ42">
        <v>3.3334031917216299E-3</v>
      </c>
      <c r="AK42">
        <v>4.4723835708625603E-3</v>
      </c>
      <c r="AL42">
        <v>8.3525643072005894E-3</v>
      </c>
      <c r="AM42">
        <v>2.12450839495445E-3</v>
      </c>
      <c r="AN42">
        <v>6.8868247121618396E-3</v>
      </c>
      <c r="AO42">
        <v>6.6365872058257499E-3</v>
      </c>
      <c r="AP42">
        <v>6.3025851849003696E-3</v>
      </c>
      <c r="AQ42">
        <v>6.1975246591921603E-3</v>
      </c>
      <c r="AR42">
        <v>5.8971624381793401E-3</v>
      </c>
      <c r="AS42">
        <v>6.5845519498618802E-3</v>
      </c>
      <c r="AT42">
        <v>6.0077932723380896E-3</v>
      </c>
      <c r="AU42">
        <v>2.8586134965468998E-3</v>
      </c>
      <c r="AV42">
        <v>1.54308589654216E-3</v>
      </c>
      <c r="AW42">
        <v>3.09673486051168E-3</v>
      </c>
    </row>
    <row r="43" spans="1:49">
      <c r="A43" t="s">
        <v>53</v>
      </c>
      <c r="B43">
        <v>7.3731135536411804E-3</v>
      </c>
      <c r="C43">
        <v>3.43027938262668E-3</v>
      </c>
      <c r="D43">
        <v>3.7324113813105098E-3</v>
      </c>
      <c r="E43">
        <v>2.4291024467171301E-3</v>
      </c>
      <c r="F43">
        <v>2.7665697878821302E-3</v>
      </c>
      <c r="G43">
        <v>3.7060572203964802E-3</v>
      </c>
      <c r="H43">
        <v>2.5912749741023098E-3</v>
      </c>
      <c r="I43">
        <v>3.30223545314379E-3</v>
      </c>
      <c r="J43">
        <v>3.8627179436053201E-3</v>
      </c>
      <c r="K43">
        <v>1.9328508452556899E-3</v>
      </c>
      <c r="L43">
        <v>3.8948499497852601E-3</v>
      </c>
      <c r="M43">
        <v>1.0422950999552699E-3</v>
      </c>
      <c r="N43">
        <v>2.6212039130120899E-3</v>
      </c>
      <c r="O43">
        <v>3.6390311927351699E-3</v>
      </c>
      <c r="P43">
        <v>4.3581168376413499E-3</v>
      </c>
      <c r="Q43">
        <v>1.7894859446604501E-3</v>
      </c>
      <c r="R43">
        <v>2.5382690834433301E-3</v>
      </c>
      <c r="S43">
        <v>6.4463900551749798E-3</v>
      </c>
      <c r="T43">
        <v>3.9292001072575699E-3</v>
      </c>
      <c r="U43">
        <v>4.0189105230316897E-3</v>
      </c>
      <c r="V43">
        <v>3.2101187603953401E-3</v>
      </c>
      <c r="W43">
        <v>5.1822337952999202E-3</v>
      </c>
      <c r="X43">
        <v>5.6308888592046498E-3</v>
      </c>
      <c r="Y43">
        <v>1.4056460442131199E-3</v>
      </c>
      <c r="Z43">
        <v>2.4841048650096698E-3</v>
      </c>
      <c r="AA43">
        <v>1.23992515698365E-3</v>
      </c>
      <c r="AB43">
        <v>3.9013689448924999E-3</v>
      </c>
      <c r="AC43">
        <v>2.58420453017632E-3</v>
      </c>
      <c r="AD43">
        <v>4.0185839686112997E-3</v>
      </c>
      <c r="AE43">
        <v>7.46360013787174E-3</v>
      </c>
      <c r="AF43">
        <v>3.1127945801119098E-3</v>
      </c>
      <c r="AG43">
        <v>3.2654330082515499E-3</v>
      </c>
      <c r="AH43">
        <v>4.0167566119863303E-3</v>
      </c>
      <c r="AI43">
        <v>4.0037522415063203E-3</v>
      </c>
      <c r="AJ43">
        <v>4.0011936516159202E-3</v>
      </c>
      <c r="AK43">
        <v>6.8274443849884302E-3</v>
      </c>
      <c r="AL43">
        <v>1.03540261149693E-2</v>
      </c>
      <c r="AM43">
        <v>3.4580789138282499E-3</v>
      </c>
      <c r="AN43">
        <v>7.7008828459572401E-3</v>
      </c>
      <c r="AO43">
        <v>7.3669688179734804E-3</v>
      </c>
      <c r="AP43">
        <v>6.1975246591921603E-3</v>
      </c>
      <c r="AQ43">
        <v>8.2045880269603303E-3</v>
      </c>
      <c r="AR43">
        <v>7.5227169280165599E-3</v>
      </c>
      <c r="AS43">
        <v>7.07978304300099E-3</v>
      </c>
      <c r="AT43">
        <v>6.21539859889005E-3</v>
      </c>
      <c r="AU43">
        <v>4.0848516327544803E-3</v>
      </c>
      <c r="AV43">
        <v>2.3286079844075198E-3</v>
      </c>
      <c r="AW43">
        <v>4.0846801484100302E-3</v>
      </c>
    </row>
    <row r="44" spans="1:49">
      <c r="A44" t="s">
        <v>10</v>
      </c>
      <c r="B44">
        <v>8.8572043209929705E-3</v>
      </c>
      <c r="C44">
        <v>3.6448699230631899E-3</v>
      </c>
      <c r="D44">
        <v>3.7855783152510201E-3</v>
      </c>
      <c r="E44">
        <v>2.18823402268686E-3</v>
      </c>
      <c r="F44">
        <v>2.7568676710196102E-3</v>
      </c>
      <c r="G44">
        <v>3.7739943223256299E-3</v>
      </c>
      <c r="H44">
        <v>4.2225482364413496E-3</v>
      </c>
      <c r="I44">
        <v>3.0744655180135198E-3</v>
      </c>
      <c r="J44">
        <v>3.6883036516639502E-3</v>
      </c>
      <c r="K44">
        <v>1.70820349261881E-3</v>
      </c>
      <c r="L44">
        <v>4.0937780789597799E-3</v>
      </c>
      <c r="M44">
        <v>8.0855525880767502E-4</v>
      </c>
      <c r="N44">
        <v>1.7236062280107101E-3</v>
      </c>
      <c r="O44">
        <v>3.7071736418455401E-3</v>
      </c>
      <c r="P44">
        <v>4.6347296431486296E-3</v>
      </c>
      <c r="Q44">
        <v>1.53937324072498E-3</v>
      </c>
      <c r="R44">
        <v>2.28816114218117E-3</v>
      </c>
      <c r="S44">
        <v>6.2704613016598201E-3</v>
      </c>
      <c r="T44">
        <v>3.0541011179934701E-3</v>
      </c>
      <c r="U44">
        <v>3.5622001782579598E-3</v>
      </c>
      <c r="V44">
        <v>3.0092104049372599E-3</v>
      </c>
      <c r="W44">
        <v>4.8595916554285802E-3</v>
      </c>
      <c r="X44">
        <v>5.2447598132200901E-3</v>
      </c>
      <c r="Y44">
        <v>1.20395191054485E-3</v>
      </c>
      <c r="Z44">
        <v>2.5251115252009401E-3</v>
      </c>
      <c r="AA44">
        <v>1.2969929831783699E-3</v>
      </c>
      <c r="AB44">
        <v>3.5642629649949198E-3</v>
      </c>
      <c r="AC44">
        <v>2.2001845510517199E-3</v>
      </c>
      <c r="AD44">
        <v>4.0694601226945104E-3</v>
      </c>
      <c r="AE44">
        <v>8.2524234589264594E-3</v>
      </c>
      <c r="AF44">
        <v>2.5391810642411399E-3</v>
      </c>
      <c r="AG44">
        <v>2.5841308631783101E-3</v>
      </c>
      <c r="AH44">
        <v>3.9745017740457798E-3</v>
      </c>
      <c r="AI44">
        <v>3.5303583133136098E-3</v>
      </c>
      <c r="AJ44">
        <v>3.9259544630599599E-3</v>
      </c>
      <c r="AK44">
        <v>7.7235582099887297E-3</v>
      </c>
      <c r="AL44">
        <v>1.1242223200323699E-2</v>
      </c>
      <c r="AM44">
        <v>3.3992431802062602E-3</v>
      </c>
      <c r="AN44">
        <v>8.3812466527270202E-3</v>
      </c>
      <c r="AO44">
        <v>7.1773107126466302E-3</v>
      </c>
      <c r="AP44">
        <v>5.8971624381793401E-3</v>
      </c>
      <c r="AQ44">
        <v>7.5227169280165599E-3</v>
      </c>
      <c r="AR44">
        <v>8.8464948882362206E-3</v>
      </c>
      <c r="AS44">
        <v>7.1754915206351201E-3</v>
      </c>
      <c r="AT44">
        <v>6.8012227043736601E-3</v>
      </c>
      <c r="AU44">
        <v>4.5718226282689799E-3</v>
      </c>
      <c r="AV44">
        <v>2.0622041554349498E-3</v>
      </c>
      <c r="AW44">
        <v>4.3107937845812596E-3</v>
      </c>
    </row>
    <row r="45" spans="1:49">
      <c r="A45" t="s">
        <v>54</v>
      </c>
      <c r="B45">
        <v>5.1533012113719199E-3</v>
      </c>
      <c r="C45">
        <v>2.07826353488411E-3</v>
      </c>
      <c r="D45">
        <v>2.7469624374852398E-3</v>
      </c>
      <c r="E45">
        <v>1.2599622071224701E-3</v>
      </c>
      <c r="F45">
        <v>2.11704340050558E-3</v>
      </c>
      <c r="G45">
        <v>2.71003337264366E-3</v>
      </c>
      <c r="H45">
        <v>1.89490959663597E-3</v>
      </c>
      <c r="I45">
        <v>3.5406655135281199E-3</v>
      </c>
      <c r="J45">
        <v>3.15436786087983E-3</v>
      </c>
      <c r="K45">
        <v>9.0045863520232697E-4</v>
      </c>
      <c r="L45">
        <v>4.0230645161554697E-3</v>
      </c>
      <c r="M45">
        <v>4.14563620486145E-4</v>
      </c>
      <c r="N45">
        <v>1.76755117354182E-3</v>
      </c>
      <c r="O45">
        <v>2.5942025033524399E-3</v>
      </c>
      <c r="P45">
        <v>4.4276892160574196E-3</v>
      </c>
      <c r="Q45" s="6">
        <v>3.4599478221544597E-5</v>
      </c>
      <c r="R45">
        <v>1.96499469442156E-3</v>
      </c>
      <c r="S45">
        <v>6.7316369405896297E-3</v>
      </c>
      <c r="T45">
        <v>3.1937035649621998E-3</v>
      </c>
      <c r="U45">
        <v>2.3976412493427199E-3</v>
      </c>
      <c r="V45">
        <v>2.2016647035595599E-3</v>
      </c>
      <c r="W45">
        <v>6.1365133808907102E-3</v>
      </c>
      <c r="X45">
        <v>6.08223699143021E-3</v>
      </c>
      <c r="Y45">
        <v>9.5084318625627705E-4</v>
      </c>
      <c r="Z45">
        <v>2.4697140984367102E-3</v>
      </c>
      <c r="AA45">
        <v>1.1330965050331901E-3</v>
      </c>
      <c r="AB45">
        <v>2.4077960671177001E-3</v>
      </c>
      <c r="AC45">
        <v>1.9115366412236E-3</v>
      </c>
      <c r="AD45">
        <v>3.3026660707715198E-3</v>
      </c>
      <c r="AE45">
        <v>7.7777068940950303E-3</v>
      </c>
      <c r="AF45">
        <v>2.33094732978105E-3</v>
      </c>
      <c r="AG45">
        <v>2.9549942414563699E-3</v>
      </c>
      <c r="AH45">
        <v>3.14875861661829E-3</v>
      </c>
      <c r="AI45">
        <v>2.4187645144609299E-3</v>
      </c>
      <c r="AJ45">
        <v>2.5906684288880301E-3</v>
      </c>
      <c r="AK45">
        <v>4.3023951873585198E-3</v>
      </c>
      <c r="AL45">
        <v>9.0733438552207998E-3</v>
      </c>
      <c r="AM45">
        <v>1.9798429985967698E-3</v>
      </c>
      <c r="AN45">
        <v>8.5624447865020898E-3</v>
      </c>
      <c r="AO45">
        <v>8.2233319279552408E-3</v>
      </c>
      <c r="AP45">
        <v>6.5845519498618802E-3</v>
      </c>
      <c r="AQ45">
        <v>7.07978304300099E-3</v>
      </c>
      <c r="AR45">
        <v>7.1754915206351201E-3</v>
      </c>
      <c r="AS45">
        <v>1.04720640010166E-2</v>
      </c>
      <c r="AT45">
        <v>7.4886545492863499E-3</v>
      </c>
      <c r="AU45">
        <v>3.5830897593597702E-3</v>
      </c>
      <c r="AV45">
        <v>1.8086328085306399E-3</v>
      </c>
      <c r="AW45">
        <v>2.8827926567402198E-3</v>
      </c>
    </row>
    <row r="46" spans="1:49">
      <c r="A46" t="s">
        <v>55</v>
      </c>
      <c r="B46">
        <v>3.7427311166487701E-3</v>
      </c>
      <c r="C46">
        <v>1.6840224838060201E-3</v>
      </c>
      <c r="D46">
        <v>2.0733998286907901E-3</v>
      </c>
      <c r="E46">
        <v>5.7485278105527996E-4</v>
      </c>
      <c r="F46">
        <v>1.54670395443645E-3</v>
      </c>
      <c r="G46">
        <v>2.0753014109536399E-3</v>
      </c>
      <c r="H46">
        <v>2.4576337841158498E-3</v>
      </c>
      <c r="I46">
        <v>2.8814486677290999E-3</v>
      </c>
      <c r="J46">
        <v>1.5922363721942701E-3</v>
      </c>
      <c r="K46">
        <v>1.14697420433651E-3</v>
      </c>
      <c r="L46">
        <v>3.21201951526309E-3</v>
      </c>
      <c r="M46">
        <v>8.1839834692749695E-4</v>
      </c>
      <c r="N46">
        <v>1.6078204518220299E-3</v>
      </c>
      <c r="O46">
        <v>3.3388204029952801E-3</v>
      </c>
      <c r="P46">
        <v>3.57802194087026E-3</v>
      </c>
      <c r="Q46">
        <v>6.5158336844423298E-4</v>
      </c>
      <c r="R46">
        <v>2.1332698337649799E-3</v>
      </c>
      <c r="S46">
        <v>5.4156352575194704E-3</v>
      </c>
      <c r="T46">
        <v>2.38799909740275E-3</v>
      </c>
      <c r="U46">
        <v>2.40116117152454E-3</v>
      </c>
      <c r="V46">
        <v>1.6794313292067401E-3</v>
      </c>
      <c r="W46">
        <v>4.3337207443755396E-3</v>
      </c>
      <c r="X46">
        <v>4.3544479578649601E-3</v>
      </c>
      <c r="Y46">
        <v>4.2715968544568202E-4</v>
      </c>
      <c r="Z46">
        <v>2.5931898178628301E-3</v>
      </c>
      <c r="AA46">
        <v>1.7040274701357501E-3</v>
      </c>
      <c r="AB46">
        <v>2.6106312655104599E-3</v>
      </c>
      <c r="AC46">
        <v>2.0190085641604398E-3</v>
      </c>
      <c r="AD46">
        <v>3.62629875316242E-3</v>
      </c>
      <c r="AE46">
        <v>7.3279308759485904E-3</v>
      </c>
      <c r="AF46">
        <v>2.89427919438853E-3</v>
      </c>
      <c r="AG46">
        <v>2.3310282751672598E-3</v>
      </c>
      <c r="AH46">
        <v>2.23361157531721E-3</v>
      </c>
      <c r="AI46">
        <v>2.4927937389226901E-3</v>
      </c>
      <c r="AJ46">
        <v>1.50750015255699E-3</v>
      </c>
      <c r="AK46">
        <v>5.3383927597081098E-3</v>
      </c>
      <c r="AL46">
        <v>1.00118668961914E-2</v>
      </c>
      <c r="AM46">
        <v>2.8696974197443101E-3</v>
      </c>
      <c r="AN46">
        <v>7.5338773961943798E-3</v>
      </c>
      <c r="AO46">
        <v>7.3300389915214696E-3</v>
      </c>
      <c r="AP46">
        <v>6.0077932723380896E-3</v>
      </c>
      <c r="AQ46">
        <v>6.21539859889005E-3</v>
      </c>
      <c r="AR46">
        <v>6.8012227043736601E-3</v>
      </c>
      <c r="AS46">
        <v>7.4886545492863499E-3</v>
      </c>
      <c r="AT46">
        <v>8.9824786023586199E-3</v>
      </c>
      <c r="AU46">
        <v>3.6007283053912701E-3</v>
      </c>
      <c r="AV46">
        <v>1.3247142367873201E-3</v>
      </c>
      <c r="AW46">
        <v>3.7308036659291898E-3</v>
      </c>
    </row>
    <row r="47" spans="1:49">
      <c r="A47" t="s">
        <v>56</v>
      </c>
      <c r="B47">
        <v>7.8730989257757497E-3</v>
      </c>
      <c r="C47">
        <v>3.8410667304701498E-3</v>
      </c>
      <c r="D47">
        <v>2.6752473623644401E-3</v>
      </c>
      <c r="E47">
        <v>2.4824842453019299E-3</v>
      </c>
      <c r="F47">
        <v>2.8512961431182101E-3</v>
      </c>
      <c r="G47">
        <v>2.62242171596216E-3</v>
      </c>
      <c r="H47">
        <v>3.8428201159336301E-3</v>
      </c>
      <c r="I47">
        <v>2.8361671086070202E-3</v>
      </c>
      <c r="J47">
        <v>4.8122028609217399E-3</v>
      </c>
      <c r="K47">
        <v>1.90355270282841E-3</v>
      </c>
      <c r="L47">
        <v>3.2178843487418E-3</v>
      </c>
      <c r="M47">
        <v>1.5223760610869801E-3</v>
      </c>
      <c r="N47">
        <v>2.2368261155943101E-3</v>
      </c>
      <c r="O47">
        <v>3.91902395452809E-3</v>
      </c>
      <c r="P47">
        <v>3.9190495791564701E-3</v>
      </c>
      <c r="Q47">
        <v>1.67986205093173E-3</v>
      </c>
      <c r="R47">
        <v>2.2116969418534901E-3</v>
      </c>
      <c r="S47">
        <v>5.0113699185051E-3</v>
      </c>
      <c r="T47">
        <v>1.9877394229298501E-3</v>
      </c>
      <c r="U47">
        <v>2.90788386778882E-3</v>
      </c>
      <c r="V47">
        <v>2.0691705292859202E-3</v>
      </c>
      <c r="W47">
        <v>2.9463474228736998E-3</v>
      </c>
      <c r="X47">
        <v>3.2101399530434201E-3</v>
      </c>
      <c r="Y47">
        <v>2.7594186446362801E-3</v>
      </c>
      <c r="Z47">
        <v>1.4329611431451101E-3</v>
      </c>
      <c r="AA47">
        <v>7.2181601349861804E-4</v>
      </c>
      <c r="AB47">
        <v>5.19008791115101E-3</v>
      </c>
      <c r="AC47">
        <v>2.5942188989397899E-3</v>
      </c>
      <c r="AD47">
        <v>3.1443194721423998E-3</v>
      </c>
      <c r="AE47">
        <v>5.38171358823157E-3</v>
      </c>
      <c r="AF47">
        <v>1.50480031750213E-3</v>
      </c>
      <c r="AG47">
        <v>2.98735296879533E-3</v>
      </c>
      <c r="AH47">
        <v>5.0016495407491203E-3</v>
      </c>
      <c r="AI47">
        <v>3.05674727028788E-3</v>
      </c>
      <c r="AJ47">
        <v>4.0388934590889604E-3</v>
      </c>
      <c r="AK47">
        <v>5.9195443091627697E-3</v>
      </c>
      <c r="AL47">
        <v>1.05390368583259E-2</v>
      </c>
      <c r="AM47">
        <v>4.9606983502466602E-3</v>
      </c>
      <c r="AN47">
        <v>4.5024374021006798E-3</v>
      </c>
      <c r="AO47">
        <v>4.3021340434934397E-3</v>
      </c>
      <c r="AP47">
        <v>2.8586134965468998E-3</v>
      </c>
      <c r="AQ47">
        <v>4.0848516327544803E-3</v>
      </c>
      <c r="AR47">
        <v>4.5718226282689799E-3</v>
      </c>
      <c r="AS47">
        <v>3.5830897593597702E-3</v>
      </c>
      <c r="AT47">
        <v>3.6007283053912701E-3</v>
      </c>
      <c r="AU47">
        <v>1.0070881970398999E-2</v>
      </c>
      <c r="AV47">
        <v>2.8705624047379798E-3</v>
      </c>
      <c r="AW47">
        <v>4.5387460724181598E-3</v>
      </c>
    </row>
    <row r="48" spans="1:49">
      <c r="A48" t="s">
        <v>57</v>
      </c>
      <c r="B48">
        <v>6.1423719307504496E-3</v>
      </c>
      <c r="C48">
        <v>3.2294257135701701E-3</v>
      </c>
      <c r="D48">
        <v>2.4515011824148298E-3</v>
      </c>
      <c r="E48">
        <v>2.2694084330068102E-3</v>
      </c>
      <c r="F48">
        <v>3.4681300009763599E-3</v>
      </c>
      <c r="G48">
        <v>2.4484286013435499E-3</v>
      </c>
      <c r="H48">
        <v>2.7238132351818599E-3</v>
      </c>
      <c r="I48">
        <v>1.8721878315464101E-3</v>
      </c>
      <c r="J48">
        <v>5.0802367541241704E-3</v>
      </c>
      <c r="K48">
        <v>8.1486117445446103E-4</v>
      </c>
      <c r="L48">
        <v>1.7685497542961001E-3</v>
      </c>
      <c r="M48">
        <v>1.2807620600106999E-3</v>
      </c>
      <c r="N48">
        <v>1.5036526252686199E-3</v>
      </c>
      <c r="O48">
        <v>2.3008427785206199E-3</v>
      </c>
      <c r="P48">
        <v>1.7118875426855001E-3</v>
      </c>
      <c r="Q48">
        <v>1.68297167932193E-3</v>
      </c>
      <c r="R48">
        <v>1.1630487250777399E-3</v>
      </c>
      <c r="S48">
        <v>2.5818854962343998E-3</v>
      </c>
      <c r="T48">
        <v>3.5007137593806499E-3</v>
      </c>
      <c r="U48">
        <v>1.91035558505858E-3</v>
      </c>
      <c r="V48">
        <v>2.1869072103527401E-3</v>
      </c>
      <c r="W48">
        <v>-1.11074077646845E-4</v>
      </c>
      <c r="X48">
        <v>1.2232013775219199E-3</v>
      </c>
      <c r="Y48">
        <v>2.4003477881605999E-3</v>
      </c>
      <c r="Z48">
        <v>5.7761489881444296E-4</v>
      </c>
      <c r="AA48">
        <v>6.7300085856296995E-4</v>
      </c>
      <c r="AB48">
        <v>2.54590758685139E-3</v>
      </c>
      <c r="AC48">
        <v>1.55292924929406E-3</v>
      </c>
      <c r="AD48">
        <v>2.0161978338847698E-3</v>
      </c>
      <c r="AE48">
        <v>2.8425240909283099E-3</v>
      </c>
      <c r="AF48">
        <v>1.1930822897752199E-3</v>
      </c>
      <c r="AG48">
        <v>2.2335434876671399E-3</v>
      </c>
      <c r="AH48">
        <v>3.6140204849359099E-3</v>
      </c>
      <c r="AI48">
        <v>2.92876608628114E-3</v>
      </c>
      <c r="AJ48">
        <v>5.1695476129282499E-3</v>
      </c>
      <c r="AK48">
        <v>2.0893785349026398E-3</v>
      </c>
      <c r="AL48">
        <v>5.3401991342870402E-3</v>
      </c>
      <c r="AM48">
        <v>3.6825842730119499E-3</v>
      </c>
      <c r="AN48">
        <v>1.6943249432692601E-3</v>
      </c>
      <c r="AO48">
        <v>2.2145022385549702E-3</v>
      </c>
      <c r="AP48">
        <v>1.54308589654216E-3</v>
      </c>
      <c r="AQ48">
        <v>2.3286079844075198E-3</v>
      </c>
      <c r="AR48">
        <v>2.0622041554349498E-3</v>
      </c>
      <c r="AS48">
        <v>1.8086328085306399E-3</v>
      </c>
      <c r="AT48">
        <v>1.3247142367873201E-3</v>
      </c>
      <c r="AU48">
        <v>2.8705624047379798E-3</v>
      </c>
      <c r="AV48">
        <v>4.2212385272563501E-3</v>
      </c>
      <c r="AW48">
        <v>1.9492415560407499E-3</v>
      </c>
    </row>
    <row r="49" spans="1:49">
      <c r="A49" t="s">
        <v>3</v>
      </c>
      <c r="B49">
        <v>7.9218812560513507E-3</v>
      </c>
      <c r="C49">
        <v>3.4395831582896201E-3</v>
      </c>
      <c r="D49">
        <v>2.2000545902958598E-3</v>
      </c>
      <c r="E49">
        <v>2.17965324098309E-3</v>
      </c>
      <c r="F49">
        <v>2.9813037482264299E-3</v>
      </c>
      <c r="G49">
        <v>2.2061489477893802E-3</v>
      </c>
      <c r="H49">
        <v>4.4990937233736301E-3</v>
      </c>
      <c r="I49">
        <v>2.17357576490505E-3</v>
      </c>
      <c r="J49">
        <v>4.2557274257383699E-3</v>
      </c>
      <c r="K49">
        <v>1.7227715038318E-3</v>
      </c>
      <c r="L49">
        <v>2.1055075703013599E-3</v>
      </c>
      <c r="M49">
        <v>1.55686068684616E-3</v>
      </c>
      <c r="N49">
        <v>1.9786550180050902E-3</v>
      </c>
      <c r="O49">
        <v>5.3536038588326701E-3</v>
      </c>
      <c r="P49">
        <v>3.17658921638269E-3</v>
      </c>
      <c r="Q49">
        <v>2.1564133415090002E-3</v>
      </c>
      <c r="R49">
        <v>1.9011598938835201E-3</v>
      </c>
      <c r="S49">
        <v>3.7917780343250502E-3</v>
      </c>
      <c r="T49">
        <v>2.6591811146599899E-3</v>
      </c>
      <c r="U49">
        <v>2.7787726160287802E-3</v>
      </c>
      <c r="V49">
        <v>2.7031388380288198E-3</v>
      </c>
      <c r="W49">
        <v>2.1871493658469298E-3</v>
      </c>
      <c r="X49">
        <v>2.7637174981326399E-3</v>
      </c>
      <c r="Y49">
        <v>1.53297104825962E-3</v>
      </c>
      <c r="Z49">
        <v>1.4011076530526701E-3</v>
      </c>
      <c r="AA49">
        <v>8.8008334361662098E-4</v>
      </c>
      <c r="AB49">
        <v>3.3612363769908501E-3</v>
      </c>
      <c r="AC49">
        <v>2.6897918968459898E-3</v>
      </c>
      <c r="AD49">
        <v>2.8733492421817602E-3</v>
      </c>
      <c r="AE49">
        <v>4.0329952224553E-3</v>
      </c>
      <c r="AF49">
        <v>2.1837236453227499E-3</v>
      </c>
      <c r="AG49">
        <v>2.4394583010944001E-3</v>
      </c>
      <c r="AH49">
        <v>3.7694226522936398E-3</v>
      </c>
      <c r="AI49">
        <v>3.0272936160384398E-3</v>
      </c>
      <c r="AJ49">
        <v>4.3671900732355998E-3</v>
      </c>
      <c r="AK49">
        <v>5.1715441357017599E-3</v>
      </c>
      <c r="AL49">
        <v>8.0567356883320795E-3</v>
      </c>
      <c r="AM49">
        <v>4.0456319252195503E-3</v>
      </c>
      <c r="AN49">
        <v>3.7613900376287702E-3</v>
      </c>
      <c r="AO49">
        <v>4.1076003101625904E-3</v>
      </c>
      <c r="AP49">
        <v>3.09673486051168E-3</v>
      </c>
      <c r="AQ49">
        <v>4.0846801484100302E-3</v>
      </c>
      <c r="AR49">
        <v>4.3107937845812596E-3</v>
      </c>
      <c r="AS49">
        <v>2.8827926567402198E-3</v>
      </c>
      <c r="AT49">
        <v>3.7308036659291898E-3</v>
      </c>
      <c r="AU49">
        <v>4.5387460724181598E-3</v>
      </c>
      <c r="AV49">
        <v>1.9492415560407499E-3</v>
      </c>
      <c r="AW49">
        <v>6.8019293054513699E-3</v>
      </c>
    </row>
  </sheetData>
  <sheetProtection algorithmName="SHA-512" hashValue="QcYIPwouqEFKbL0yaQK6NQkZIpCGqMQZxHWV+q9XnszwWA7maZLjV/wGoxHchN2jmmk7mL+eP2V2Hm78xr3ooQ==" saltValue="2OumIq3XWSNJNiEeLFCCqQ=="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2F09E-DFA2-49F6-A495-5ACFABB294D8}">
  <sheetPr codeName="Sheet5"/>
  <dimension ref="A1:AW49"/>
  <sheetViews>
    <sheetView topLeftCell="A37" workbookViewId="0">
      <selection activeCell="B16" sqref="B16"/>
    </sheetView>
  </sheetViews>
  <sheetFormatPr baseColWidth="10" defaultColWidth="8.6640625" defaultRowHeight="15"/>
  <cols>
    <col min="1" max="1" width="14.5" customWidth="1"/>
    <col min="2" max="2" width="21.6640625" customWidth="1"/>
  </cols>
  <sheetData>
    <row r="1" spans="1:49" ht="16">
      <c r="A1" s="4" t="s">
        <v>60</v>
      </c>
      <c r="B1" s="5" t="s">
        <v>22</v>
      </c>
    </row>
    <row r="2" spans="1:49">
      <c r="A2" t="s">
        <v>0</v>
      </c>
      <c r="B2">
        <f ca="1">RETURN!B64</f>
        <v>5.851810451486044E-2</v>
      </c>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c r="A3" t="s">
        <v>1</v>
      </c>
      <c r="B3">
        <f ca="1">RETURN!C64</f>
        <v>2.3311689210996363E-2</v>
      </c>
    </row>
    <row r="4" spans="1:49">
      <c r="A4" t="s">
        <v>4</v>
      </c>
      <c r="B4">
        <f ca="1">RETURN!D64</f>
        <v>1.9367583782975189E-2</v>
      </c>
    </row>
    <row r="5" spans="1:49">
      <c r="A5" t="s">
        <v>6</v>
      </c>
      <c r="B5">
        <f ca="1">RETURN!E64</f>
        <v>1.8368679461885133E-2</v>
      </c>
    </row>
    <row r="6" spans="1:49">
      <c r="A6" t="s">
        <v>8</v>
      </c>
      <c r="B6">
        <f ca="1">RETURN!F64</f>
        <v>1.8131252394959302E-2</v>
      </c>
    </row>
    <row r="7" spans="1:49">
      <c r="A7" s="1" t="s">
        <v>11</v>
      </c>
      <c r="B7">
        <f ca="1">RETURN!G64</f>
        <v>1.9222015821701126E-2</v>
      </c>
      <c r="D7" s="1"/>
    </row>
    <row r="8" spans="1:49">
      <c r="A8" s="1" t="s">
        <v>12</v>
      </c>
      <c r="B8">
        <f ca="1">RETURN!H64</f>
        <v>2.6521151585887508E-2</v>
      </c>
      <c r="D8" s="1"/>
    </row>
    <row r="9" spans="1:49">
      <c r="A9" s="1" t="s">
        <v>13</v>
      </c>
      <c r="B9">
        <f ca="1">RETURN!I64</f>
        <v>1.4115929187241284E-2</v>
      </c>
      <c r="D9" s="1"/>
    </row>
    <row r="10" spans="1:49">
      <c r="A10" s="1" t="s">
        <v>15</v>
      </c>
      <c r="B10">
        <f ca="1">RETURN!J64</f>
        <v>6.4544084529740378E-2</v>
      </c>
      <c r="D10" s="1"/>
    </row>
    <row r="11" spans="1:49">
      <c r="A11" s="1" t="s">
        <v>17</v>
      </c>
      <c r="B11">
        <f ca="1">RETURN!K64</f>
        <v>1.2708772778383332E-3</v>
      </c>
      <c r="D11" s="1"/>
    </row>
    <row r="12" spans="1:49">
      <c r="A12" s="1" t="s">
        <v>18</v>
      </c>
      <c r="B12">
        <f ca="1">RETURN!L64</f>
        <v>9.9710679430424186E-3</v>
      </c>
      <c r="D12" s="1"/>
    </row>
    <row r="13" spans="1:49">
      <c r="A13" s="1" t="s">
        <v>19</v>
      </c>
      <c r="B13">
        <f ca="1">RETURN!M64</f>
        <v>6.8056616190055562E-3</v>
      </c>
      <c r="D13" s="1"/>
    </row>
    <row r="14" spans="1:49">
      <c r="A14" s="1" t="s">
        <v>20</v>
      </c>
      <c r="B14">
        <f ca="1">RETURN!N64</f>
        <v>1.4109869171668002E-2</v>
      </c>
      <c r="D14" s="1"/>
    </row>
    <row r="15" spans="1:49">
      <c r="A15" s="1" t="s">
        <v>21</v>
      </c>
      <c r="B15">
        <f ca="1">RETURN!O64</f>
        <v>1.3186483131233162E-2</v>
      </c>
      <c r="D15" s="1"/>
    </row>
    <row r="16" spans="1:49">
      <c r="A16" s="1" t="s">
        <v>23</v>
      </c>
      <c r="B16">
        <f ca="1">RETURN!P64</f>
        <v>1.1819068740641177E-2</v>
      </c>
      <c r="D16" s="1"/>
    </row>
    <row r="17" spans="1:4">
      <c r="A17" s="1" t="s">
        <v>24</v>
      </c>
      <c r="B17">
        <f ca="1">RETURN!Q64</f>
        <v>-2.4195006480764907E-3</v>
      </c>
      <c r="D17" s="1"/>
    </row>
    <row r="18" spans="1:4">
      <c r="A18" s="1" t="s">
        <v>25</v>
      </c>
      <c r="B18">
        <f ca="1">RETURN!R64</f>
        <v>2.7664948395334709E-3</v>
      </c>
      <c r="D18" s="1"/>
    </row>
    <row r="19" spans="1:4">
      <c r="A19" s="1" t="s">
        <v>26</v>
      </c>
      <c r="B19">
        <f ca="1">RETURN!S64</f>
        <v>2.036387043859627E-3</v>
      </c>
      <c r="D19" s="1"/>
    </row>
    <row r="20" spans="1:4">
      <c r="A20" s="1" t="s">
        <v>27</v>
      </c>
      <c r="B20">
        <f ca="1">RETURN!T64</f>
        <v>2.4810706397217226E-2</v>
      </c>
      <c r="D20" s="1"/>
    </row>
    <row r="21" spans="1:4">
      <c r="A21" s="1" t="s">
        <v>28</v>
      </c>
      <c r="B21">
        <f ca="1">RETURN!U64</f>
        <v>-1.3020701077353916E-2</v>
      </c>
      <c r="D21" s="1"/>
    </row>
    <row r="22" spans="1:4">
      <c r="A22" s="1" t="s">
        <v>30</v>
      </c>
      <c r="B22">
        <f ca="1">RETURN!V64</f>
        <v>6.7502129997872124E-3</v>
      </c>
      <c r="D22" s="1"/>
    </row>
    <row r="23" spans="1:4">
      <c r="A23" s="1" t="s">
        <v>31</v>
      </c>
      <c r="B23">
        <f ca="1">RETURN!W64</f>
        <v>1.4721101879585731E-2</v>
      </c>
      <c r="D23" s="1"/>
    </row>
    <row r="24" spans="1:4">
      <c r="A24" s="1" t="s">
        <v>32</v>
      </c>
      <c r="B24">
        <f ca="1">RETURN!X64</f>
        <v>1.0819979365406077E-2</v>
      </c>
      <c r="D24" s="1"/>
    </row>
    <row r="25" spans="1:4">
      <c r="A25" s="1" t="s">
        <v>33</v>
      </c>
      <c r="B25">
        <f ca="1">RETURN!Y64</f>
        <v>1.7030883923662473E-2</v>
      </c>
      <c r="D25" s="1"/>
    </row>
    <row r="26" spans="1:4">
      <c r="A26" s="1" t="s">
        <v>34</v>
      </c>
      <c r="B26">
        <f ca="1">RETURN!Z64</f>
        <v>-9.9186448582786997E-4</v>
      </c>
      <c r="D26" s="1"/>
    </row>
    <row r="27" spans="1:4">
      <c r="A27" s="1" t="s">
        <v>35</v>
      </c>
      <c r="B27">
        <f ca="1">RETURN!AA64</f>
        <v>-4.2897169357205408E-3</v>
      </c>
      <c r="D27" s="1"/>
    </row>
    <row r="28" spans="1:4">
      <c r="A28" s="1" t="s">
        <v>36</v>
      </c>
      <c r="B28">
        <f ca="1">RETURN!AB64</f>
        <v>2.8715078397170739E-4</v>
      </c>
      <c r="D28" s="1"/>
    </row>
    <row r="29" spans="1:4">
      <c r="A29" s="1" t="s">
        <v>37</v>
      </c>
      <c r="B29">
        <f ca="1">RETURN!AC64</f>
        <v>7.308156041639602E-3</v>
      </c>
      <c r="D29" s="1"/>
    </row>
    <row r="30" spans="1:4">
      <c r="A30" s="1" t="s">
        <v>38</v>
      </c>
      <c r="B30">
        <f ca="1">RETURN!AD64</f>
        <v>5.669342939051792E-3</v>
      </c>
      <c r="D30" s="1"/>
    </row>
    <row r="31" spans="1:4">
      <c r="A31" s="1" t="s">
        <v>39</v>
      </c>
      <c r="B31">
        <f ca="1">RETURN!AE64</f>
        <v>-1.3398656340927973E-3</v>
      </c>
      <c r="D31" s="1"/>
    </row>
    <row r="32" spans="1:4">
      <c r="A32" s="1" t="s">
        <v>40</v>
      </c>
      <c r="B32">
        <f ca="1">RETURN!AF64</f>
        <v>1.047667104138124E-2</v>
      </c>
      <c r="D32" s="1"/>
    </row>
    <row r="33" spans="1:4">
      <c r="A33" s="1" t="s">
        <v>41</v>
      </c>
      <c r="B33">
        <f ca="1">RETURN!AG64</f>
        <v>2.4337829536848116E-2</v>
      </c>
      <c r="D33" s="1"/>
    </row>
    <row r="34" spans="1:4">
      <c r="A34" s="1" t="s">
        <v>42</v>
      </c>
      <c r="B34">
        <f ca="1">RETURN!AH64</f>
        <v>1.6800814752007679E-2</v>
      </c>
      <c r="D34" s="1"/>
    </row>
    <row r="35" spans="1:4">
      <c r="A35" s="1" t="s">
        <v>43</v>
      </c>
      <c r="B35">
        <f ca="1">RETURN!AI64</f>
        <v>1.3063489900227215E-2</v>
      </c>
      <c r="D35" s="1"/>
    </row>
    <row r="36" spans="1:4">
      <c r="A36" s="1" t="s">
        <v>44</v>
      </c>
      <c r="B36">
        <f ca="1">RETURN!AJ64</f>
        <v>1.3956285467117637E-2</v>
      </c>
      <c r="D36" s="1"/>
    </row>
    <row r="37" spans="1:4">
      <c r="A37" s="1" t="s">
        <v>45</v>
      </c>
      <c r="B37">
        <f ca="1">RETURN!AK64</f>
        <v>3.3745999745336099E-3</v>
      </c>
      <c r="D37" s="1"/>
    </row>
    <row r="38" spans="1:4">
      <c r="A38" s="1" t="s">
        <v>46</v>
      </c>
      <c r="B38">
        <f ca="1">RETURN!AL64</f>
        <v>2.0284035957285253E-2</v>
      </c>
      <c r="D38" s="1"/>
    </row>
    <row r="39" spans="1:4">
      <c r="A39" s="1" t="s">
        <v>48</v>
      </c>
      <c r="B39">
        <f ca="1">RETURN!AM64</f>
        <v>7.020379471502405E-3</v>
      </c>
      <c r="D39" s="1"/>
    </row>
    <row r="40" spans="1:4">
      <c r="A40" s="1" t="s">
        <v>50</v>
      </c>
      <c r="B40">
        <f ca="1">RETURN!AN64</f>
        <v>5.1463844956330862E-3</v>
      </c>
      <c r="D40" s="1"/>
    </row>
    <row r="41" spans="1:4">
      <c r="A41" s="1" t="s">
        <v>51</v>
      </c>
      <c r="B41">
        <f ca="1">RETURN!AO64</f>
        <v>9.9112664170939498E-3</v>
      </c>
      <c r="D41" s="1"/>
    </row>
    <row r="42" spans="1:4">
      <c r="A42" s="1" t="s">
        <v>52</v>
      </c>
      <c r="B42">
        <f ca="1">RETURN!AP64</f>
        <v>1.3491773961325393E-2</v>
      </c>
      <c r="D42" s="1"/>
    </row>
    <row r="43" spans="1:4">
      <c r="A43" s="1" t="s">
        <v>53</v>
      </c>
      <c r="B43">
        <f ca="1">RETURN!AQ64</f>
        <v>1.9488160363721998E-2</v>
      </c>
      <c r="D43" s="1"/>
    </row>
    <row r="44" spans="1:4">
      <c r="A44" s="1" t="s">
        <v>10</v>
      </c>
      <c r="B44">
        <f ca="1">RETURN!AR64</f>
        <v>1.9571435715929376E-2</v>
      </c>
      <c r="D44" s="1"/>
    </row>
    <row r="45" spans="1:4">
      <c r="A45" s="1" t="s">
        <v>54</v>
      </c>
      <c r="B45">
        <f ca="1">RETURN!AS64</f>
        <v>1.2430685915308066E-2</v>
      </c>
      <c r="D45" s="1"/>
    </row>
    <row r="46" spans="1:4">
      <c r="A46" s="1" t="s">
        <v>55</v>
      </c>
      <c r="B46">
        <f ca="1">RETURN!AT64</f>
        <v>3.9857069479623574E-3</v>
      </c>
      <c r="D46" s="1"/>
    </row>
    <row r="47" spans="1:4">
      <c r="A47" s="1" t="s">
        <v>56</v>
      </c>
      <c r="B47">
        <f ca="1">RETURN!AU64</f>
        <v>8.2036574219987758E-3</v>
      </c>
      <c r="D47" s="1"/>
    </row>
    <row r="48" spans="1:4">
      <c r="A48" s="1" t="s">
        <v>57</v>
      </c>
      <c r="B48">
        <f ca="1">RETURN!AV64</f>
        <v>2.2309350464605932E-2</v>
      </c>
      <c r="D48" s="1"/>
    </row>
    <row r="49" spans="1:4">
      <c r="A49" s="1" t="s">
        <v>3</v>
      </c>
      <c r="B49">
        <f ca="1">RETURN!AW64</f>
        <v>1.7678519688886396E-2</v>
      </c>
      <c r="D49" s="1"/>
    </row>
  </sheetData>
  <sheetProtection algorithmName="SHA-512" hashValue="lK93RlkjAfbUVFUua6EMl5XR3m9HSgcZlLYv3lF5ebnhAs2nxiim4mjjtGrOTTq954/RUL3ADdaWJQIQydvXBQ==" saltValue="yywjDBbDw1RoOgG0rTUnHA==" spinCount="100000" sheet="1" objects="1" scenarios="1"/>
  <phoneticPr fontId="30"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Stock Portfolio Optimization </vt:lpstr>
      <vt:lpstr>model</vt:lpstr>
      <vt:lpstr>Sparkline Data</vt:lpstr>
      <vt:lpstr>DATA</vt:lpstr>
      <vt:lpstr>RETURN</vt:lpstr>
      <vt:lpstr>metric</vt:lpstr>
      <vt:lpstr>Expected Return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景皓 張</dc:creator>
  <cp:lastModifiedBy>Wen Hsin Ko</cp:lastModifiedBy>
  <dcterms:created xsi:type="dcterms:W3CDTF">2024-11-27T18:59:38Z</dcterms:created>
  <dcterms:modified xsi:type="dcterms:W3CDTF">2024-12-11T21:05:46Z</dcterms:modified>
</cp:coreProperties>
</file>